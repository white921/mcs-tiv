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2023/卒論/シミュレーション結果/"/>
    </mc:Choice>
  </mc:AlternateContent>
  <xr:revisionPtr revIDLastSave="0" documentId="13_ncr:1_{E6AFEE5C-001E-A147-8A1F-DBF680ADE4E6}" xr6:coauthVersionLast="47" xr6:coauthVersionMax="47" xr10:uidLastSave="{00000000-0000-0000-0000-000000000000}"/>
  <bookViews>
    <workbookView xWindow="0" yWindow="500" windowWidth="28800" windowHeight="16480" activeTab="1" xr2:uid="{AF3711AC-F234-3848-846E-09F976D2106A}"/>
  </bookViews>
  <sheets>
    <sheet name="seed1" sheetId="1" r:id="rId1"/>
    <sheet name="seed2" sheetId="2" r:id="rId2"/>
    <sheet name="seed3" sheetId="3" r:id="rId3"/>
    <sheet name="seed4" sheetId="4" r:id="rId4"/>
    <sheet name="seed5" sheetId="5" r:id="rId5"/>
    <sheet name="seed6" sheetId="6" r:id="rId6"/>
    <sheet name="average1-6" sheetId="7" r:id="rId7"/>
    <sheet name="Sheet8" sheetId="8" r:id="rId8"/>
    <sheet name="Sheet9" sheetId="9" r:id="rId9"/>
    <sheet name="評価１" sheetId="10" r:id="rId10"/>
    <sheet name="評価２" sheetId="11" r:id="rId11"/>
    <sheet name="評価３" sheetId="12" r:id="rId12"/>
    <sheet name="評価+a" sheetId="13" r:id="rId13"/>
    <sheet name="評価+a_dist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58" i="7" l="1"/>
  <c r="AD158" i="7"/>
  <c r="AC158" i="7"/>
  <c r="AE156" i="7"/>
  <c r="AD156" i="7"/>
  <c r="AC156" i="7"/>
  <c r="AE154" i="7"/>
  <c r="AD154" i="7"/>
  <c r="AC154" i="7"/>
  <c r="AE152" i="7"/>
  <c r="AD152" i="7"/>
  <c r="AC152" i="7"/>
  <c r="AE149" i="7"/>
  <c r="AD149" i="7"/>
  <c r="AC149" i="7"/>
  <c r="AE147" i="7"/>
  <c r="AD147" i="7"/>
  <c r="AC147" i="7"/>
  <c r="AE145" i="7"/>
  <c r="AD145" i="7"/>
  <c r="AC145" i="7"/>
  <c r="AE143" i="7"/>
  <c r="AD143" i="7"/>
  <c r="AC143" i="7"/>
  <c r="AE140" i="7"/>
  <c r="AD140" i="7"/>
  <c r="AC140" i="7"/>
  <c r="AE138" i="7"/>
  <c r="AD138" i="7"/>
  <c r="AC138" i="7"/>
  <c r="AE136" i="7"/>
  <c r="AD136" i="7"/>
  <c r="AC136" i="7"/>
  <c r="AE134" i="7"/>
  <c r="AD134" i="7"/>
  <c r="AC134" i="7"/>
  <c r="AM149" i="7"/>
  <c r="AL149" i="7"/>
  <c r="AK149" i="7"/>
  <c r="AJ149" i="7"/>
  <c r="AI149" i="7"/>
  <c r="AH149" i="7"/>
  <c r="AG149" i="7"/>
  <c r="AM147" i="7"/>
  <c r="AL147" i="7"/>
  <c r="AK147" i="7"/>
  <c r="AJ147" i="7"/>
  <c r="AI147" i="7"/>
  <c r="AH147" i="7"/>
  <c r="AG147" i="7"/>
  <c r="AM145" i="7"/>
  <c r="AL145" i="7"/>
  <c r="AK145" i="7"/>
  <c r="AJ145" i="7"/>
  <c r="AI145" i="7"/>
  <c r="AH145" i="7"/>
  <c r="AG145" i="7"/>
  <c r="AM143" i="7"/>
  <c r="AL143" i="7"/>
  <c r="AK143" i="7"/>
  <c r="AJ143" i="7"/>
  <c r="AI143" i="7"/>
  <c r="AH143" i="7"/>
  <c r="AG143" i="7"/>
  <c r="AA158" i="7"/>
  <c r="Z158" i="7"/>
  <c r="Y158" i="7"/>
  <c r="W158" i="7"/>
  <c r="V158" i="7"/>
  <c r="U158" i="7"/>
  <c r="S158" i="7"/>
  <c r="R158" i="7"/>
  <c r="Q158" i="7"/>
  <c r="O158" i="7"/>
  <c r="N158" i="7"/>
  <c r="M158" i="7"/>
  <c r="K158" i="7"/>
  <c r="J158" i="7"/>
  <c r="I158" i="7"/>
  <c r="G158" i="7"/>
  <c r="F158" i="7"/>
  <c r="E158" i="7"/>
  <c r="AA156" i="7"/>
  <c r="Z156" i="7"/>
  <c r="Y156" i="7"/>
  <c r="W156" i="7"/>
  <c r="V156" i="7"/>
  <c r="U156" i="7"/>
  <c r="S156" i="7"/>
  <c r="R156" i="7"/>
  <c r="Q156" i="7"/>
  <c r="O156" i="7"/>
  <c r="N156" i="7"/>
  <c r="M156" i="7"/>
  <c r="K156" i="7"/>
  <c r="J156" i="7"/>
  <c r="I156" i="7"/>
  <c r="G156" i="7"/>
  <c r="F156" i="7"/>
  <c r="E156" i="7"/>
  <c r="AA154" i="7"/>
  <c r="Z154" i="7"/>
  <c r="Y154" i="7"/>
  <c r="W154" i="7"/>
  <c r="V154" i="7"/>
  <c r="U154" i="7"/>
  <c r="S154" i="7"/>
  <c r="R154" i="7"/>
  <c r="Q154" i="7"/>
  <c r="O154" i="7"/>
  <c r="N154" i="7"/>
  <c r="M154" i="7"/>
  <c r="K154" i="7"/>
  <c r="J154" i="7"/>
  <c r="I154" i="7"/>
  <c r="G154" i="7"/>
  <c r="F154" i="7"/>
  <c r="E154" i="7"/>
  <c r="AA152" i="7"/>
  <c r="Z152" i="7"/>
  <c r="Y152" i="7"/>
  <c r="W152" i="7"/>
  <c r="V152" i="7"/>
  <c r="U152" i="7"/>
  <c r="S152" i="7"/>
  <c r="R152" i="7"/>
  <c r="Q152" i="7"/>
  <c r="O152" i="7"/>
  <c r="N152" i="7"/>
  <c r="M152" i="7"/>
  <c r="K152" i="7"/>
  <c r="J152" i="7"/>
  <c r="I152" i="7"/>
  <c r="G152" i="7"/>
  <c r="F152" i="7"/>
  <c r="E152" i="7"/>
  <c r="AA149" i="7"/>
  <c r="Z149" i="7"/>
  <c r="Y149" i="7"/>
  <c r="W149" i="7"/>
  <c r="V149" i="7"/>
  <c r="U149" i="7"/>
  <c r="S149" i="7"/>
  <c r="R149" i="7"/>
  <c r="Q149" i="7"/>
  <c r="O149" i="7"/>
  <c r="N149" i="7"/>
  <c r="M149" i="7"/>
  <c r="K149" i="7"/>
  <c r="J149" i="7"/>
  <c r="I149" i="7"/>
  <c r="G149" i="7"/>
  <c r="F149" i="7"/>
  <c r="E149" i="7"/>
  <c r="AA147" i="7"/>
  <c r="Z147" i="7"/>
  <c r="Y147" i="7"/>
  <c r="W147" i="7"/>
  <c r="V147" i="7"/>
  <c r="U147" i="7"/>
  <c r="S147" i="7"/>
  <c r="R147" i="7"/>
  <c r="Q147" i="7"/>
  <c r="O147" i="7"/>
  <c r="N147" i="7"/>
  <c r="M147" i="7"/>
  <c r="K147" i="7"/>
  <c r="J147" i="7"/>
  <c r="I147" i="7"/>
  <c r="G147" i="7"/>
  <c r="F147" i="7"/>
  <c r="E147" i="7"/>
  <c r="AA145" i="7"/>
  <c r="Z145" i="7"/>
  <c r="Y145" i="7"/>
  <c r="W145" i="7"/>
  <c r="V145" i="7"/>
  <c r="U145" i="7"/>
  <c r="S145" i="7"/>
  <c r="R145" i="7"/>
  <c r="Q145" i="7"/>
  <c r="O145" i="7"/>
  <c r="N145" i="7"/>
  <c r="M145" i="7"/>
  <c r="K145" i="7"/>
  <c r="J145" i="7"/>
  <c r="I145" i="7"/>
  <c r="G145" i="7"/>
  <c r="F145" i="7"/>
  <c r="E145" i="7"/>
  <c r="AA143" i="7"/>
  <c r="Z143" i="7"/>
  <c r="Y143" i="7"/>
  <c r="W143" i="7"/>
  <c r="V143" i="7"/>
  <c r="U143" i="7"/>
  <c r="S143" i="7"/>
  <c r="R143" i="7"/>
  <c r="Q143" i="7"/>
  <c r="O143" i="7"/>
  <c r="N143" i="7"/>
  <c r="M143" i="7"/>
  <c r="K143" i="7"/>
  <c r="J143" i="7"/>
  <c r="I143" i="7"/>
  <c r="G143" i="7"/>
  <c r="F143" i="7"/>
  <c r="E143" i="7"/>
  <c r="AA140" i="7"/>
  <c r="Z140" i="7"/>
  <c r="Y140" i="7"/>
  <c r="W140" i="7"/>
  <c r="V140" i="7"/>
  <c r="U140" i="7"/>
  <c r="S140" i="7"/>
  <c r="R140" i="7"/>
  <c r="Q140" i="7"/>
  <c r="O140" i="7"/>
  <c r="N140" i="7"/>
  <c r="M140" i="7"/>
  <c r="K140" i="7"/>
  <c r="J140" i="7"/>
  <c r="I140" i="7"/>
  <c r="G140" i="7"/>
  <c r="F140" i="7"/>
  <c r="E140" i="7"/>
  <c r="AA138" i="7"/>
  <c r="Z138" i="7"/>
  <c r="Y138" i="7"/>
  <c r="W138" i="7"/>
  <c r="V138" i="7"/>
  <c r="U138" i="7"/>
  <c r="S138" i="7"/>
  <c r="R138" i="7"/>
  <c r="Q138" i="7"/>
  <c r="O138" i="7"/>
  <c r="N138" i="7"/>
  <c r="M138" i="7"/>
  <c r="K138" i="7"/>
  <c r="J138" i="7"/>
  <c r="I138" i="7"/>
  <c r="G138" i="7"/>
  <c r="F138" i="7"/>
  <c r="E138" i="7"/>
  <c r="AA136" i="7"/>
  <c r="Z136" i="7"/>
  <c r="Y136" i="7"/>
  <c r="W136" i="7"/>
  <c r="V136" i="7"/>
  <c r="U136" i="7"/>
  <c r="S136" i="7"/>
  <c r="R136" i="7"/>
  <c r="Q136" i="7"/>
  <c r="O136" i="7"/>
  <c r="N136" i="7"/>
  <c r="M136" i="7"/>
  <c r="K136" i="7"/>
  <c r="J136" i="7"/>
  <c r="I136" i="7"/>
  <c r="G136" i="7"/>
  <c r="F136" i="7"/>
  <c r="E136" i="7"/>
  <c r="AA134" i="7"/>
  <c r="Z134" i="7"/>
  <c r="Y134" i="7"/>
  <c r="W134" i="7"/>
  <c r="V134" i="7"/>
  <c r="U134" i="7"/>
  <c r="S134" i="7"/>
  <c r="R134" i="7"/>
  <c r="Q134" i="7"/>
  <c r="O134" i="7"/>
  <c r="N134" i="7"/>
  <c r="M134" i="7"/>
  <c r="K134" i="7"/>
  <c r="J134" i="7"/>
  <c r="I134" i="7"/>
  <c r="G134" i="7"/>
  <c r="F134" i="7"/>
  <c r="E134" i="7"/>
  <c r="AK11" i="14"/>
  <c r="AL11" i="14"/>
  <c r="AV11" i="14"/>
  <c r="BB11" i="14"/>
  <c r="BL11" i="14"/>
  <c r="BY11" i="14"/>
  <c r="CO11" i="14"/>
  <c r="CP11" i="14"/>
  <c r="CQ11" i="14"/>
  <c r="DE11" i="14"/>
  <c r="DF11" i="14"/>
  <c r="DG11" i="14"/>
  <c r="DW11" i="14"/>
  <c r="ET11" i="14"/>
  <c r="FJ11" i="14"/>
  <c r="FK11" i="14"/>
  <c r="FL11" i="14"/>
  <c r="AB12" i="14"/>
  <c r="AC12" i="14"/>
  <c r="AR12" i="14"/>
  <c r="AS12" i="14"/>
  <c r="AT12" i="14"/>
  <c r="BI12" i="14"/>
  <c r="BJ12" i="14"/>
  <c r="BT12" i="14"/>
  <c r="CF12" i="14"/>
  <c r="CV12" i="14"/>
  <c r="CW12" i="14"/>
  <c r="CX12" i="14"/>
  <c r="DL12" i="14"/>
  <c r="DM12" i="14"/>
  <c r="DN12" i="14"/>
  <c r="ED12" i="14"/>
  <c r="EE12" i="14"/>
  <c r="ER12" i="14"/>
  <c r="FA12" i="14"/>
  <c r="FH12" i="14"/>
  <c r="FR12" i="14"/>
  <c r="FS12" i="14"/>
  <c r="AQ23" i="14" s="1"/>
  <c r="M8" i="14"/>
  <c r="V8" i="14"/>
  <c r="W8" i="14"/>
  <c r="AI8" i="14"/>
  <c r="O19" i="14" s="1"/>
  <c r="AY8" i="14"/>
  <c r="BA8" i="14"/>
  <c r="BB8" i="14"/>
  <c r="BK8" i="14"/>
  <c r="BQ8" i="14"/>
  <c r="BR8" i="14"/>
  <c r="CA8" i="14"/>
  <c r="CH8" i="14"/>
  <c r="CQ8" i="14"/>
  <c r="DC8" i="14"/>
  <c r="DE8" i="14"/>
  <c r="DM8" i="14"/>
  <c r="EB8" i="14"/>
  <c r="EJ8" i="14"/>
  <c r="EK8" i="14"/>
  <c r="ES8" i="14"/>
  <c r="FH8" i="14"/>
  <c r="FP8" i="14"/>
  <c r="FQ8" i="14"/>
  <c r="R9" i="14"/>
  <c r="S9" i="14"/>
  <c r="Z9" i="14"/>
  <c r="AA9" i="14"/>
  <c r="AB9" i="14"/>
  <c r="AC9" i="14"/>
  <c r="AJ9" i="14"/>
  <c r="AK9" i="14"/>
  <c r="AL9" i="14"/>
  <c r="AS9" i="14"/>
  <c r="BF9" i="14"/>
  <c r="BN9" i="14"/>
  <c r="BO9" i="14"/>
  <c r="BV9" i="14"/>
  <c r="BW9" i="14"/>
  <c r="BX9" i="14"/>
  <c r="CD9" i="14"/>
  <c r="CE9" i="14"/>
  <c r="CF9" i="14"/>
  <c r="CL9" i="14"/>
  <c r="CM9" i="14"/>
  <c r="CN9" i="14"/>
  <c r="CT9" i="14"/>
  <c r="CU9" i="14"/>
  <c r="CV9" i="14"/>
  <c r="DB9" i="14"/>
  <c r="DC9" i="14"/>
  <c r="DD9" i="14"/>
  <c r="DJ9" i="14"/>
  <c r="DK9" i="14"/>
  <c r="DL9" i="14"/>
  <c r="DR9" i="14"/>
  <c r="DS9" i="14"/>
  <c r="DT9" i="14"/>
  <c r="DZ9" i="14"/>
  <c r="EA9" i="14"/>
  <c r="EB9" i="14"/>
  <c r="EH9" i="14"/>
  <c r="EI9" i="14"/>
  <c r="EJ9" i="14"/>
  <c r="EP9" i="14"/>
  <c r="EQ9" i="14"/>
  <c r="ER9" i="14"/>
  <c r="EX9" i="14"/>
  <c r="EY9" i="14"/>
  <c r="EZ9" i="14"/>
  <c r="FF9" i="14"/>
  <c r="FG9" i="14"/>
  <c r="FH9" i="14"/>
  <c r="FM9" i="14"/>
  <c r="FN9" i="14"/>
  <c r="AP20" i="14" s="1"/>
  <c r="FO9" i="14"/>
  <c r="FP9" i="14"/>
  <c r="FU9" i="14"/>
  <c r="J9" i="14"/>
  <c r="P126" i="14"/>
  <c r="Q126" i="14"/>
  <c r="R126" i="14"/>
  <c r="S126" i="14"/>
  <c r="T126" i="14"/>
  <c r="U126" i="14"/>
  <c r="V126" i="14"/>
  <c r="W126" i="14"/>
  <c r="X126" i="14"/>
  <c r="Y126" i="14"/>
  <c r="Z126" i="14"/>
  <c r="AA126" i="14"/>
  <c r="AB126" i="14"/>
  <c r="AC126" i="14"/>
  <c r="AD126" i="14"/>
  <c r="AE126" i="14"/>
  <c r="AF126" i="14"/>
  <c r="AG126" i="14"/>
  <c r="AH126" i="14"/>
  <c r="AI126" i="14"/>
  <c r="AJ126" i="14"/>
  <c r="AK126" i="14"/>
  <c r="AL126" i="14"/>
  <c r="AM126" i="14"/>
  <c r="AN126" i="14"/>
  <c r="AO126" i="14"/>
  <c r="AP126" i="14"/>
  <c r="AQ126" i="14"/>
  <c r="AR126" i="14"/>
  <c r="AS126" i="14"/>
  <c r="AT126" i="14"/>
  <c r="AU126" i="14"/>
  <c r="AV126" i="14"/>
  <c r="AW126" i="14"/>
  <c r="AX126" i="14"/>
  <c r="AY126" i="14"/>
  <c r="AZ126" i="14"/>
  <c r="BA126" i="14"/>
  <c r="BB126" i="14"/>
  <c r="BC126" i="14"/>
  <c r="BD126" i="14"/>
  <c r="BE126" i="14"/>
  <c r="BF126" i="14"/>
  <c r="BG126" i="14"/>
  <c r="BH126" i="14"/>
  <c r="BI126" i="14"/>
  <c r="BJ126" i="14"/>
  <c r="BK126" i="14"/>
  <c r="BL126" i="14"/>
  <c r="BM126" i="14"/>
  <c r="BN126" i="14"/>
  <c r="BO126" i="14"/>
  <c r="BP126" i="14"/>
  <c r="BQ126" i="14"/>
  <c r="BR126" i="14"/>
  <c r="BS126" i="14"/>
  <c r="BT126" i="14"/>
  <c r="BU126" i="14"/>
  <c r="BV126" i="14"/>
  <c r="BW126" i="14"/>
  <c r="BX126" i="14"/>
  <c r="BY126" i="14"/>
  <c r="BZ126" i="14"/>
  <c r="CA126" i="14"/>
  <c r="CB126" i="14"/>
  <c r="CC126" i="14"/>
  <c r="CD126" i="14"/>
  <c r="CE126" i="14"/>
  <c r="CF126" i="14"/>
  <c r="CG126" i="14"/>
  <c r="CH126" i="14"/>
  <c r="CI126" i="14"/>
  <c r="CJ126" i="14"/>
  <c r="CK126" i="14"/>
  <c r="CL126" i="14"/>
  <c r="CM126" i="14"/>
  <c r="CN126" i="14"/>
  <c r="CO126" i="14"/>
  <c r="CP126" i="14"/>
  <c r="CQ126" i="14"/>
  <c r="CR126" i="14"/>
  <c r="CS126" i="14"/>
  <c r="CT126" i="14"/>
  <c r="CU126" i="14"/>
  <c r="CV126" i="14"/>
  <c r="CW126" i="14"/>
  <c r="CX126" i="14"/>
  <c r="CY126" i="14"/>
  <c r="CZ126" i="14"/>
  <c r="DA126" i="14"/>
  <c r="DB126" i="14"/>
  <c r="DC126" i="14"/>
  <c r="DD126" i="14"/>
  <c r="DE126" i="14"/>
  <c r="DF126" i="14"/>
  <c r="DG126" i="14"/>
  <c r="DH126" i="14"/>
  <c r="DI126" i="14"/>
  <c r="DJ126" i="14"/>
  <c r="DK126" i="14"/>
  <c r="DL126" i="14"/>
  <c r="DM126" i="14"/>
  <c r="DN126" i="14"/>
  <c r="DO126" i="14"/>
  <c r="DP126" i="14"/>
  <c r="DQ126" i="14"/>
  <c r="DR126" i="14"/>
  <c r="DS126" i="14"/>
  <c r="DT126" i="14"/>
  <c r="DU126" i="14"/>
  <c r="DV126" i="14"/>
  <c r="DW126" i="14"/>
  <c r="DX126" i="14"/>
  <c r="DY126" i="14"/>
  <c r="DZ126" i="14"/>
  <c r="EA126" i="14"/>
  <c r="EB126" i="14"/>
  <c r="EC126" i="14"/>
  <c r="ED126" i="14"/>
  <c r="EE126" i="14"/>
  <c r="EF126" i="14"/>
  <c r="EG126" i="14"/>
  <c r="EH126" i="14"/>
  <c r="EI126" i="14"/>
  <c r="EJ126" i="14"/>
  <c r="EK126" i="14"/>
  <c r="EL126" i="14"/>
  <c r="EM126" i="14"/>
  <c r="EN126" i="14"/>
  <c r="EO126" i="14"/>
  <c r="EP126" i="14"/>
  <c r="EQ126" i="14"/>
  <c r="ER126" i="14"/>
  <c r="ES126" i="14"/>
  <c r="ET126" i="14"/>
  <c r="EU126" i="14"/>
  <c r="EV126" i="14"/>
  <c r="EW126" i="14"/>
  <c r="EX126" i="14"/>
  <c r="EY126" i="14"/>
  <c r="EZ126" i="14"/>
  <c r="FA126" i="14"/>
  <c r="FB126" i="14"/>
  <c r="FC126" i="14"/>
  <c r="FD126" i="14"/>
  <c r="FE126" i="14"/>
  <c r="FF126" i="14"/>
  <c r="FG126" i="14"/>
  <c r="FH126" i="14"/>
  <c r="FI126" i="14"/>
  <c r="FJ126" i="14"/>
  <c r="FK126" i="14"/>
  <c r="FL126" i="14"/>
  <c r="FM126" i="14"/>
  <c r="FN126" i="14"/>
  <c r="FO126" i="14"/>
  <c r="FP126" i="14"/>
  <c r="FQ126" i="14"/>
  <c r="FR126" i="14"/>
  <c r="FS126" i="14"/>
  <c r="FT126" i="14"/>
  <c r="FU126" i="14"/>
  <c r="P127" i="14"/>
  <c r="Q127" i="14"/>
  <c r="R127" i="14"/>
  <c r="S127" i="14"/>
  <c r="T127" i="14"/>
  <c r="U127" i="14"/>
  <c r="V127" i="14"/>
  <c r="W127" i="14"/>
  <c r="X127" i="14"/>
  <c r="Y127" i="14"/>
  <c r="Z127" i="14"/>
  <c r="AA127" i="14"/>
  <c r="AB127" i="14"/>
  <c r="AC127" i="14"/>
  <c r="AD127" i="14"/>
  <c r="AE127" i="14"/>
  <c r="AF127" i="14"/>
  <c r="AG127" i="14"/>
  <c r="AH127" i="14"/>
  <c r="AI127" i="14"/>
  <c r="AJ127" i="14"/>
  <c r="AK127" i="14"/>
  <c r="AL127" i="14"/>
  <c r="AM127" i="14"/>
  <c r="AN127" i="14"/>
  <c r="AO127" i="14"/>
  <c r="AP127" i="14"/>
  <c r="AQ127" i="14"/>
  <c r="AR127" i="14"/>
  <c r="AS127" i="14"/>
  <c r="AT127" i="14"/>
  <c r="AU127" i="14"/>
  <c r="AV127" i="14"/>
  <c r="AW127" i="14"/>
  <c r="AX127" i="14"/>
  <c r="AY127" i="14"/>
  <c r="AZ127" i="14"/>
  <c r="BA127" i="14"/>
  <c r="BB127" i="14"/>
  <c r="BC127" i="14"/>
  <c r="BD127" i="14"/>
  <c r="BE127" i="14"/>
  <c r="BF127" i="14"/>
  <c r="BG127" i="14"/>
  <c r="BH127" i="14"/>
  <c r="BI127" i="14"/>
  <c r="BJ127" i="14"/>
  <c r="BK127" i="14"/>
  <c r="BL127" i="14"/>
  <c r="BM127" i="14"/>
  <c r="BN127" i="14"/>
  <c r="BO127" i="14"/>
  <c r="BP127" i="14"/>
  <c r="BQ127" i="14"/>
  <c r="BR127" i="14"/>
  <c r="BS127" i="14"/>
  <c r="BT127" i="14"/>
  <c r="BU127" i="14"/>
  <c r="BV127" i="14"/>
  <c r="BW127" i="14"/>
  <c r="BX127" i="14"/>
  <c r="BY127" i="14"/>
  <c r="BZ127" i="14"/>
  <c r="CA127" i="14"/>
  <c r="CB127" i="14"/>
  <c r="CC127" i="14"/>
  <c r="CD127" i="14"/>
  <c r="CE127" i="14"/>
  <c r="CF127" i="14"/>
  <c r="CG127" i="14"/>
  <c r="CH127" i="14"/>
  <c r="CI127" i="14"/>
  <c r="CJ127" i="14"/>
  <c r="CK127" i="14"/>
  <c r="CL127" i="14"/>
  <c r="CM127" i="14"/>
  <c r="CN127" i="14"/>
  <c r="CO127" i="14"/>
  <c r="CP127" i="14"/>
  <c r="CQ127" i="14"/>
  <c r="CR127" i="14"/>
  <c r="CS127" i="14"/>
  <c r="CT127" i="14"/>
  <c r="CU127" i="14"/>
  <c r="CV127" i="14"/>
  <c r="CW127" i="14"/>
  <c r="CX127" i="14"/>
  <c r="CY127" i="14"/>
  <c r="CZ127" i="14"/>
  <c r="DA127" i="14"/>
  <c r="DB127" i="14"/>
  <c r="DC127" i="14"/>
  <c r="DD127" i="14"/>
  <c r="DE127" i="14"/>
  <c r="DF127" i="14"/>
  <c r="DG127" i="14"/>
  <c r="DH127" i="14"/>
  <c r="DI127" i="14"/>
  <c r="DJ127" i="14"/>
  <c r="DK127" i="14"/>
  <c r="DL127" i="14"/>
  <c r="DM127" i="14"/>
  <c r="DN127" i="14"/>
  <c r="DO127" i="14"/>
  <c r="DP127" i="14"/>
  <c r="DQ127" i="14"/>
  <c r="DR127" i="14"/>
  <c r="DS127" i="14"/>
  <c r="DT127" i="14"/>
  <c r="DU127" i="14"/>
  <c r="DV127" i="14"/>
  <c r="DW127" i="14"/>
  <c r="DX127" i="14"/>
  <c r="DY127" i="14"/>
  <c r="DZ127" i="14"/>
  <c r="EA127" i="14"/>
  <c r="EB127" i="14"/>
  <c r="EC127" i="14"/>
  <c r="ED127" i="14"/>
  <c r="EE127" i="14"/>
  <c r="EF127" i="14"/>
  <c r="EG127" i="14"/>
  <c r="EH127" i="14"/>
  <c r="EI127" i="14"/>
  <c r="EJ127" i="14"/>
  <c r="EK127" i="14"/>
  <c r="EL127" i="14"/>
  <c r="EM127" i="14"/>
  <c r="EN127" i="14"/>
  <c r="EO127" i="14"/>
  <c r="EP127" i="14"/>
  <c r="EQ127" i="14"/>
  <c r="ER127" i="14"/>
  <c r="ES127" i="14"/>
  <c r="ET127" i="14"/>
  <c r="EU127" i="14"/>
  <c r="EV127" i="14"/>
  <c r="EW127" i="14"/>
  <c r="EX127" i="14"/>
  <c r="EY127" i="14"/>
  <c r="EZ127" i="14"/>
  <c r="FA127" i="14"/>
  <c r="FB127" i="14"/>
  <c r="FC127" i="14"/>
  <c r="FD127" i="14"/>
  <c r="FE127" i="14"/>
  <c r="FF127" i="14"/>
  <c r="FG127" i="14"/>
  <c r="FH127" i="14"/>
  <c r="FI127" i="14"/>
  <c r="FJ127" i="14"/>
  <c r="FK127" i="14"/>
  <c r="FL127" i="14"/>
  <c r="FM127" i="14"/>
  <c r="FN127" i="14"/>
  <c r="FO127" i="14"/>
  <c r="FP127" i="14"/>
  <c r="FQ127" i="14"/>
  <c r="FR127" i="14"/>
  <c r="FS127" i="14"/>
  <c r="FT127" i="14"/>
  <c r="FU127" i="14"/>
  <c r="FM144" i="14"/>
  <c r="FN144" i="14"/>
  <c r="FO144" i="14"/>
  <c r="FP144" i="14"/>
  <c r="FQ144" i="14"/>
  <c r="FR144" i="14"/>
  <c r="FS144" i="14"/>
  <c r="FT144" i="14"/>
  <c r="FU144" i="14"/>
  <c r="FM145" i="14"/>
  <c r="FN145" i="14"/>
  <c r="FO145" i="14"/>
  <c r="FP145" i="14"/>
  <c r="FQ145" i="14"/>
  <c r="FR145" i="14"/>
  <c r="FS145" i="14"/>
  <c r="FT145" i="14"/>
  <c r="FU145" i="14"/>
  <c r="FL145" i="14"/>
  <c r="FM108" i="14"/>
  <c r="FN108" i="14"/>
  <c r="FO108" i="14"/>
  <c r="FP108" i="14"/>
  <c r="FQ108" i="14"/>
  <c r="FQ9" i="14" s="1"/>
  <c r="FR108" i="14"/>
  <c r="FR9" i="14" s="1"/>
  <c r="FS108" i="14"/>
  <c r="FS9" i="14" s="1"/>
  <c r="FT108" i="14"/>
  <c r="FT9" i="14" s="1"/>
  <c r="FU108" i="14"/>
  <c r="FM109" i="14"/>
  <c r="FM12" i="14" s="1"/>
  <c r="FN109" i="14"/>
  <c r="FN12" i="14" s="1"/>
  <c r="FO109" i="14"/>
  <c r="FO12" i="14" s="1"/>
  <c r="FP109" i="14"/>
  <c r="FP12" i="14" s="1"/>
  <c r="FQ109" i="14"/>
  <c r="FQ12" i="14" s="1"/>
  <c r="FR109" i="14"/>
  <c r="FS109" i="14"/>
  <c r="FT109" i="14"/>
  <c r="FT12" i="14" s="1"/>
  <c r="FU109" i="14"/>
  <c r="FU12" i="14" s="1"/>
  <c r="FL109" i="14"/>
  <c r="FL12" i="14" s="1"/>
  <c r="FM90" i="14"/>
  <c r="FN90" i="14"/>
  <c r="FO90" i="14"/>
  <c r="FP90" i="14"/>
  <c r="FQ90" i="14"/>
  <c r="FR90" i="14"/>
  <c r="FS90" i="14"/>
  <c r="FT90" i="14"/>
  <c r="FU90" i="14"/>
  <c r="FM91" i="14"/>
  <c r="FN91" i="14"/>
  <c r="FO91" i="14"/>
  <c r="FP91" i="14"/>
  <c r="FQ91" i="14"/>
  <c r="FR91" i="14"/>
  <c r="FS91" i="14"/>
  <c r="FT91" i="14"/>
  <c r="FU91" i="14"/>
  <c r="FL91" i="14"/>
  <c r="FK145" i="14"/>
  <c r="FJ145" i="14"/>
  <c r="FI145" i="14"/>
  <c r="FH145" i="14"/>
  <c r="FG145" i="14"/>
  <c r="FF145" i="14"/>
  <c r="FE145" i="14"/>
  <c r="FD145" i="14"/>
  <c r="FC145" i="14"/>
  <c r="FB145" i="14"/>
  <c r="FA145" i="14"/>
  <c r="EZ145" i="14"/>
  <c r="EY145" i="14"/>
  <c r="EX145" i="14"/>
  <c r="EW145" i="14"/>
  <c r="EV145" i="14"/>
  <c r="EU145" i="14"/>
  <c r="ET145" i="14"/>
  <c r="ES145" i="14"/>
  <c r="ER145" i="14"/>
  <c r="EQ145" i="14"/>
  <c r="EP145" i="14"/>
  <c r="EO145" i="14"/>
  <c r="EN145" i="14"/>
  <c r="EM145" i="14"/>
  <c r="EL145" i="14"/>
  <c r="EK145" i="14"/>
  <c r="EJ145" i="14"/>
  <c r="EI145" i="14"/>
  <c r="EH145" i="14"/>
  <c r="EG145" i="14"/>
  <c r="EF145" i="14"/>
  <c r="EE145" i="14"/>
  <c r="ED145" i="14"/>
  <c r="EC145" i="14"/>
  <c r="EB145" i="14"/>
  <c r="EA145" i="14"/>
  <c r="DZ145" i="14"/>
  <c r="DY145" i="14"/>
  <c r="DX145" i="14"/>
  <c r="DW145" i="14"/>
  <c r="DV145" i="14"/>
  <c r="DU145" i="14"/>
  <c r="DT145" i="14"/>
  <c r="DS145" i="14"/>
  <c r="DR145" i="14"/>
  <c r="DQ145" i="14"/>
  <c r="DP145" i="14"/>
  <c r="DO145" i="14"/>
  <c r="DN145" i="14"/>
  <c r="DM145" i="14"/>
  <c r="DL145" i="14"/>
  <c r="DK145" i="14"/>
  <c r="DJ145" i="14"/>
  <c r="DI145" i="14"/>
  <c r="DH145" i="14"/>
  <c r="DG145" i="14"/>
  <c r="DF145" i="14"/>
  <c r="DE145" i="14"/>
  <c r="DD145" i="14"/>
  <c r="DC145" i="14"/>
  <c r="DB145" i="14"/>
  <c r="DA145" i="14"/>
  <c r="CZ145" i="14"/>
  <c r="CY145" i="14"/>
  <c r="CX145" i="14"/>
  <c r="CW145" i="14"/>
  <c r="CV145" i="14"/>
  <c r="CU145" i="14"/>
  <c r="CT145" i="14"/>
  <c r="CS145" i="14"/>
  <c r="CR145" i="14"/>
  <c r="CQ145" i="14"/>
  <c r="CP145" i="14"/>
  <c r="CO145" i="14"/>
  <c r="CN145" i="14"/>
  <c r="CM145" i="14"/>
  <c r="CL145" i="14"/>
  <c r="CK145" i="14"/>
  <c r="CJ145" i="14"/>
  <c r="CI145" i="14"/>
  <c r="CH145" i="14"/>
  <c r="CG145" i="14"/>
  <c r="CF145" i="14"/>
  <c r="CE145" i="14"/>
  <c r="CD145" i="14"/>
  <c r="CC145" i="14"/>
  <c r="CB145" i="14"/>
  <c r="CA145" i="14"/>
  <c r="BZ145" i="14"/>
  <c r="BY145" i="14"/>
  <c r="BX145" i="14"/>
  <c r="BW145" i="14"/>
  <c r="BV145" i="14"/>
  <c r="BU145" i="14"/>
  <c r="BT145" i="14"/>
  <c r="BS145" i="14"/>
  <c r="BR145" i="14"/>
  <c r="BQ145" i="14"/>
  <c r="BP145" i="14"/>
  <c r="BO145" i="14"/>
  <c r="BN145" i="14"/>
  <c r="BM145" i="14"/>
  <c r="BL145" i="14"/>
  <c r="BK145" i="14"/>
  <c r="BJ145" i="14"/>
  <c r="BI145" i="14"/>
  <c r="BH145" i="14"/>
  <c r="BG145" i="14"/>
  <c r="BF145" i="14"/>
  <c r="BE145" i="14"/>
  <c r="BD145" i="14"/>
  <c r="BC145" i="14"/>
  <c r="BB145" i="14"/>
  <c r="BA145" i="14"/>
  <c r="AZ145" i="14"/>
  <c r="AY145" i="14"/>
  <c r="AX145" i="14"/>
  <c r="AW145" i="14"/>
  <c r="AV145" i="14"/>
  <c r="AU145" i="14"/>
  <c r="AT145" i="14"/>
  <c r="AS145" i="14"/>
  <c r="AR145" i="14"/>
  <c r="AQ145" i="14"/>
  <c r="AP145" i="14"/>
  <c r="AO145" i="14"/>
  <c r="AN145" i="14"/>
  <c r="AM145" i="14"/>
  <c r="AL145" i="14"/>
  <c r="AK145" i="14"/>
  <c r="AJ145" i="14"/>
  <c r="AI145" i="14"/>
  <c r="AH145" i="14"/>
  <c r="AG145" i="14"/>
  <c r="AF145" i="14"/>
  <c r="AE145" i="14"/>
  <c r="AD145" i="14"/>
  <c r="AC145" i="14"/>
  <c r="AB145" i="14"/>
  <c r="AA145" i="14"/>
  <c r="Z145" i="14"/>
  <c r="Y145" i="14"/>
  <c r="X145" i="14"/>
  <c r="W145" i="14"/>
  <c r="V145" i="14"/>
  <c r="U145" i="14"/>
  <c r="T145" i="14"/>
  <c r="S145" i="14"/>
  <c r="R145" i="14"/>
  <c r="Q145" i="14"/>
  <c r="P145" i="14"/>
  <c r="O145" i="14"/>
  <c r="N145" i="14"/>
  <c r="M145" i="14"/>
  <c r="L145" i="14"/>
  <c r="K145" i="14"/>
  <c r="J145" i="14"/>
  <c r="FL144" i="14"/>
  <c r="FK144" i="14"/>
  <c r="FJ144" i="14"/>
  <c r="FI144" i="14"/>
  <c r="FH144" i="14"/>
  <c r="FG144" i="14"/>
  <c r="FF144" i="14"/>
  <c r="FE144" i="14"/>
  <c r="FD144" i="14"/>
  <c r="FC144" i="14"/>
  <c r="FB144" i="14"/>
  <c r="FA144" i="14"/>
  <c r="EZ144" i="14"/>
  <c r="EY144" i="14"/>
  <c r="EX144" i="14"/>
  <c r="EW144" i="14"/>
  <c r="EV144" i="14"/>
  <c r="EU144" i="14"/>
  <c r="ET144" i="14"/>
  <c r="ES144" i="14"/>
  <c r="ER144" i="14"/>
  <c r="EQ144" i="14"/>
  <c r="EP144" i="14"/>
  <c r="EO144" i="14"/>
  <c r="EN144" i="14"/>
  <c r="EM144" i="14"/>
  <c r="EL144" i="14"/>
  <c r="EK144" i="14"/>
  <c r="EJ144" i="14"/>
  <c r="EI144" i="14"/>
  <c r="EH144" i="14"/>
  <c r="EG144" i="14"/>
  <c r="EF144" i="14"/>
  <c r="EE144" i="14"/>
  <c r="ED144" i="14"/>
  <c r="EC144" i="14"/>
  <c r="EB144" i="14"/>
  <c r="EA144" i="14"/>
  <c r="DZ144" i="14"/>
  <c r="DY144" i="14"/>
  <c r="DX144" i="14"/>
  <c r="DW144" i="14"/>
  <c r="DV144" i="14"/>
  <c r="DU144" i="14"/>
  <c r="DT144" i="14"/>
  <c r="DS144" i="14"/>
  <c r="DR144" i="14"/>
  <c r="DQ144" i="14"/>
  <c r="DP144" i="14"/>
  <c r="DO144" i="14"/>
  <c r="DN144" i="14"/>
  <c r="DM144" i="14"/>
  <c r="DL144" i="14"/>
  <c r="DK144" i="14"/>
  <c r="DJ144" i="14"/>
  <c r="DI144" i="14"/>
  <c r="DH144" i="14"/>
  <c r="DG144" i="14"/>
  <c r="DF144" i="14"/>
  <c r="DE144" i="14"/>
  <c r="DD144" i="14"/>
  <c r="DC144" i="14"/>
  <c r="DB144" i="14"/>
  <c r="DA144" i="14"/>
  <c r="CZ144" i="14"/>
  <c r="CY144" i="14"/>
  <c r="CX144" i="14"/>
  <c r="CW144" i="14"/>
  <c r="CV144" i="14"/>
  <c r="CU144" i="14"/>
  <c r="CT144" i="14"/>
  <c r="CS144" i="14"/>
  <c r="CR144" i="14"/>
  <c r="CQ144" i="14"/>
  <c r="CP144" i="14"/>
  <c r="CO144" i="14"/>
  <c r="CN144" i="14"/>
  <c r="CM144" i="14"/>
  <c r="CL144" i="14"/>
  <c r="CK144" i="14"/>
  <c r="CJ144" i="14"/>
  <c r="CI144" i="14"/>
  <c r="CH144" i="14"/>
  <c r="CG144" i="14"/>
  <c r="CF144" i="14"/>
  <c r="CE144" i="14"/>
  <c r="CD144" i="14"/>
  <c r="CC144" i="14"/>
  <c r="CB144" i="14"/>
  <c r="CA144" i="14"/>
  <c r="BZ144" i="14"/>
  <c r="BY144" i="14"/>
  <c r="BX144" i="14"/>
  <c r="BW144" i="14"/>
  <c r="BV144" i="14"/>
  <c r="BU144" i="14"/>
  <c r="BT144" i="14"/>
  <c r="BS144" i="14"/>
  <c r="BR144" i="14"/>
  <c r="BQ144" i="14"/>
  <c r="BP144" i="14"/>
  <c r="BO144" i="14"/>
  <c r="BN144" i="14"/>
  <c r="BM144" i="14"/>
  <c r="BL144" i="14"/>
  <c r="BK144" i="14"/>
  <c r="BJ144" i="14"/>
  <c r="BI144" i="14"/>
  <c r="BH144" i="14"/>
  <c r="BG144" i="14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O127" i="14"/>
  <c r="N127" i="14"/>
  <c r="M127" i="14"/>
  <c r="L127" i="14"/>
  <c r="K127" i="14"/>
  <c r="J127" i="14"/>
  <c r="O126" i="14"/>
  <c r="N126" i="14"/>
  <c r="M126" i="14"/>
  <c r="L126" i="14"/>
  <c r="K126" i="14"/>
  <c r="J126" i="14"/>
  <c r="FK109" i="14"/>
  <c r="FK12" i="14" s="1"/>
  <c r="FJ109" i="14"/>
  <c r="FJ12" i="14" s="1"/>
  <c r="FI109" i="14"/>
  <c r="FI12" i="14" s="1"/>
  <c r="FH109" i="14"/>
  <c r="FG109" i="14"/>
  <c r="FG12" i="14" s="1"/>
  <c r="FF109" i="14"/>
  <c r="FF12" i="14" s="1"/>
  <c r="FE109" i="14"/>
  <c r="FE12" i="14" s="1"/>
  <c r="FD109" i="14"/>
  <c r="FD12" i="14" s="1"/>
  <c r="FC109" i="14"/>
  <c r="FC12" i="14" s="1"/>
  <c r="FB109" i="14"/>
  <c r="FB12" i="14" s="1"/>
  <c r="FA109" i="14"/>
  <c r="EZ109" i="14"/>
  <c r="EZ12" i="14" s="1"/>
  <c r="EY109" i="14"/>
  <c r="EY12" i="14" s="1"/>
  <c r="EX109" i="14"/>
  <c r="EX12" i="14" s="1"/>
  <c r="EW109" i="14"/>
  <c r="EW12" i="14" s="1"/>
  <c r="EV109" i="14"/>
  <c r="EV12" i="14" s="1"/>
  <c r="EU109" i="14"/>
  <c r="EU12" i="14" s="1"/>
  <c r="ET109" i="14"/>
  <c r="ET12" i="14" s="1"/>
  <c r="ES109" i="14"/>
  <c r="ES12" i="14" s="1"/>
  <c r="ER109" i="14"/>
  <c r="EQ109" i="14"/>
  <c r="EQ12" i="14" s="1"/>
  <c r="EP109" i="14"/>
  <c r="EP12" i="14" s="1"/>
  <c r="EO109" i="14"/>
  <c r="EO12" i="14" s="1"/>
  <c r="AK23" i="14" s="1"/>
  <c r="EN109" i="14"/>
  <c r="EN12" i="14" s="1"/>
  <c r="EM109" i="14"/>
  <c r="EM12" i="14" s="1"/>
  <c r="EL109" i="14"/>
  <c r="EL12" i="14" s="1"/>
  <c r="EK109" i="14"/>
  <c r="EK12" i="14" s="1"/>
  <c r="EJ109" i="14"/>
  <c r="EJ12" i="14" s="1"/>
  <c r="EI109" i="14"/>
  <c r="EI12" i="14" s="1"/>
  <c r="EH109" i="14"/>
  <c r="EH12" i="14" s="1"/>
  <c r="EG109" i="14"/>
  <c r="EG12" i="14" s="1"/>
  <c r="EF109" i="14"/>
  <c r="EF12" i="14" s="1"/>
  <c r="EE109" i="14"/>
  <c r="ED109" i="14"/>
  <c r="EC109" i="14"/>
  <c r="EC12" i="14" s="1"/>
  <c r="EB109" i="14"/>
  <c r="EB12" i="14" s="1"/>
  <c r="EA109" i="14"/>
  <c r="EA12" i="14" s="1"/>
  <c r="DZ109" i="14"/>
  <c r="DZ12" i="14" s="1"/>
  <c r="AH23" i="14" s="1"/>
  <c r="DY109" i="14"/>
  <c r="DY12" i="14" s="1"/>
  <c r="DX109" i="14"/>
  <c r="DX12" i="14" s="1"/>
  <c r="DW109" i="14"/>
  <c r="DW12" i="14" s="1"/>
  <c r="DV109" i="14"/>
  <c r="DV12" i="14" s="1"/>
  <c r="DU109" i="14"/>
  <c r="DU12" i="14" s="1"/>
  <c r="DT109" i="14"/>
  <c r="DT12" i="14" s="1"/>
  <c r="DS109" i="14"/>
  <c r="DS12" i="14" s="1"/>
  <c r="DR109" i="14"/>
  <c r="DR12" i="14" s="1"/>
  <c r="DQ109" i="14"/>
  <c r="DQ12" i="14" s="1"/>
  <c r="DP109" i="14"/>
  <c r="DP12" i="14" s="1"/>
  <c r="DO109" i="14"/>
  <c r="DO12" i="14" s="1"/>
  <c r="DN109" i="14"/>
  <c r="DM109" i="14"/>
  <c r="DL109" i="14"/>
  <c r="DK109" i="14"/>
  <c r="DK12" i="14" s="1"/>
  <c r="DJ109" i="14"/>
  <c r="DJ12" i="14" s="1"/>
  <c r="DI109" i="14"/>
  <c r="DI12" i="14" s="1"/>
  <c r="DH109" i="14"/>
  <c r="DH12" i="14" s="1"/>
  <c r="DG109" i="14"/>
  <c r="DG12" i="14" s="1"/>
  <c r="DF109" i="14"/>
  <c r="DF12" i="14" s="1"/>
  <c r="DE109" i="14"/>
  <c r="DE12" i="14" s="1"/>
  <c r="DD109" i="14"/>
  <c r="DD12" i="14" s="1"/>
  <c r="DC109" i="14"/>
  <c r="DC12" i="14" s="1"/>
  <c r="DB109" i="14"/>
  <c r="DB12" i="14" s="1"/>
  <c r="DA109" i="14"/>
  <c r="DA12" i="14" s="1"/>
  <c r="AC23" i="14" s="1"/>
  <c r="CZ109" i="14"/>
  <c r="CZ12" i="14" s="1"/>
  <c r="CY109" i="14"/>
  <c r="CY12" i="14" s="1"/>
  <c r="CX109" i="14"/>
  <c r="CW109" i="14"/>
  <c r="CV109" i="14"/>
  <c r="CU109" i="14"/>
  <c r="CU12" i="14" s="1"/>
  <c r="CT109" i="14"/>
  <c r="CT12" i="14" s="1"/>
  <c r="CS109" i="14"/>
  <c r="CS12" i="14" s="1"/>
  <c r="CR109" i="14"/>
  <c r="CR12" i="14" s="1"/>
  <c r="CQ109" i="14"/>
  <c r="CQ12" i="14" s="1"/>
  <c r="AA23" i="14" s="1"/>
  <c r="CP109" i="14"/>
  <c r="CP12" i="14" s="1"/>
  <c r="CO109" i="14"/>
  <c r="CO12" i="14" s="1"/>
  <c r="CN109" i="14"/>
  <c r="CN12" i="14" s="1"/>
  <c r="CM109" i="14"/>
  <c r="CM12" i="14" s="1"/>
  <c r="CL109" i="14"/>
  <c r="CL12" i="14" s="1"/>
  <c r="Z23" i="14" s="1"/>
  <c r="CK109" i="14"/>
  <c r="CK12" i="14" s="1"/>
  <c r="CJ109" i="14"/>
  <c r="CJ12" i="14" s="1"/>
  <c r="CI109" i="14"/>
  <c r="CI12" i="14" s="1"/>
  <c r="CH109" i="14"/>
  <c r="CH12" i="14" s="1"/>
  <c r="CG109" i="14"/>
  <c r="CG12" i="14" s="1"/>
  <c r="CF109" i="14"/>
  <c r="CE109" i="14"/>
  <c r="CE12" i="14" s="1"/>
  <c r="CD109" i="14"/>
  <c r="CD12" i="14" s="1"/>
  <c r="CC109" i="14"/>
  <c r="CC12" i="14" s="1"/>
  <c r="CB109" i="14"/>
  <c r="CB12" i="14" s="1"/>
  <c r="CA109" i="14"/>
  <c r="CA12" i="14" s="1"/>
  <c r="BZ109" i="14"/>
  <c r="BZ12" i="14" s="1"/>
  <c r="BY109" i="14"/>
  <c r="BY12" i="14" s="1"/>
  <c r="BX109" i="14"/>
  <c r="BX12" i="14" s="1"/>
  <c r="BW109" i="14"/>
  <c r="BW12" i="14" s="1"/>
  <c r="BV109" i="14"/>
  <c r="BV12" i="14" s="1"/>
  <c r="BU109" i="14"/>
  <c r="BU12" i="14" s="1"/>
  <c r="BT109" i="14"/>
  <c r="BS109" i="14"/>
  <c r="BS12" i="14" s="1"/>
  <c r="BR109" i="14"/>
  <c r="BR12" i="14" s="1"/>
  <c r="BQ109" i="14"/>
  <c r="BQ12" i="14" s="1"/>
  <c r="BP109" i="14"/>
  <c r="BP12" i="14" s="1"/>
  <c r="BO109" i="14"/>
  <c r="BO12" i="14" s="1"/>
  <c r="BN109" i="14"/>
  <c r="BN12" i="14" s="1"/>
  <c r="BM109" i="14"/>
  <c r="BM12" i="14" s="1"/>
  <c r="U23" i="14" s="1"/>
  <c r="BL109" i="14"/>
  <c r="BL12" i="14" s="1"/>
  <c r="BK109" i="14"/>
  <c r="BK12" i="14" s="1"/>
  <c r="BJ109" i="14"/>
  <c r="BI109" i="14"/>
  <c r="BH109" i="14"/>
  <c r="BH12" i="14" s="1"/>
  <c r="BG109" i="14"/>
  <c r="BG12" i="14" s="1"/>
  <c r="BF109" i="14"/>
  <c r="BF12" i="14" s="1"/>
  <c r="BE109" i="14"/>
  <c r="BE12" i="14" s="1"/>
  <c r="BD109" i="14"/>
  <c r="BD12" i="14" s="1"/>
  <c r="BC109" i="14"/>
  <c r="BC12" i="14" s="1"/>
  <c r="BB109" i="14"/>
  <c r="BB12" i="14" s="1"/>
  <c r="BA109" i="14"/>
  <c r="BA12" i="14" s="1"/>
  <c r="AZ109" i="14"/>
  <c r="AZ12" i="14" s="1"/>
  <c r="AY109" i="14"/>
  <c r="AY12" i="14" s="1"/>
  <c r="AX109" i="14"/>
  <c r="AX12" i="14" s="1"/>
  <c r="AW109" i="14"/>
  <c r="AW12" i="14" s="1"/>
  <c r="AV109" i="14"/>
  <c r="AV12" i="14" s="1"/>
  <c r="AU109" i="14"/>
  <c r="AU12" i="14" s="1"/>
  <c r="AT109" i="14"/>
  <c r="AS109" i="14"/>
  <c r="AR109" i="14"/>
  <c r="AQ109" i="14"/>
  <c r="AQ12" i="14" s="1"/>
  <c r="AP109" i="14"/>
  <c r="AP12" i="14" s="1"/>
  <c r="AO109" i="14"/>
  <c r="AO12" i="14" s="1"/>
  <c r="AN109" i="14"/>
  <c r="AN12" i="14" s="1"/>
  <c r="AM109" i="14"/>
  <c r="AM12" i="14" s="1"/>
  <c r="AL109" i="14"/>
  <c r="AL12" i="14" s="1"/>
  <c r="AK109" i="14"/>
  <c r="AK12" i="14" s="1"/>
  <c r="AJ109" i="14"/>
  <c r="AJ12" i="14" s="1"/>
  <c r="AI109" i="14"/>
  <c r="AI12" i="14" s="1"/>
  <c r="AH109" i="14"/>
  <c r="AH12" i="14" s="1"/>
  <c r="AG109" i="14"/>
  <c r="AG12" i="14" s="1"/>
  <c r="AF109" i="14"/>
  <c r="AF12" i="14" s="1"/>
  <c r="AE109" i="14"/>
  <c r="AE12" i="14" s="1"/>
  <c r="AD109" i="14"/>
  <c r="AD12" i="14" s="1"/>
  <c r="AC109" i="14"/>
  <c r="AB109" i="14"/>
  <c r="AA109" i="14"/>
  <c r="AA12" i="14" s="1"/>
  <c r="Z109" i="14"/>
  <c r="Z12" i="14" s="1"/>
  <c r="Y109" i="14"/>
  <c r="Y12" i="14" s="1"/>
  <c r="M23" i="14" s="1"/>
  <c r="X109" i="14"/>
  <c r="X12" i="14" s="1"/>
  <c r="W109" i="14"/>
  <c r="W12" i="14" s="1"/>
  <c r="V109" i="14"/>
  <c r="V12" i="14" s="1"/>
  <c r="U109" i="14"/>
  <c r="U12" i="14" s="1"/>
  <c r="T109" i="14"/>
  <c r="T12" i="14" s="1"/>
  <c r="L23" i="14" s="1"/>
  <c r="S109" i="14"/>
  <c r="S12" i="14" s="1"/>
  <c r="R109" i="14"/>
  <c r="R12" i="14" s="1"/>
  <c r="Q109" i="14"/>
  <c r="Q12" i="14" s="1"/>
  <c r="P109" i="14"/>
  <c r="P12" i="14" s="1"/>
  <c r="O109" i="14"/>
  <c r="O12" i="14" s="1"/>
  <c r="K23" i="14" s="1"/>
  <c r="N109" i="14"/>
  <c r="N12" i="14" s="1"/>
  <c r="M109" i="14"/>
  <c r="M12" i="14" s="1"/>
  <c r="L109" i="14"/>
  <c r="L12" i="14" s="1"/>
  <c r="K109" i="14"/>
  <c r="K12" i="14" s="1"/>
  <c r="J109" i="14"/>
  <c r="J12" i="14" s="1"/>
  <c r="J23" i="14" s="1"/>
  <c r="FL108" i="14"/>
  <c r="FL9" i="14" s="1"/>
  <c r="FK108" i="14"/>
  <c r="FK9" i="14" s="1"/>
  <c r="FJ108" i="14"/>
  <c r="FJ9" i="14" s="1"/>
  <c r="FI108" i="14"/>
  <c r="FI6" i="14" s="1"/>
  <c r="FH108" i="14"/>
  <c r="FG108" i="14"/>
  <c r="FF108" i="14"/>
  <c r="FE108" i="14"/>
  <c r="FE9" i="14" s="1"/>
  <c r="FD108" i="14"/>
  <c r="FD9" i="14" s="1"/>
  <c r="FC108" i="14"/>
  <c r="FC9" i="14" s="1"/>
  <c r="FB108" i="14"/>
  <c r="FB9" i="14" s="1"/>
  <c r="FA108" i="14"/>
  <c r="FA6" i="14" s="1"/>
  <c r="EZ108" i="14"/>
  <c r="EY108" i="14"/>
  <c r="EX108" i="14"/>
  <c r="EW108" i="14"/>
  <c r="EW9" i="14" s="1"/>
  <c r="EV108" i="14"/>
  <c r="EV9" i="14" s="1"/>
  <c r="EU108" i="14"/>
  <c r="EU9" i="14" s="1"/>
  <c r="ET108" i="14"/>
  <c r="ET9" i="14" s="1"/>
  <c r="ES108" i="14"/>
  <c r="ES6" i="14" s="1"/>
  <c r="ER108" i="14"/>
  <c r="EQ108" i="14"/>
  <c r="EP108" i="14"/>
  <c r="EO108" i="14"/>
  <c r="EO9" i="14" s="1"/>
  <c r="EN108" i="14"/>
  <c r="EN9" i="14" s="1"/>
  <c r="EM108" i="14"/>
  <c r="EM9" i="14" s="1"/>
  <c r="EL108" i="14"/>
  <c r="EL9" i="14" s="1"/>
  <c r="EK108" i="14"/>
  <c r="EK6" i="14" s="1"/>
  <c r="EJ108" i="14"/>
  <c r="EI108" i="14"/>
  <c r="EH108" i="14"/>
  <c r="EG108" i="14"/>
  <c r="EG9" i="14" s="1"/>
  <c r="EF108" i="14"/>
  <c r="EF9" i="14" s="1"/>
  <c r="EE108" i="14"/>
  <c r="EE9" i="14" s="1"/>
  <c r="ED108" i="14"/>
  <c r="ED9" i="14" s="1"/>
  <c r="EC108" i="14"/>
  <c r="EC6" i="14" s="1"/>
  <c r="EB108" i="14"/>
  <c r="EA108" i="14"/>
  <c r="DZ108" i="14"/>
  <c r="DY108" i="14"/>
  <c r="DY9" i="14" s="1"/>
  <c r="DX108" i="14"/>
  <c r="DX9" i="14" s="1"/>
  <c r="DW108" i="14"/>
  <c r="DW9" i="14" s="1"/>
  <c r="DV108" i="14"/>
  <c r="DV9" i="14" s="1"/>
  <c r="DU108" i="14"/>
  <c r="DU6" i="14" s="1"/>
  <c r="DT108" i="14"/>
  <c r="DS108" i="14"/>
  <c r="DR108" i="14"/>
  <c r="DQ108" i="14"/>
  <c r="DQ9" i="14" s="1"/>
  <c r="DP108" i="14"/>
  <c r="DP9" i="14" s="1"/>
  <c r="AF20" i="14" s="1"/>
  <c r="DO108" i="14"/>
  <c r="DO9" i="14" s="1"/>
  <c r="DN108" i="14"/>
  <c r="DN9" i="14" s="1"/>
  <c r="DM108" i="14"/>
  <c r="DM6" i="14" s="1"/>
  <c r="DL108" i="14"/>
  <c r="DK108" i="14"/>
  <c r="DJ108" i="14"/>
  <c r="DI108" i="14"/>
  <c r="DI9" i="14" s="1"/>
  <c r="DH108" i="14"/>
  <c r="DH9" i="14" s="1"/>
  <c r="DG108" i="14"/>
  <c r="DG9" i="14" s="1"/>
  <c r="DF108" i="14"/>
  <c r="DF9" i="14" s="1"/>
  <c r="DE108" i="14"/>
  <c r="DE6" i="14" s="1"/>
  <c r="DD108" i="14"/>
  <c r="DC108" i="14"/>
  <c r="DB108" i="14"/>
  <c r="DA108" i="14"/>
  <c r="DA9" i="14" s="1"/>
  <c r="CZ108" i="14"/>
  <c r="CZ9" i="14" s="1"/>
  <c r="CY108" i="14"/>
  <c r="CY9" i="14" s="1"/>
  <c r="CX108" i="14"/>
  <c r="CX9" i="14" s="1"/>
  <c r="CW108" i="14"/>
  <c r="CW6" i="14" s="1"/>
  <c r="CV108" i="14"/>
  <c r="CU108" i="14"/>
  <c r="CT108" i="14"/>
  <c r="CS108" i="14"/>
  <c r="CS9" i="14" s="1"/>
  <c r="CR108" i="14"/>
  <c r="CR9" i="14" s="1"/>
  <c r="CQ108" i="14"/>
  <c r="CQ9" i="14" s="1"/>
  <c r="CP108" i="14"/>
  <c r="CP9" i="14" s="1"/>
  <c r="CO108" i="14"/>
  <c r="CO6" i="14" s="1"/>
  <c r="CN108" i="14"/>
  <c r="CM108" i="14"/>
  <c r="CL108" i="14"/>
  <c r="CK108" i="14"/>
  <c r="CK9" i="14" s="1"/>
  <c r="CJ108" i="14"/>
  <c r="CJ9" i="14" s="1"/>
  <c r="CI108" i="14"/>
  <c r="CI9" i="14" s="1"/>
  <c r="CH108" i="14"/>
  <c r="CH9" i="14" s="1"/>
  <c r="CG108" i="14"/>
  <c r="CG6" i="14" s="1"/>
  <c r="CF108" i="14"/>
  <c r="CE108" i="14"/>
  <c r="CD108" i="14"/>
  <c r="CC108" i="14"/>
  <c r="CC9" i="14" s="1"/>
  <c r="CB108" i="14"/>
  <c r="CB9" i="14" s="1"/>
  <c r="X20" i="14" s="1"/>
  <c r="CA108" i="14"/>
  <c r="CA9" i="14" s="1"/>
  <c r="BZ108" i="14"/>
  <c r="BZ9" i="14" s="1"/>
  <c r="BY108" i="14"/>
  <c r="BY6" i="14" s="1"/>
  <c r="BX108" i="14"/>
  <c r="BW108" i="14"/>
  <c r="BV108" i="14"/>
  <c r="BU108" i="14"/>
  <c r="BU9" i="14" s="1"/>
  <c r="BT108" i="14"/>
  <c r="BT9" i="14" s="1"/>
  <c r="BS108" i="14"/>
  <c r="BS9" i="14" s="1"/>
  <c r="V20" i="14" s="1"/>
  <c r="BR108" i="14"/>
  <c r="BR9" i="14" s="1"/>
  <c r="BQ108" i="14"/>
  <c r="BQ6" i="14" s="1"/>
  <c r="BP108" i="14"/>
  <c r="BP9" i="14" s="1"/>
  <c r="BO108" i="14"/>
  <c r="BN108" i="14"/>
  <c r="BM108" i="14"/>
  <c r="BM9" i="14" s="1"/>
  <c r="BL108" i="14"/>
  <c r="BL9" i="14" s="1"/>
  <c r="BK108" i="14"/>
  <c r="BK9" i="14" s="1"/>
  <c r="BJ108" i="14"/>
  <c r="BJ9" i="14" s="1"/>
  <c r="BI108" i="14"/>
  <c r="BI6" i="14" s="1"/>
  <c r="BH108" i="14"/>
  <c r="BH9" i="14" s="1"/>
  <c r="BG108" i="14"/>
  <c r="BG9" i="14" s="1"/>
  <c r="BF108" i="14"/>
  <c r="BE108" i="14"/>
  <c r="BE9" i="14" s="1"/>
  <c r="BD108" i="14"/>
  <c r="BD9" i="14" s="1"/>
  <c r="BC108" i="14"/>
  <c r="BC9" i="14" s="1"/>
  <c r="BB108" i="14"/>
  <c r="BB9" i="14" s="1"/>
  <c r="BA108" i="14"/>
  <c r="BA6" i="14" s="1"/>
  <c r="AZ108" i="14"/>
  <c r="AZ9" i="14" s="1"/>
  <c r="AY108" i="14"/>
  <c r="AY9" i="14" s="1"/>
  <c r="AX108" i="14"/>
  <c r="AX9" i="14" s="1"/>
  <c r="AW108" i="14"/>
  <c r="AW9" i="14" s="1"/>
  <c r="AV108" i="14"/>
  <c r="AV9" i="14" s="1"/>
  <c r="AU108" i="14"/>
  <c r="AU9" i="14" s="1"/>
  <c r="AT108" i="14"/>
  <c r="AT9" i="14" s="1"/>
  <c r="AS108" i="14"/>
  <c r="AS6" i="14" s="1"/>
  <c r="AR108" i="14"/>
  <c r="AR9" i="14" s="1"/>
  <c r="AQ108" i="14"/>
  <c r="AQ9" i="14" s="1"/>
  <c r="AP108" i="14"/>
  <c r="AP9" i="14" s="1"/>
  <c r="AO108" i="14"/>
  <c r="AO9" i="14" s="1"/>
  <c r="AN108" i="14"/>
  <c r="AN9" i="14" s="1"/>
  <c r="P20" i="14" s="1"/>
  <c r="AM108" i="14"/>
  <c r="AM9" i="14" s="1"/>
  <c r="AL108" i="14"/>
  <c r="AK108" i="14"/>
  <c r="AK6" i="14" s="1"/>
  <c r="AJ108" i="14"/>
  <c r="AI108" i="14"/>
  <c r="AI9" i="14" s="1"/>
  <c r="O20" i="14" s="1"/>
  <c r="AH108" i="14"/>
  <c r="AH9" i="14" s="1"/>
  <c r="AG108" i="14"/>
  <c r="AG9" i="14" s="1"/>
  <c r="AF108" i="14"/>
  <c r="AF9" i="14" s="1"/>
  <c r="AE108" i="14"/>
  <c r="AE9" i="14" s="1"/>
  <c r="AD108" i="14"/>
  <c r="AD9" i="14" s="1"/>
  <c r="AC108" i="14"/>
  <c r="AC6" i="14" s="1"/>
  <c r="AB108" i="14"/>
  <c r="AA108" i="14"/>
  <c r="Z108" i="14"/>
  <c r="Y108" i="14"/>
  <c r="Y9" i="14" s="1"/>
  <c r="M20" i="14" s="1"/>
  <c r="X108" i="14"/>
  <c r="X9" i="14" s="1"/>
  <c r="W108" i="14"/>
  <c r="W9" i="14" s="1"/>
  <c r="V108" i="14"/>
  <c r="V9" i="14" s="1"/>
  <c r="U108" i="14"/>
  <c r="U6" i="14" s="1"/>
  <c r="T108" i="14"/>
  <c r="T9" i="14" s="1"/>
  <c r="S108" i="14"/>
  <c r="R108" i="14"/>
  <c r="Q108" i="14"/>
  <c r="Q9" i="14" s="1"/>
  <c r="P108" i="14"/>
  <c r="P9" i="14" s="1"/>
  <c r="O108" i="14"/>
  <c r="O9" i="14" s="1"/>
  <c r="N108" i="14"/>
  <c r="N9" i="14" s="1"/>
  <c r="M108" i="14"/>
  <c r="M6" i="14" s="1"/>
  <c r="L108" i="14"/>
  <c r="L9" i="14" s="1"/>
  <c r="K108" i="14"/>
  <c r="K9" i="14" s="1"/>
  <c r="J108" i="14"/>
  <c r="FK91" i="14"/>
  <c r="FJ91" i="14"/>
  <c r="FI91" i="14"/>
  <c r="FH91" i="14"/>
  <c r="FG91" i="14"/>
  <c r="FF91" i="14"/>
  <c r="FE91" i="14"/>
  <c r="FD91" i="14"/>
  <c r="FC91" i="14"/>
  <c r="FB91" i="14"/>
  <c r="FA91" i="14"/>
  <c r="EZ91" i="14"/>
  <c r="EY91" i="14"/>
  <c r="EX91" i="14"/>
  <c r="EW91" i="14"/>
  <c r="EV91" i="14"/>
  <c r="EU91" i="14"/>
  <c r="ET91" i="14"/>
  <c r="ES91" i="14"/>
  <c r="ER91" i="14"/>
  <c r="EQ91" i="14"/>
  <c r="EP91" i="14"/>
  <c r="EO91" i="14"/>
  <c r="EN91" i="14"/>
  <c r="EM91" i="14"/>
  <c r="EL91" i="14"/>
  <c r="EK91" i="14"/>
  <c r="EJ91" i="14"/>
  <c r="EI91" i="14"/>
  <c r="EH91" i="14"/>
  <c r="EG91" i="14"/>
  <c r="EF91" i="14"/>
  <c r="EE91" i="14"/>
  <c r="ED91" i="14"/>
  <c r="EC91" i="14"/>
  <c r="EB91" i="14"/>
  <c r="EA91" i="14"/>
  <c r="DZ91" i="14"/>
  <c r="DY91" i="14"/>
  <c r="DX91" i="14"/>
  <c r="DW91" i="14"/>
  <c r="DV91" i="14"/>
  <c r="DU91" i="14"/>
  <c r="DT91" i="14"/>
  <c r="DS91" i="14"/>
  <c r="DR91" i="14"/>
  <c r="DQ91" i="14"/>
  <c r="DP91" i="14"/>
  <c r="DO91" i="14"/>
  <c r="DN91" i="14"/>
  <c r="DM91" i="14"/>
  <c r="DL91" i="14"/>
  <c r="DK91" i="14"/>
  <c r="DJ91" i="14"/>
  <c r="DI91" i="14"/>
  <c r="DH91" i="14"/>
  <c r="DG91" i="14"/>
  <c r="DF91" i="14"/>
  <c r="DE91" i="14"/>
  <c r="DD91" i="14"/>
  <c r="DC91" i="14"/>
  <c r="DB91" i="14"/>
  <c r="DA91" i="14"/>
  <c r="CZ91" i="14"/>
  <c r="CY91" i="14"/>
  <c r="CX91" i="14"/>
  <c r="CW91" i="14"/>
  <c r="CV91" i="14"/>
  <c r="CU91" i="14"/>
  <c r="CT91" i="14"/>
  <c r="CS91" i="14"/>
  <c r="CR91" i="14"/>
  <c r="CQ91" i="14"/>
  <c r="CP91" i="14"/>
  <c r="CO91" i="14"/>
  <c r="CN91" i="14"/>
  <c r="CM91" i="14"/>
  <c r="CL91" i="14"/>
  <c r="CK91" i="14"/>
  <c r="CJ91" i="14"/>
  <c r="CI91" i="14"/>
  <c r="CH91" i="14"/>
  <c r="CG91" i="14"/>
  <c r="CF91" i="14"/>
  <c r="CE91" i="14"/>
  <c r="CD91" i="14"/>
  <c r="CC91" i="14"/>
  <c r="CB91" i="14"/>
  <c r="CA91" i="14"/>
  <c r="BZ91" i="14"/>
  <c r="BY91" i="14"/>
  <c r="BX91" i="14"/>
  <c r="BW91" i="14"/>
  <c r="BV91" i="14"/>
  <c r="BU91" i="14"/>
  <c r="BT91" i="14"/>
  <c r="BS91" i="14"/>
  <c r="BR91" i="14"/>
  <c r="BQ91" i="14"/>
  <c r="BP91" i="14"/>
  <c r="BO91" i="14"/>
  <c r="BN91" i="14"/>
  <c r="BM91" i="14"/>
  <c r="BL91" i="14"/>
  <c r="BK91" i="14"/>
  <c r="BJ91" i="14"/>
  <c r="BI91" i="14"/>
  <c r="BH91" i="14"/>
  <c r="BG91" i="14"/>
  <c r="BF91" i="14"/>
  <c r="BE91" i="14"/>
  <c r="BD91" i="14"/>
  <c r="BC91" i="14"/>
  <c r="BB91" i="14"/>
  <c r="BA91" i="14"/>
  <c r="AZ91" i="14"/>
  <c r="AY91" i="14"/>
  <c r="AX91" i="14"/>
  <c r="AW91" i="14"/>
  <c r="AV91" i="14"/>
  <c r="AU91" i="14"/>
  <c r="AT91" i="14"/>
  <c r="AS91" i="14"/>
  <c r="AR91" i="14"/>
  <c r="AQ91" i="14"/>
  <c r="AP91" i="14"/>
  <c r="AO91" i="14"/>
  <c r="AN91" i="14"/>
  <c r="AM91" i="14"/>
  <c r="AL91" i="14"/>
  <c r="AK91" i="14"/>
  <c r="AJ91" i="14"/>
  <c r="AI91" i="14"/>
  <c r="AH91" i="14"/>
  <c r="AG91" i="14"/>
  <c r="AF91" i="14"/>
  <c r="AE91" i="14"/>
  <c r="AD91" i="14"/>
  <c r="AC91" i="14"/>
  <c r="AB91" i="14"/>
  <c r="AA91" i="14"/>
  <c r="Z91" i="14"/>
  <c r="Y91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FL90" i="14"/>
  <c r="FK90" i="14"/>
  <c r="FJ90" i="14"/>
  <c r="FI90" i="14"/>
  <c r="FH90" i="14"/>
  <c r="FG90" i="14"/>
  <c r="FF90" i="14"/>
  <c r="FE90" i="14"/>
  <c r="FD90" i="14"/>
  <c r="FC90" i="14"/>
  <c r="FB90" i="14"/>
  <c r="FA90" i="14"/>
  <c r="EZ90" i="14"/>
  <c r="EY90" i="14"/>
  <c r="EX90" i="14"/>
  <c r="EW90" i="14"/>
  <c r="EV90" i="14"/>
  <c r="EU90" i="14"/>
  <c r="ET90" i="14"/>
  <c r="ES90" i="14"/>
  <c r="ER90" i="14"/>
  <c r="EQ90" i="14"/>
  <c r="EP90" i="14"/>
  <c r="EO90" i="14"/>
  <c r="EN90" i="14"/>
  <c r="EM90" i="14"/>
  <c r="EL90" i="14"/>
  <c r="EK90" i="14"/>
  <c r="EJ90" i="14"/>
  <c r="EI90" i="14"/>
  <c r="EH90" i="14"/>
  <c r="EG90" i="14"/>
  <c r="EF90" i="14"/>
  <c r="EE90" i="14"/>
  <c r="ED90" i="14"/>
  <c r="EC90" i="14"/>
  <c r="EB90" i="14"/>
  <c r="EA90" i="14"/>
  <c r="DZ90" i="14"/>
  <c r="DY90" i="14"/>
  <c r="DX90" i="14"/>
  <c r="DW90" i="14"/>
  <c r="DV90" i="14"/>
  <c r="DU90" i="14"/>
  <c r="DT90" i="14"/>
  <c r="DS90" i="14"/>
  <c r="DR90" i="14"/>
  <c r="DQ90" i="14"/>
  <c r="DP90" i="14"/>
  <c r="DO90" i="14"/>
  <c r="DN90" i="14"/>
  <c r="DM90" i="14"/>
  <c r="DL90" i="14"/>
  <c r="DK90" i="14"/>
  <c r="DJ90" i="14"/>
  <c r="DI90" i="14"/>
  <c r="DH90" i="14"/>
  <c r="DG90" i="14"/>
  <c r="DF90" i="14"/>
  <c r="DE90" i="14"/>
  <c r="DD90" i="14"/>
  <c r="DC90" i="14"/>
  <c r="DB90" i="14"/>
  <c r="DA90" i="14"/>
  <c r="CZ90" i="14"/>
  <c r="CY90" i="14"/>
  <c r="CX90" i="14"/>
  <c r="CW90" i="14"/>
  <c r="CV90" i="14"/>
  <c r="CU90" i="14"/>
  <c r="CT90" i="14"/>
  <c r="CS90" i="14"/>
  <c r="CR90" i="14"/>
  <c r="CQ90" i="14"/>
  <c r="CP90" i="14"/>
  <c r="CO90" i="14"/>
  <c r="CN90" i="14"/>
  <c r="CM90" i="14"/>
  <c r="CL90" i="14"/>
  <c r="CK90" i="14"/>
  <c r="CJ90" i="14"/>
  <c r="CI90" i="14"/>
  <c r="CH90" i="14"/>
  <c r="CG90" i="14"/>
  <c r="CF90" i="14"/>
  <c r="CE90" i="14"/>
  <c r="CD90" i="14"/>
  <c r="CC90" i="14"/>
  <c r="CB90" i="14"/>
  <c r="CA90" i="14"/>
  <c r="BZ90" i="14"/>
  <c r="BY90" i="14"/>
  <c r="BX90" i="14"/>
  <c r="BW90" i="14"/>
  <c r="BV90" i="14"/>
  <c r="BU90" i="14"/>
  <c r="BT90" i="14"/>
  <c r="BS90" i="14"/>
  <c r="BR90" i="14"/>
  <c r="BQ90" i="14"/>
  <c r="BP90" i="14"/>
  <c r="BO90" i="14"/>
  <c r="BN90" i="14"/>
  <c r="BM90" i="14"/>
  <c r="BL90" i="14"/>
  <c r="BK90" i="14"/>
  <c r="BJ90" i="14"/>
  <c r="BI90" i="14"/>
  <c r="BH90" i="14"/>
  <c r="BG90" i="14"/>
  <c r="BF90" i="14"/>
  <c r="BE90" i="14"/>
  <c r="BD90" i="14"/>
  <c r="BC90" i="14"/>
  <c r="BB90" i="14"/>
  <c r="BA90" i="14"/>
  <c r="AZ90" i="14"/>
  <c r="AY90" i="14"/>
  <c r="AX90" i="14"/>
  <c r="AW90" i="14"/>
  <c r="AV90" i="14"/>
  <c r="AU90" i="14"/>
  <c r="AT90" i="14"/>
  <c r="AS90" i="14"/>
  <c r="AR90" i="14"/>
  <c r="AQ90" i="14"/>
  <c r="AP90" i="14"/>
  <c r="AO90" i="14"/>
  <c r="AN90" i="14"/>
  <c r="AM90" i="14"/>
  <c r="AL90" i="14"/>
  <c r="AK90" i="14"/>
  <c r="AJ90" i="14"/>
  <c r="AI90" i="14"/>
  <c r="AH90" i="14"/>
  <c r="AG90" i="14"/>
  <c r="AF90" i="14"/>
  <c r="AE90" i="14"/>
  <c r="AD90" i="14"/>
  <c r="AC90" i="14"/>
  <c r="AB90" i="14"/>
  <c r="AA90" i="14"/>
  <c r="Z90" i="14"/>
  <c r="Y90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FL73" i="14"/>
  <c r="FK73" i="14"/>
  <c r="FJ73" i="14"/>
  <c r="FI73" i="14"/>
  <c r="FH73" i="14"/>
  <c r="FG73" i="14"/>
  <c r="FF73" i="14"/>
  <c r="FE73" i="14"/>
  <c r="FD73" i="14"/>
  <c r="FC73" i="14"/>
  <c r="FB73" i="14"/>
  <c r="FA73" i="14"/>
  <c r="EZ73" i="14"/>
  <c r="EY73" i="14"/>
  <c r="EX73" i="14"/>
  <c r="EW73" i="14"/>
  <c r="EV73" i="14"/>
  <c r="EU73" i="14"/>
  <c r="ET73" i="14"/>
  <c r="ES73" i="14"/>
  <c r="ER73" i="14"/>
  <c r="EQ73" i="14"/>
  <c r="EP73" i="14"/>
  <c r="EO73" i="14"/>
  <c r="EN73" i="14"/>
  <c r="EM73" i="14"/>
  <c r="EL73" i="14"/>
  <c r="EK73" i="14"/>
  <c r="EJ73" i="14"/>
  <c r="EI73" i="14"/>
  <c r="EH73" i="14"/>
  <c r="EG73" i="14"/>
  <c r="EF73" i="14"/>
  <c r="EE73" i="14"/>
  <c r="ED73" i="14"/>
  <c r="EC73" i="14"/>
  <c r="EB73" i="14"/>
  <c r="EA73" i="14"/>
  <c r="DZ73" i="14"/>
  <c r="DY73" i="14"/>
  <c r="DX73" i="14"/>
  <c r="DW73" i="14"/>
  <c r="DV73" i="14"/>
  <c r="DU73" i="14"/>
  <c r="DT73" i="14"/>
  <c r="DS73" i="14"/>
  <c r="DR73" i="14"/>
  <c r="DQ73" i="14"/>
  <c r="DP73" i="14"/>
  <c r="DO73" i="14"/>
  <c r="DN73" i="14"/>
  <c r="DM73" i="14"/>
  <c r="DL73" i="14"/>
  <c r="DK73" i="14"/>
  <c r="DJ73" i="14"/>
  <c r="DI73" i="14"/>
  <c r="DH73" i="14"/>
  <c r="DG73" i="14"/>
  <c r="DF73" i="14"/>
  <c r="DE73" i="14"/>
  <c r="DD73" i="14"/>
  <c r="DC73" i="14"/>
  <c r="DB73" i="14"/>
  <c r="DA73" i="14"/>
  <c r="CZ73" i="14"/>
  <c r="CY73" i="14"/>
  <c r="CX73" i="14"/>
  <c r="CW73" i="14"/>
  <c r="CV73" i="14"/>
  <c r="CU73" i="14"/>
  <c r="CT73" i="14"/>
  <c r="CS73" i="14"/>
  <c r="CR73" i="14"/>
  <c r="CQ73" i="14"/>
  <c r="CP73" i="14"/>
  <c r="CO73" i="14"/>
  <c r="CN73" i="14"/>
  <c r="CM73" i="14"/>
  <c r="CL73" i="14"/>
  <c r="CK73" i="14"/>
  <c r="CJ73" i="14"/>
  <c r="CI73" i="14"/>
  <c r="CH73" i="14"/>
  <c r="CG73" i="14"/>
  <c r="CF73" i="14"/>
  <c r="CE73" i="14"/>
  <c r="CD73" i="14"/>
  <c r="CC73" i="14"/>
  <c r="CB73" i="14"/>
  <c r="CA73" i="14"/>
  <c r="BZ73" i="14"/>
  <c r="BY73" i="14"/>
  <c r="BX73" i="14"/>
  <c r="BW73" i="14"/>
  <c r="BV73" i="14"/>
  <c r="BU73" i="14"/>
  <c r="BT73" i="14"/>
  <c r="BS73" i="14"/>
  <c r="BR73" i="14"/>
  <c r="BQ73" i="14"/>
  <c r="BP73" i="14"/>
  <c r="BO73" i="14"/>
  <c r="BN73" i="14"/>
  <c r="BM73" i="14"/>
  <c r="BL73" i="14"/>
  <c r="BK73" i="14"/>
  <c r="BJ73" i="14"/>
  <c r="BI73" i="14"/>
  <c r="BH73" i="14"/>
  <c r="BG73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FL72" i="14"/>
  <c r="FK72" i="14"/>
  <c r="FJ72" i="14"/>
  <c r="FI72" i="14"/>
  <c r="FH72" i="14"/>
  <c r="FG72" i="14"/>
  <c r="FF72" i="14"/>
  <c r="FE72" i="14"/>
  <c r="FD72" i="14"/>
  <c r="FC72" i="14"/>
  <c r="FB72" i="14"/>
  <c r="FA72" i="14"/>
  <c r="EZ72" i="14"/>
  <c r="EY72" i="14"/>
  <c r="EX72" i="14"/>
  <c r="EW72" i="14"/>
  <c r="EV72" i="14"/>
  <c r="EU72" i="14"/>
  <c r="ET72" i="14"/>
  <c r="ES72" i="14"/>
  <c r="ER72" i="14"/>
  <c r="EQ72" i="14"/>
  <c r="EP72" i="14"/>
  <c r="EO72" i="14"/>
  <c r="EN72" i="14"/>
  <c r="EM72" i="14"/>
  <c r="EL72" i="14"/>
  <c r="EK72" i="14"/>
  <c r="EJ72" i="14"/>
  <c r="EI72" i="14"/>
  <c r="EH72" i="14"/>
  <c r="EG72" i="14"/>
  <c r="EF72" i="14"/>
  <c r="EE72" i="14"/>
  <c r="ED72" i="14"/>
  <c r="EC72" i="14"/>
  <c r="EB72" i="14"/>
  <c r="EA72" i="14"/>
  <c r="DZ72" i="14"/>
  <c r="DY72" i="14"/>
  <c r="DX72" i="14"/>
  <c r="DW72" i="14"/>
  <c r="DV72" i="14"/>
  <c r="DU72" i="14"/>
  <c r="DT72" i="14"/>
  <c r="DS72" i="14"/>
  <c r="DR72" i="14"/>
  <c r="DQ72" i="14"/>
  <c r="DP72" i="14"/>
  <c r="DO72" i="14"/>
  <c r="DN72" i="14"/>
  <c r="DM72" i="14"/>
  <c r="DL72" i="14"/>
  <c r="DK72" i="14"/>
  <c r="DJ72" i="14"/>
  <c r="DI72" i="14"/>
  <c r="DH72" i="14"/>
  <c r="DG72" i="14"/>
  <c r="DF72" i="14"/>
  <c r="DE72" i="14"/>
  <c r="DD72" i="14"/>
  <c r="DC72" i="14"/>
  <c r="DB72" i="14"/>
  <c r="DA72" i="14"/>
  <c r="CZ72" i="14"/>
  <c r="CY72" i="14"/>
  <c r="CX72" i="14"/>
  <c r="CW72" i="14"/>
  <c r="CV72" i="14"/>
  <c r="CU72" i="14"/>
  <c r="CT72" i="14"/>
  <c r="CS72" i="14"/>
  <c r="CR72" i="14"/>
  <c r="CQ72" i="14"/>
  <c r="CP72" i="14"/>
  <c r="CO72" i="14"/>
  <c r="CN72" i="14"/>
  <c r="CM72" i="14"/>
  <c r="CL72" i="14"/>
  <c r="CK72" i="14"/>
  <c r="CJ72" i="14"/>
  <c r="CI72" i="14"/>
  <c r="CH72" i="14"/>
  <c r="CG72" i="14"/>
  <c r="CF72" i="14"/>
  <c r="CE72" i="14"/>
  <c r="CD72" i="14"/>
  <c r="CC72" i="14"/>
  <c r="CB72" i="14"/>
  <c r="CA72" i="14"/>
  <c r="BZ72" i="14"/>
  <c r="BY72" i="14"/>
  <c r="BX72" i="14"/>
  <c r="BW72" i="14"/>
  <c r="BV72" i="14"/>
  <c r="BU72" i="14"/>
  <c r="BT72" i="14"/>
  <c r="BS72" i="14"/>
  <c r="BR72" i="14"/>
  <c r="BQ72" i="14"/>
  <c r="BP72" i="14"/>
  <c r="BO72" i="14"/>
  <c r="BN72" i="14"/>
  <c r="BM72" i="14"/>
  <c r="BL72" i="14"/>
  <c r="BK72" i="14"/>
  <c r="BJ72" i="14"/>
  <c r="BI72" i="14"/>
  <c r="BH72" i="14"/>
  <c r="BG72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K54" i="14"/>
  <c r="K8" i="14" s="1"/>
  <c r="L54" i="14"/>
  <c r="L8" i="14" s="1"/>
  <c r="M54" i="14"/>
  <c r="N54" i="14"/>
  <c r="N8" i="14" s="1"/>
  <c r="O54" i="14"/>
  <c r="O8" i="14" s="1"/>
  <c r="P54" i="14"/>
  <c r="P8" i="14" s="1"/>
  <c r="Q54" i="14"/>
  <c r="Q8" i="14" s="1"/>
  <c r="R54" i="14"/>
  <c r="R8" i="14" s="1"/>
  <c r="S54" i="14"/>
  <c r="S8" i="14" s="1"/>
  <c r="T54" i="14"/>
  <c r="T8" i="14" s="1"/>
  <c r="U54" i="14"/>
  <c r="U8" i="14" s="1"/>
  <c r="V54" i="14"/>
  <c r="W54" i="14"/>
  <c r="X54" i="14"/>
  <c r="X8" i="14" s="1"/>
  <c r="Y54" i="14"/>
  <c r="Y8" i="14" s="1"/>
  <c r="M19" i="14" s="1"/>
  <c r="Z54" i="14"/>
  <c r="Z8" i="14" s="1"/>
  <c r="AA54" i="14"/>
  <c r="AA8" i="14" s="1"/>
  <c r="AB54" i="14"/>
  <c r="AB8" i="14" s="1"/>
  <c r="AC54" i="14"/>
  <c r="AC8" i="14" s="1"/>
  <c r="AD54" i="14"/>
  <c r="AD8" i="14" s="1"/>
  <c r="AE54" i="14"/>
  <c r="AE8" i="14" s="1"/>
  <c r="AF54" i="14"/>
  <c r="AF8" i="14" s="1"/>
  <c r="AG54" i="14"/>
  <c r="AG8" i="14" s="1"/>
  <c r="AH54" i="14"/>
  <c r="AH8" i="14" s="1"/>
  <c r="AI54" i="14"/>
  <c r="AJ54" i="14"/>
  <c r="AJ8" i="14" s="1"/>
  <c r="AK54" i="14"/>
  <c r="AK8" i="14" s="1"/>
  <c r="AL54" i="14"/>
  <c r="AL8" i="14" s="1"/>
  <c r="AM54" i="14"/>
  <c r="AM8" i="14" s="1"/>
  <c r="AN54" i="14"/>
  <c r="AN8" i="14" s="1"/>
  <c r="AO54" i="14"/>
  <c r="AO8" i="14" s="1"/>
  <c r="AP54" i="14"/>
  <c r="AP8" i="14" s="1"/>
  <c r="AQ54" i="14"/>
  <c r="AQ8" i="14" s="1"/>
  <c r="AR54" i="14"/>
  <c r="AR8" i="14" s="1"/>
  <c r="AS54" i="14"/>
  <c r="AS8" i="14" s="1"/>
  <c r="AT54" i="14"/>
  <c r="AT8" i="14" s="1"/>
  <c r="AU54" i="14"/>
  <c r="AU8" i="14" s="1"/>
  <c r="AV54" i="14"/>
  <c r="AV8" i="14" s="1"/>
  <c r="AW54" i="14"/>
  <c r="AW8" i="14" s="1"/>
  <c r="AX54" i="14"/>
  <c r="AX8" i="14" s="1"/>
  <c r="R19" i="14" s="1"/>
  <c r="AY54" i="14"/>
  <c r="AZ54" i="14"/>
  <c r="AZ8" i="14" s="1"/>
  <c r="BA54" i="14"/>
  <c r="BB54" i="14"/>
  <c r="BC54" i="14"/>
  <c r="BC8" i="14" s="1"/>
  <c r="BD54" i="14"/>
  <c r="BD8" i="14" s="1"/>
  <c r="S19" i="14" s="1"/>
  <c r="BE54" i="14"/>
  <c r="BE8" i="14" s="1"/>
  <c r="BF54" i="14"/>
  <c r="BF8" i="14" s="1"/>
  <c r="BG54" i="14"/>
  <c r="BG8" i="14" s="1"/>
  <c r="BH54" i="14"/>
  <c r="BH8" i="14" s="1"/>
  <c r="BI54" i="14"/>
  <c r="BI8" i="14" s="1"/>
  <c r="BJ54" i="14"/>
  <c r="BJ8" i="14" s="1"/>
  <c r="T19" i="14" s="1"/>
  <c r="BK54" i="14"/>
  <c r="BL54" i="14"/>
  <c r="BL8" i="14" s="1"/>
  <c r="BM54" i="14"/>
  <c r="BM8" i="14" s="1"/>
  <c r="BN54" i="14"/>
  <c r="BN8" i="14" s="1"/>
  <c r="BO54" i="14"/>
  <c r="BO8" i="14" s="1"/>
  <c r="BP54" i="14"/>
  <c r="BP8" i="14" s="1"/>
  <c r="BQ54" i="14"/>
  <c r="BR54" i="14"/>
  <c r="BS54" i="14"/>
  <c r="BS8" i="14" s="1"/>
  <c r="BT54" i="14"/>
  <c r="BT8" i="14" s="1"/>
  <c r="BU54" i="14"/>
  <c r="BU8" i="14" s="1"/>
  <c r="BV54" i="14"/>
  <c r="BV8" i="14" s="1"/>
  <c r="BW54" i="14"/>
  <c r="BW8" i="14" s="1"/>
  <c r="BX54" i="14"/>
  <c r="BX8" i="14" s="1"/>
  <c r="BY54" i="14"/>
  <c r="BY8" i="14" s="1"/>
  <c r="BZ54" i="14"/>
  <c r="BZ8" i="14" s="1"/>
  <c r="CA54" i="14"/>
  <c r="CB54" i="14"/>
  <c r="CB8" i="14" s="1"/>
  <c r="CC54" i="14"/>
  <c r="CC8" i="14" s="1"/>
  <c r="CD54" i="14"/>
  <c r="CD8" i="14" s="1"/>
  <c r="CE54" i="14"/>
  <c r="CE8" i="14" s="1"/>
  <c r="CF54" i="14"/>
  <c r="CF8" i="14" s="1"/>
  <c r="CG54" i="14"/>
  <c r="CG8" i="14" s="1"/>
  <c r="CH54" i="14"/>
  <c r="CI54" i="14"/>
  <c r="CI8" i="14" s="1"/>
  <c r="CJ54" i="14"/>
  <c r="CJ8" i="14" s="1"/>
  <c r="CK54" i="14"/>
  <c r="CK8" i="14" s="1"/>
  <c r="CL54" i="14"/>
  <c r="CL8" i="14" s="1"/>
  <c r="Z19" i="14" s="1"/>
  <c r="CM54" i="14"/>
  <c r="CM8" i="14" s="1"/>
  <c r="CN54" i="14"/>
  <c r="CN8" i="14" s="1"/>
  <c r="CO54" i="14"/>
  <c r="CO8" i="14" s="1"/>
  <c r="CP54" i="14"/>
  <c r="CP8" i="14" s="1"/>
  <c r="CQ54" i="14"/>
  <c r="CR54" i="14"/>
  <c r="CR8" i="14" s="1"/>
  <c r="CS54" i="14"/>
  <c r="CS8" i="14" s="1"/>
  <c r="CT54" i="14"/>
  <c r="CT8" i="14" s="1"/>
  <c r="CU54" i="14"/>
  <c r="CU8" i="14" s="1"/>
  <c r="CV54" i="14"/>
  <c r="CV8" i="14" s="1"/>
  <c r="CW54" i="14"/>
  <c r="CW8" i="14" s="1"/>
  <c r="CX54" i="14"/>
  <c r="CX8" i="14" s="1"/>
  <c r="CY54" i="14"/>
  <c r="CY8" i="14" s="1"/>
  <c r="CZ54" i="14"/>
  <c r="CZ8" i="14" s="1"/>
  <c r="DA54" i="14"/>
  <c r="DA8" i="14" s="1"/>
  <c r="AC19" i="14" s="1"/>
  <c r="DB54" i="14"/>
  <c r="DB8" i="14" s="1"/>
  <c r="DC54" i="14"/>
  <c r="DD54" i="14"/>
  <c r="DD8" i="14" s="1"/>
  <c r="DE54" i="14"/>
  <c r="DF54" i="14"/>
  <c r="DF8" i="14" s="1"/>
  <c r="DG54" i="14"/>
  <c r="DG8" i="14" s="1"/>
  <c r="DH54" i="14"/>
  <c r="DH8" i="14" s="1"/>
  <c r="DI54" i="14"/>
  <c r="DI8" i="14" s="1"/>
  <c r="DJ54" i="14"/>
  <c r="DJ8" i="14" s="1"/>
  <c r="DK54" i="14"/>
  <c r="DK8" i="14" s="1"/>
  <c r="AE19" i="14" s="1"/>
  <c r="DL54" i="14"/>
  <c r="DL8" i="14" s="1"/>
  <c r="DM54" i="14"/>
  <c r="DN54" i="14"/>
  <c r="DN8" i="14" s="1"/>
  <c r="DO54" i="14"/>
  <c r="DO8" i="14" s="1"/>
  <c r="DP54" i="14"/>
  <c r="DP8" i="14" s="1"/>
  <c r="DQ54" i="14"/>
  <c r="DQ8" i="14" s="1"/>
  <c r="DR54" i="14"/>
  <c r="DR8" i="14" s="1"/>
  <c r="DS54" i="14"/>
  <c r="DS8" i="14" s="1"/>
  <c r="DT54" i="14"/>
  <c r="DT8" i="14" s="1"/>
  <c r="DU54" i="14"/>
  <c r="DU8" i="14" s="1"/>
  <c r="DV54" i="14"/>
  <c r="DV8" i="14" s="1"/>
  <c r="DW54" i="14"/>
  <c r="DW8" i="14" s="1"/>
  <c r="DX54" i="14"/>
  <c r="DX8" i="14" s="1"/>
  <c r="DY54" i="14"/>
  <c r="DY8" i="14" s="1"/>
  <c r="DZ54" i="14"/>
  <c r="DZ8" i="14" s="1"/>
  <c r="EA54" i="14"/>
  <c r="EA8" i="14" s="1"/>
  <c r="EB54" i="14"/>
  <c r="EC54" i="14"/>
  <c r="EC8" i="14" s="1"/>
  <c r="ED54" i="14"/>
  <c r="ED8" i="14" s="1"/>
  <c r="EE54" i="14"/>
  <c r="EE8" i="14" s="1"/>
  <c r="EF54" i="14"/>
  <c r="EF8" i="14" s="1"/>
  <c r="EG54" i="14"/>
  <c r="EG8" i="14" s="1"/>
  <c r="EH54" i="14"/>
  <c r="EH8" i="14" s="1"/>
  <c r="EI54" i="14"/>
  <c r="EI8" i="14" s="1"/>
  <c r="EJ54" i="14"/>
  <c r="EK54" i="14"/>
  <c r="EL54" i="14"/>
  <c r="EL8" i="14" s="1"/>
  <c r="EM54" i="14"/>
  <c r="EM8" i="14" s="1"/>
  <c r="EN54" i="14"/>
  <c r="EN8" i="14" s="1"/>
  <c r="EO54" i="14"/>
  <c r="EO8" i="14" s="1"/>
  <c r="AK19" i="14" s="1"/>
  <c r="EP54" i="14"/>
  <c r="EP8" i="14" s="1"/>
  <c r="EQ54" i="14"/>
  <c r="EQ8" i="14" s="1"/>
  <c r="ER54" i="14"/>
  <c r="ER8" i="14" s="1"/>
  <c r="ES54" i="14"/>
  <c r="ET54" i="14"/>
  <c r="ET8" i="14" s="1"/>
  <c r="EU54" i="14"/>
  <c r="EU8" i="14" s="1"/>
  <c r="EV54" i="14"/>
  <c r="EV8" i="14" s="1"/>
  <c r="EW54" i="14"/>
  <c r="EW8" i="14" s="1"/>
  <c r="EX54" i="14"/>
  <c r="EX8" i="14" s="1"/>
  <c r="EY54" i="14"/>
  <c r="EY8" i="14" s="1"/>
  <c r="AM19" i="14" s="1"/>
  <c r="EZ54" i="14"/>
  <c r="EZ8" i="14" s="1"/>
  <c r="FA54" i="14"/>
  <c r="FA8" i="14" s="1"/>
  <c r="FB54" i="14"/>
  <c r="FB8" i="14" s="1"/>
  <c r="FC54" i="14"/>
  <c r="FC8" i="14" s="1"/>
  <c r="FD54" i="14"/>
  <c r="FD8" i="14" s="1"/>
  <c r="FE54" i="14"/>
  <c r="FE8" i="14" s="1"/>
  <c r="FF54" i="14"/>
  <c r="FF8" i="14" s="1"/>
  <c r="FG54" i="14"/>
  <c r="FG8" i="14" s="1"/>
  <c r="FH54" i="14"/>
  <c r="FI54" i="14"/>
  <c r="FI8" i="14" s="1"/>
  <c r="FJ54" i="14"/>
  <c r="FJ8" i="14" s="1"/>
  <c r="FK54" i="14"/>
  <c r="FK8" i="14" s="1"/>
  <c r="FL54" i="14"/>
  <c r="FL8" i="14" s="1"/>
  <c r="FM54" i="14"/>
  <c r="FM8" i="14" s="1"/>
  <c r="FN54" i="14"/>
  <c r="FN8" i="14" s="1"/>
  <c r="AP19" i="14" s="1"/>
  <c r="FO54" i="14"/>
  <c r="FO8" i="14" s="1"/>
  <c r="FP54" i="14"/>
  <c r="FQ54" i="14"/>
  <c r="FR54" i="14"/>
  <c r="FR8" i="14" s="1"/>
  <c r="FS54" i="14"/>
  <c r="FS8" i="14" s="1"/>
  <c r="FT54" i="14"/>
  <c r="FT8" i="14" s="1"/>
  <c r="FU54" i="14"/>
  <c r="FU8" i="14" s="1"/>
  <c r="K55" i="14"/>
  <c r="K11" i="14" s="1"/>
  <c r="L55" i="14"/>
  <c r="L11" i="14" s="1"/>
  <c r="M55" i="14"/>
  <c r="M11" i="14" s="1"/>
  <c r="N55" i="14"/>
  <c r="N11" i="14" s="1"/>
  <c r="O55" i="14"/>
  <c r="O11" i="14" s="1"/>
  <c r="P55" i="14"/>
  <c r="P11" i="14" s="1"/>
  <c r="Q55" i="14"/>
  <c r="Q11" i="14" s="1"/>
  <c r="R55" i="14"/>
  <c r="R11" i="14" s="1"/>
  <c r="S55" i="14"/>
  <c r="S11" i="14" s="1"/>
  <c r="T55" i="14"/>
  <c r="T11" i="14" s="1"/>
  <c r="L22" i="14" s="1"/>
  <c r="U55" i="14"/>
  <c r="U11" i="14" s="1"/>
  <c r="V55" i="14"/>
  <c r="V11" i="14" s="1"/>
  <c r="W55" i="14"/>
  <c r="W11" i="14" s="1"/>
  <c r="X55" i="14"/>
  <c r="X11" i="14" s="1"/>
  <c r="Y55" i="14"/>
  <c r="Y11" i="14" s="1"/>
  <c r="Z55" i="14"/>
  <c r="Z11" i="14" s="1"/>
  <c r="AA55" i="14"/>
  <c r="AA11" i="14" s="1"/>
  <c r="AB55" i="14"/>
  <c r="AB11" i="14" s="1"/>
  <c r="AC55" i="14"/>
  <c r="AC11" i="14" s="1"/>
  <c r="AD55" i="14"/>
  <c r="AD11" i="14" s="1"/>
  <c r="AE55" i="14"/>
  <c r="AE11" i="14" s="1"/>
  <c r="AF55" i="14"/>
  <c r="AF11" i="14" s="1"/>
  <c r="AG55" i="14"/>
  <c r="AG11" i="14" s="1"/>
  <c r="AH55" i="14"/>
  <c r="AH11" i="14" s="1"/>
  <c r="AI55" i="14"/>
  <c r="AI11" i="14" s="1"/>
  <c r="AJ55" i="14"/>
  <c r="AJ11" i="14" s="1"/>
  <c r="AK55" i="14"/>
  <c r="AL55" i="14"/>
  <c r="AM55" i="14"/>
  <c r="AM11" i="14" s="1"/>
  <c r="AN55" i="14"/>
  <c r="AN11" i="14" s="1"/>
  <c r="AO55" i="14"/>
  <c r="AO11" i="14" s="1"/>
  <c r="AP55" i="14"/>
  <c r="AP11" i="14" s="1"/>
  <c r="AQ55" i="14"/>
  <c r="AQ11" i="14" s="1"/>
  <c r="AR55" i="14"/>
  <c r="AR11" i="14" s="1"/>
  <c r="AS55" i="14"/>
  <c r="AS11" i="14" s="1"/>
  <c r="AT55" i="14"/>
  <c r="AT11" i="14" s="1"/>
  <c r="AU55" i="14"/>
  <c r="AU11" i="14" s="1"/>
  <c r="AV55" i="14"/>
  <c r="AW55" i="14"/>
  <c r="AW11" i="14" s="1"/>
  <c r="AX55" i="14"/>
  <c r="AX11" i="14" s="1"/>
  <c r="R22" i="14" s="1"/>
  <c r="AY55" i="14"/>
  <c r="AY11" i="14" s="1"/>
  <c r="AZ55" i="14"/>
  <c r="AZ11" i="14" s="1"/>
  <c r="BA55" i="14"/>
  <c r="BA11" i="14" s="1"/>
  <c r="BB55" i="14"/>
  <c r="BC55" i="14"/>
  <c r="BC11" i="14" s="1"/>
  <c r="BD55" i="14"/>
  <c r="BD11" i="14" s="1"/>
  <c r="BE55" i="14"/>
  <c r="BE11" i="14" s="1"/>
  <c r="BF55" i="14"/>
  <c r="BF11" i="14" s="1"/>
  <c r="BG55" i="14"/>
  <c r="BG11" i="14" s="1"/>
  <c r="BH55" i="14"/>
  <c r="BH11" i="14" s="1"/>
  <c r="BI55" i="14"/>
  <c r="BI11" i="14" s="1"/>
  <c r="BJ55" i="14"/>
  <c r="BJ11" i="14" s="1"/>
  <c r="BK55" i="14"/>
  <c r="BK11" i="14" s="1"/>
  <c r="BL55" i="14"/>
  <c r="BM55" i="14"/>
  <c r="BM11" i="14" s="1"/>
  <c r="U22" i="14" s="1"/>
  <c r="BN55" i="14"/>
  <c r="BN11" i="14" s="1"/>
  <c r="BO55" i="14"/>
  <c r="BO11" i="14" s="1"/>
  <c r="BP55" i="14"/>
  <c r="BP11" i="14" s="1"/>
  <c r="BQ55" i="14"/>
  <c r="BQ11" i="14" s="1"/>
  <c r="BR55" i="14"/>
  <c r="BR11" i="14" s="1"/>
  <c r="BS55" i="14"/>
  <c r="BS11" i="14" s="1"/>
  <c r="BT55" i="14"/>
  <c r="BT11" i="14" s="1"/>
  <c r="BU55" i="14"/>
  <c r="BU11" i="14" s="1"/>
  <c r="BV55" i="14"/>
  <c r="BV11" i="14" s="1"/>
  <c r="BW55" i="14"/>
  <c r="BW11" i="14" s="1"/>
  <c r="W22" i="14" s="1"/>
  <c r="BX55" i="14"/>
  <c r="BX11" i="14" s="1"/>
  <c r="BY55" i="14"/>
  <c r="BZ55" i="14"/>
  <c r="BZ11" i="14" s="1"/>
  <c r="CA55" i="14"/>
  <c r="CA11" i="14" s="1"/>
  <c r="CB55" i="14"/>
  <c r="CB11" i="14" s="1"/>
  <c r="CC55" i="14"/>
  <c r="CC11" i="14" s="1"/>
  <c r="X22" i="14" s="1"/>
  <c r="CD55" i="14"/>
  <c r="CD11" i="14" s="1"/>
  <c r="CE55" i="14"/>
  <c r="CE11" i="14" s="1"/>
  <c r="CF55" i="14"/>
  <c r="CF11" i="14" s="1"/>
  <c r="CG55" i="14"/>
  <c r="CG11" i="14" s="1"/>
  <c r="Y22" i="14" s="1"/>
  <c r="CH55" i="14"/>
  <c r="CH11" i="14" s="1"/>
  <c r="CI55" i="14"/>
  <c r="CI11" i="14" s="1"/>
  <c r="CJ55" i="14"/>
  <c r="CJ11" i="14" s="1"/>
  <c r="CK55" i="14"/>
  <c r="CK11" i="14" s="1"/>
  <c r="CL55" i="14"/>
  <c r="CL11" i="14" s="1"/>
  <c r="Z22" i="14" s="1"/>
  <c r="CM55" i="14"/>
  <c r="CM11" i="14" s="1"/>
  <c r="CN55" i="14"/>
  <c r="CN11" i="14" s="1"/>
  <c r="CO55" i="14"/>
  <c r="CP55" i="14"/>
  <c r="CQ55" i="14"/>
  <c r="CR55" i="14"/>
  <c r="CR11" i="14" s="1"/>
  <c r="CS55" i="14"/>
  <c r="CS11" i="14" s="1"/>
  <c r="CT55" i="14"/>
  <c r="CT11" i="14" s="1"/>
  <c r="CU55" i="14"/>
  <c r="CU11" i="14" s="1"/>
  <c r="CV55" i="14"/>
  <c r="CV11" i="14" s="1"/>
  <c r="CW55" i="14"/>
  <c r="CW11" i="14" s="1"/>
  <c r="CX55" i="14"/>
  <c r="CX11" i="14" s="1"/>
  <c r="CY55" i="14"/>
  <c r="CY11" i="14" s="1"/>
  <c r="CZ55" i="14"/>
  <c r="CZ11" i="14" s="1"/>
  <c r="DA55" i="14"/>
  <c r="DA11" i="14" s="1"/>
  <c r="DB55" i="14"/>
  <c r="DB11" i="14" s="1"/>
  <c r="DC55" i="14"/>
  <c r="DC11" i="14" s="1"/>
  <c r="DD55" i="14"/>
  <c r="DD11" i="14" s="1"/>
  <c r="DE55" i="14"/>
  <c r="DF55" i="14"/>
  <c r="DG55" i="14"/>
  <c r="DH55" i="14"/>
  <c r="DH11" i="14" s="1"/>
  <c r="DI55" i="14"/>
  <c r="DI11" i="14" s="1"/>
  <c r="DJ55" i="14"/>
  <c r="DJ11" i="14" s="1"/>
  <c r="DK55" i="14"/>
  <c r="DK11" i="14" s="1"/>
  <c r="DL55" i="14"/>
  <c r="DL11" i="14" s="1"/>
  <c r="DM55" i="14"/>
  <c r="DM11" i="14" s="1"/>
  <c r="DN55" i="14"/>
  <c r="DN11" i="14" s="1"/>
  <c r="DO55" i="14"/>
  <c r="DO11" i="14" s="1"/>
  <c r="DP55" i="14"/>
  <c r="DP11" i="14" s="1"/>
  <c r="DQ55" i="14"/>
  <c r="DQ11" i="14" s="1"/>
  <c r="DR55" i="14"/>
  <c r="DR11" i="14" s="1"/>
  <c r="DS55" i="14"/>
  <c r="DS11" i="14" s="1"/>
  <c r="DT55" i="14"/>
  <c r="DT11" i="14" s="1"/>
  <c r="DU55" i="14"/>
  <c r="DU11" i="14" s="1"/>
  <c r="DV55" i="14"/>
  <c r="DV11" i="14" s="1"/>
  <c r="DW55" i="14"/>
  <c r="DX55" i="14"/>
  <c r="DX11" i="14" s="1"/>
  <c r="DY55" i="14"/>
  <c r="DY11" i="14" s="1"/>
  <c r="DZ55" i="14"/>
  <c r="DZ11" i="14" s="1"/>
  <c r="AH22" i="14" s="1"/>
  <c r="EA55" i="14"/>
  <c r="EA11" i="14" s="1"/>
  <c r="EB55" i="14"/>
  <c r="EB11" i="14" s="1"/>
  <c r="EC55" i="14"/>
  <c r="EC11" i="14" s="1"/>
  <c r="ED55" i="14"/>
  <c r="ED11" i="14" s="1"/>
  <c r="EE55" i="14"/>
  <c r="EE11" i="14" s="1"/>
  <c r="EF55" i="14"/>
  <c r="EF11" i="14" s="1"/>
  <c r="EG55" i="14"/>
  <c r="EG11" i="14" s="1"/>
  <c r="EH55" i="14"/>
  <c r="EH11" i="14" s="1"/>
  <c r="EI55" i="14"/>
  <c r="EI11" i="14" s="1"/>
  <c r="EJ55" i="14"/>
  <c r="EJ11" i="14" s="1"/>
  <c r="AJ22" i="14" s="1"/>
  <c r="EK55" i="14"/>
  <c r="EK11" i="14" s="1"/>
  <c r="EL55" i="14"/>
  <c r="EL11" i="14" s="1"/>
  <c r="EM55" i="14"/>
  <c r="EM11" i="14" s="1"/>
  <c r="EN55" i="14"/>
  <c r="EN11" i="14" s="1"/>
  <c r="EO55" i="14"/>
  <c r="EO11" i="14" s="1"/>
  <c r="EP55" i="14"/>
  <c r="EP11" i="14" s="1"/>
  <c r="EQ55" i="14"/>
  <c r="EQ11" i="14" s="1"/>
  <c r="ER55" i="14"/>
  <c r="ER11" i="14" s="1"/>
  <c r="ES55" i="14"/>
  <c r="ES11" i="14" s="1"/>
  <c r="ET55" i="14"/>
  <c r="EU55" i="14"/>
  <c r="EU11" i="14" s="1"/>
  <c r="EV55" i="14"/>
  <c r="EV11" i="14" s="1"/>
  <c r="EW55" i="14"/>
  <c r="EW11" i="14" s="1"/>
  <c r="EX55" i="14"/>
  <c r="EX11" i="14" s="1"/>
  <c r="EY55" i="14"/>
  <c r="EY11" i="14" s="1"/>
  <c r="EZ55" i="14"/>
  <c r="EZ11" i="14" s="1"/>
  <c r="FA55" i="14"/>
  <c r="FA11" i="14" s="1"/>
  <c r="FB55" i="14"/>
  <c r="FB11" i="14" s="1"/>
  <c r="FC55" i="14"/>
  <c r="FC11" i="14" s="1"/>
  <c r="FD55" i="14"/>
  <c r="FD11" i="14" s="1"/>
  <c r="FE55" i="14"/>
  <c r="FE11" i="14" s="1"/>
  <c r="FF55" i="14"/>
  <c r="FF11" i="14" s="1"/>
  <c r="FG55" i="14"/>
  <c r="FG11" i="14" s="1"/>
  <c r="FH55" i="14"/>
  <c r="FH11" i="14" s="1"/>
  <c r="FI55" i="14"/>
  <c r="FI11" i="14" s="1"/>
  <c r="FJ55" i="14"/>
  <c r="FK55" i="14"/>
  <c r="FL55" i="14"/>
  <c r="FM55" i="14"/>
  <c r="FM11" i="14" s="1"/>
  <c r="FN55" i="14"/>
  <c r="FN11" i="14" s="1"/>
  <c r="AP22" i="14" s="1"/>
  <c r="FO55" i="14"/>
  <c r="FO11" i="14" s="1"/>
  <c r="FP55" i="14"/>
  <c r="FP11" i="14" s="1"/>
  <c r="FQ55" i="14"/>
  <c r="FQ11" i="14" s="1"/>
  <c r="FR55" i="14"/>
  <c r="FR11" i="14" s="1"/>
  <c r="FS55" i="14"/>
  <c r="FS11" i="14" s="1"/>
  <c r="AQ22" i="14" s="1"/>
  <c r="FT55" i="14"/>
  <c r="FT11" i="14" s="1"/>
  <c r="FU55" i="14"/>
  <c r="FU11" i="14" s="1"/>
  <c r="J55" i="14"/>
  <c r="J11" i="14" s="1"/>
  <c r="J22" i="14" s="1"/>
  <c r="J54" i="14"/>
  <c r="J8" i="14" s="1"/>
  <c r="E15" i="10"/>
  <c r="E14" i="10"/>
  <c r="E10" i="10"/>
  <c r="F10" i="10"/>
  <c r="G10" i="10"/>
  <c r="H10" i="10"/>
  <c r="I10" i="10"/>
  <c r="D10" i="10"/>
  <c r="L6" i="11"/>
  <c r="L5" i="11"/>
  <c r="L4" i="11"/>
  <c r="K4" i="10"/>
  <c r="K8" i="10"/>
  <c r="AG7" i="7"/>
  <c r="AH7" i="7"/>
  <c r="AI7" i="7"/>
  <c r="AJ7" i="7"/>
  <c r="AK7" i="7"/>
  <c r="AL7" i="7"/>
  <c r="AM7" i="7"/>
  <c r="AI8" i="7"/>
  <c r="AG9" i="7"/>
  <c r="AH9" i="7"/>
  <c r="AI9" i="7"/>
  <c r="AJ9" i="7"/>
  <c r="AK9" i="7"/>
  <c r="AL9" i="7"/>
  <c r="AM9" i="7"/>
  <c r="AI10" i="7"/>
  <c r="AG11" i="7"/>
  <c r="AH11" i="7"/>
  <c r="AI11" i="7"/>
  <c r="AJ11" i="7"/>
  <c r="AK11" i="7"/>
  <c r="AL11" i="7"/>
  <c r="AM11" i="7"/>
  <c r="AI12" i="7"/>
  <c r="AG13" i="7"/>
  <c r="AH13" i="7"/>
  <c r="AI13" i="7"/>
  <c r="AJ13" i="7"/>
  <c r="AK13" i="7"/>
  <c r="AL13" i="7"/>
  <c r="AM13" i="7"/>
  <c r="AI14" i="7"/>
  <c r="AG15" i="7"/>
  <c r="AH15" i="7"/>
  <c r="AI15" i="7"/>
  <c r="AJ15" i="7"/>
  <c r="AK15" i="7"/>
  <c r="AL15" i="7"/>
  <c r="AM15" i="7"/>
  <c r="AG16" i="7"/>
  <c r="AH16" i="7"/>
  <c r="AI16" i="7"/>
  <c r="AJ16" i="7"/>
  <c r="AK16" i="7"/>
  <c r="AL16" i="7"/>
  <c r="AM16" i="7"/>
  <c r="AI17" i="7"/>
  <c r="AI18" i="7"/>
  <c r="AI19" i="7"/>
  <c r="AI20" i="7"/>
  <c r="AG21" i="7"/>
  <c r="AH21" i="7"/>
  <c r="AI21" i="7"/>
  <c r="AJ21" i="7"/>
  <c r="AK21" i="7"/>
  <c r="AL21" i="7"/>
  <c r="AM21" i="7"/>
  <c r="AG22" i="7"/>
  <c r="AH22" i="7"/>
  <c r="AI22" i="7"/>
  <c r="AJ22" i="7"/>
  <c r="AK22" i="7"/>
  <c r="AL22" i="7"/>
  <c r="AM22" i="7"/>
  <c r="AI23" i="7"/>
  <c r="AG24" i="7"/>
  <c r="AH24" i="7"/>
  <c r="AI24" i="7"/>
  <c r="AJ24" i="7"/>
  <c r="AK24" i="7"/>
  <c r="AL24" i="7"/>
  <c r="AM24" i="7"/>
  <c r="AI25" i="7"/>
  <c r="AG26" i="7"/>
  <c r="AH26" i="7"/>
  <c r="AI26" i="7"/>
  <c r="AJ26" i="7"/>
  <c r="AK26" i="7"/>
  <c r="AL26" i="7"/>
  <c r="AM26" i="7"/>
  <c r="AI27" i="7"/>
  <c r="AG28" i="7"/>
  <c r="AH28" i="7"/>
  <c r="AI28" i="7"/>
  <c r="AJ28" i="7"/>
  <c r="AK28" i="7"/>
  <c r="AL28" i="7"/>
  <c r="AM28" i="7"/>
  <c r="AI29" i="7"/>
  <c r="AG30" i="7"/>
  <c r="AH30" i="7"/>
  <c r="AI30" i="7"/>
  <c r="AJ30" i="7"/>
  <c r="AK30" i="7"/>
  <c r="AL30" i="7"/>
  <c r="AM30" i="7"/>
  <c r="AI31" i="7"/>
  <c r="AL31" i="7"/>
  <c r="AG32" i="7"/>
  <c r="AH32" i="7"/>
  <c r="AI32" i="7"/>
  <c r="AJ32" i="7"/>
  <c r="AK32" i="7"/>
  <c r="AL32" i="7"/>
  <c r="AM32" i="7"/>
  <c r="AG33" i="7"/>
  <c r="AH33" i="7"/>
  <c r="AI33" i="7"/>
  <c r="AJ33" i="7"/>
  <c r="AK33" i="7"/>
  <c r="AL33" i="7"/>
  <c r="AM33" i="7"/>
  <c r="AI34" i="7"/>
  <c r="AI35" i="7"/>
  <c r="AI36" i="7"/>
  <c r="AH37" i="7"/>
  <c r="AI37" i="7"/>
  <c r="AG38" i="7"/>
  <c r="AH38" i="7"/>
  <c r="AI38" i="7"/>
  <c r="AJ38" i="7"/>
  <c r="AK38" i="7"/>
  <c r="AL38" i="7"/>
  <c r="AM38" i="7"/>
  <c r="AG39" i="7"/>
  <c r="AH39" i="7"/>
  <c r="AI39" i="7"/>
  <c r="AJ39" i="7"/>
  <c r="AK39" i="7"/>
  <c r="AL39" i="7"/>
  <c r="AM39" i="7"/>
  <c r="AG41" i="7"/>
  <c r="AH41" i="7"/>
  <c r="AI41" i="7"/>
  <c r="AJ41" i="7"/>
  <c r="AK41" i="7"/>
  <c r="AL41" i="7"/>
  <c r="AM41" i="7"/>
  <c r="AG43" i="7"/>
  <c r="AH43" i="7"/>
  <c r="AI43" i="7"/>
  <c r="AJ43" i="7"/>
  <c r="AK43" i="7"/>
  <c r="AL43" i="7"/>
  <c r="AM43" i="7"/>
  <c r="AG45" i="7"/>
  <c r="AH45" i="7"/>
  <c r="AI45" i="7"/>
  <c r="AJ45" i="7"/>
  <c r="AK45" i="7"/>
  <c r="AL45" i="7"/>
  <c r="AM45" i="7"/>
  <c r="AL46" i="7"/>
  <c r="AG47" i="7"/>
  <c r="AH47" i="7"/>
  <c r="AI47" i="7"/>
  <c r="AJ47" i="7"/>
  <c r="AK47" i="7"/>
  <c r="AL47" i="7"/>
  <c r="AM47" i="7"/>
  <c r="AG49" i="7"/>
  <c r="AH49" i="7"/>
  <c r="AI49" i="7"/>
  <c r="AJ49" i="7"/>
  <c r="AK49" i="7"/>
  <c r="AL49" i="7"/>
  <c r="AM49" i="7"/>
  <c r="AG50" i="7"/>
  <c r="AH50" i="7"/>
  <c r="AI50" i="7"/>
  <c r="AJ50" i="7"/>
  <c r="AK50" i="7"/>
  <c r="AL50" i="7"/>
  <c r="AM50" i="7"/>
  <c r="AI51" i="7"/>
  <c r="AJ52" i="7"/>
  <c r="AL54" i="7"/>
  <c r="AG55" i="7"/>
  <c r="AH55" i="7"/>
  <c r="AI55" i="7"/>
  <c r="AJ55" i="7"/>
  <c r="AK55" i="7"/>
  <c r="AL55" i="7"/>
  <c r="AM55" i="7"/>
  <c r="AG56" i="7"/>
  <c r="AH56" i="7"/>
  <c r="AI56" i="7"/>
  <c r="AJ56" i="7"/>
  <c r="AK56" i="7"/>
  <c r="AL56" i="7"/>
  <c r="AM56" i="7"/>
  <c r="AG57" i="7"/>
  <c r="AG58" i="7"/>
  <c r="AH58" i="7"/>
  <c r="AI58" i="7"/>
  <c r="AJ58" i="7"/>
  <c r="AK58" i="7"/>
  <c r="AL58" i="7"/>
  <c r="AM58" i="7"/>
  <c r="AI59" i="7"/>
  <c r="AG60" i="7"/>
  <c r="AH60" i="7"/>
  <c r="AI60" i="7"/>
  <c r="AJ60" i="7"/>
  <c r="AK60" i="7"/>
  <c r="AL60" i="7"/>
  <c r="AM60" i="7"/>
  <c r="AK61" i="7"/>
  <c r="AG62" i="7"/>
  <c r="AH62" i="7"/>
  <c r="AI62" i="7"/>
  <c r="AJ62" i="7"/>
  <c r="AK62" i="7"/>
  <c r="AL62" i="7"/>
  <c r="AM62" i="7"/>
  <c r="AM63" i="7"/>
  <c r="AG64" i="7"/>
  <c r="AH64" i="7"/>
  <c r="AI64" i="7"/>
  <c r="AJ64" i="7"/>
  <c r="AK64" i="7"/>
  <c r="AL64" i="7"/>
  <c r="AM64" i="7"/>
  <c r="AG65" i="7"/>
  <c r="AG66" i="7"/>
  <c r="AH66" i="7"/>
  <c r="AI66" i="7"/>
  <c r="AJ66" i="7"/>
  <c r="AK66" i="7"/>
  <c r="AL66" i="7"/>
  <c r="AM66" i="7"/>
  <c r="AG67" i="7"/>
  <c r="AH67" i="7"/>
  <c r="AI67" i="7"/>
  <c r="AJ67" i="7"/>
  <c r="AK67" i="7"/>
  <c r="AL67" i="7"/>
  <c r="AM67" i="7"/>
  <c r="AJ68" i="7"/>
  <c r="AK69" i="7"/>
  <c r="AL70" i="7"/>
  <c r="AM71" i="7"/>
  <c r="AG72" i="7"/>
  <c r="AH72" i="7"/>
  <c r="AI72" i="7"/>
  <c r="AJ72" i="7"/>
  <c r="AK72" i="7"/>
  <c r="AL72" i="7"/>
  <c r="AM72" i="7"/>
  <c r="AG73" i="7"/>
  <c r="AH73" i="7"/>
  <c r="AI73" i="7"/>
  <c r="AJ73" i="7"/>
  <c r="AK73" i="7"/>
  <c r="AL73" i="7"/>
  <c r="AM73" i="7"/>
  <c r="AH74" i="7"/>
  <c r="AG75" i="7"/>
  <c r="AH75" i="7"/>
  <c r="AI75" i="7"/>
  <c r="AJ75" i="7"/>
  <c r="AK75" i="7"/>
  <c r="AL75" i="7"/>
  <c r="AM75" i="7"/>
  <c r="AJ76" i="7"/>
  <c r="AG77" i="7"/>
  <c r="AH77" i="7"/>
  <c r="AI77" i="7"/>
  <c r="AJ77" i="7"/>
  <c r="AK77" i="7"/>
  <c r="AL77" i="7"/>
  <c r="AM77" i="7"/>
  <c r="AL78" i="7"/>
  <c r="AG79" i="7"/>
  <c r="AH79" i="7"/>
  <c r="AI79" i="7"/>
  <c r="AJ79" i="7"/>
  <c r="AK79" i="7"/>
  <c r="AL79" i="7"/>
  <c r="AM79" i="7"/>
  <c r="AG81" i="7"/>
  <c r="AH81" i="7"/>
  <c r="AI81" i="7"/>
  <c r="AJ81" i="7"/>
  <c r="AK81" i="7"/>
  <c r="AL81" i="7"/>
  <c r="AM81" i="7"/>
  <c r="AH82" i="7"/>
  <c r="AG83" i="7"/>
  <c r="AH83" i="7"/>
  <c r="AI83" i="7"/>
  <c r="AJ83" i="7"/>
  <c r="AK83" i="7"/>
  <c r="AL83" i="7"/>
  <c r="AM83" i="7"/>
  <c r="AG84" i="7"/>
  <c r="AH84" i="7"/>
  <c r="AI84" i="7"/>
  <c r="AJ84" i="7"/>
  <c r="AK84" i="7"/>
  <c r="AL84" i="7"/>
  <c r="AM84" i="7"/>
  <c r="AK85" i="7"/>
  <c r="AL86" i="7"/>
  <c r="AM87" i="7"/>
  <c r="AG89" i="7"/>
  <c r="AH89" i="7"/>
  <c r="AI89" i="7"/>
  <c r="AJ89" i="7"/>
  <c r="AK89" i="7"/>
  <c r="AL89" i="7"/>
  <c r="AM89" i="7"/>
  <c r="AG90" i="7"/>
  <c r="AH90" i="7"/>
  <c r="AI90" i="7"/>
  <c r="AJ90" i="7"/>
  <c r="AK90" i="7"/>
  <c r="AL90" i="7"/>
  <c r="AM90" i="7"/>
  <c r="AI91" i="7"/>
  <c r="AG92" i="7"/>
  <c r="AH92" i="7"/>
  <c r="AI92" i="7"/>
  <c r="AJ92" i="7"/>
  <c r="AK92" i="7"/>
  <c r="AL92" i="7"/>
  <c r="AM92" i="7"/>
  <c r="AG93" i="7"/>
  <c r="AH93" i="7"/>
  <c r="AI93" i="7"/>
  <c r="AJ93" i="7"/>
  <c r="AK93" i="7"/>
  <c r="AL93" i="7"/>
  <c r="AM93" i="7"/>
  <c r="AG94" i="7"/>
  <c r="AH94" i="7"/>
  <c r="AI94" i="7"/>
  <c r="AJ94" i="7"/>
  <c r="AK94" i="7"/>
  <c r="AL94" i="7"/>
  <c r="AM94" i="7"/>
  <c r="AM95" i="7"/>
  <c r="AG96" i="7"/>
  <c r="AH96" i="7"/>
  <c r="AI96" i="7"/>
  <c r="AJ96" i="7"/>
  <c r="AK96" i="7"/>
  <c r="AL96" i="7"/>
  <c r="AM96" i="7"/>
  <c r="AG97" i="7"/>
  <c r="AH97" i="7"/>
  <c r="AI97" i="7"/>
  <c r="AJ97" i="7"/>
  <c r="AK97" i="7"/>
  <c r="AL97" i="7"/>
  <c r="AM97" i="7"/>
  <c r="AG98" i="7"/>
  <c r="AH98" i="7"/>
  <c r="AI98" i="7"/>
  <c r="AJ98" i="7"/>
  <c r="AK98" i="7"/>
  <c r="AL98" i="7"/>
  <c r="AM98" i="7"/>
  <c r="AH99" i="7"/>
  <c r="AI99" i="7"/>
  <c r="AG100" i="7"/>
  <c r="AH100" i="7"/>
  <c r="AI100" i="7"/>
  <c r="AJ100" i="7"/>
  <c r="AK100" i="7"/>
  <c r="AL100" i="7"/>
  <c r="AM100" i="7"/>
  <c r="AG101" i="7"/>
  <c r="AH101" i="7"/>
  <c r="AI101" i="7"/>
  <c r="AJ101" i="7"/>
  <c r="AK101" i="7"/>
  <c r="AL101" i="7"/>
  <c r="AM101" i="7"/>
  <c r="AL102" i="7"/>
  <c r="AG103" i="7"/>
  <c r="AH103" i="7"/>
  <c r="AI103" i="7"/>
  <c r="AJ103" i="7"/>
  <c r="AK103" i="7"/>
  <c r="AL103" i="7"/>
  <c r="AM103" i="7"/>
  <c r="AG104" i="7"/>
  <c r="AH104" i="7"/>
  <c r="AI104" i="7"/>
  <c r="AJ104" i="7"/>
  <c r="AK104" i="7"/>
  <c r="AL104" i="7"/>
  <c r="AM104" i="7"/>
  <c r="AG105" i="7"/>
  <c r="AG106" i="7"/>
  <c r="AH106" i="7"/>
  <c r="AI106" i="7"/>
  <c r="AJ106" i="7"/>
  <c r="AK106" i="7"/>
  <c r="AL106" i="7"/>
  <c r="AM106" i="7"/>
  <c r="AG107" i="7"/>
  <c r="AH107" i="7"/>
  <c r="AI107" i="7"/>
  <c r="AJ107" i="7"/>
  <c r="AK107" i="7"/>
  <c r="AL107" i="7"/>
  <c r="AM107" i="7"/>
  <c r="AG108" i="7"/>
  <c r="AH108" i="7"/>
  <c r="AI108" i="7"/>
  <c r="AJ108" i="7"/>
  <c r="AK108" i="7"/>
  <c r="AL108" i="7"/>
  <c r="AM108" i="7"/>
  <c r="AK109" i="7"/>
  <c r="AG110" i="7"/>
  <c r="AH110" i="7"/>
  <c r="AI110" i="7"/>
  <c r="AJ110" i="7"/>
  <c r="AK110" i="7"/>
  <c r="AL110" i="7"/>
  <c r="AM110" i="7"/>
  <c r="AG111" i="7"/>
  <c r="AH111" i="7"/>
  <c r="AI111" i="7"/>
  <c r="AJ111" i="7"/>
  <c r="AK111" i="7"/>
  <c r="AL111" i="7"/>
  <c r="AM111" i="7"/>
  <c r="AG112" i="7"/>
  <c r="AH112" i="7"/>
  <c r="AI112" i="7"/>
  <c r="AJ112" i="7"/>
  <c r="AK112" i="7"/>
  <c r="AL112" i="7"/>
  <c r="AM112" i="7"/>
  <c r="AG113" i="7"/>
  <c r="AG114" i="7"/>
  <c r="AH114" i="7"/>
  <c r="AI114" i="7"/>
  <c r="AJ114" i="7"/>
  <c r="AK114" i="7"/>
  <c r="AL114" i="7"/>
  <c r="AM114" i="7"/>
  <c r="AG115" i="7"/>
  <c r="AH115" i="7"/>
  <c r="AI115" i="7"/>
  <c r="AJ115" i="7"/>
  <c r="AK115" i="7"/>
  <c r="AL115" i="7"/>
  <c r="AM115" i="7"/>
  <c r="AI116" i="7"/>
  <c r="AJ116" i="7"/>
  <c r="AG117" i="7"/>
  <c r="AH117" i="7"/>
  <c r="AI117" i="7"/>
  <c r="AJ117" i="7"/>
  <c r="AK117" i="7"/>
  <c r="AL117" i="7"/>
  <c r="AM117" i="7"/>
  <c r="AG118" i="7"/>
  <c r="AH118" i="7"/>
  <c r="AI118" i="7"/>
  <c r="AJ118" i="7"/>
  <c r="AK118" i="7"/>
  <c r="AL118" i="7"/>
  <c r="AM118" i="7"/>
  <c r="AL119" i="7"/>
  <c r="AM119" i="7"/>
  <c r="AG120" i="7"/>
  <c r="AH120" i="7"/>
  <c r="AI120" i="7"/>
  <c r="AJ120" i="7"/>
  <c r="AK120" i="7"/>
  <c r="AL120" i="7"/>
  <c r="AM120" i="7"/>
  <c r="AG121" i="7"/>
  <c r="AH121" i="7"/>
  <c r="AI121" i="7"/>
  <c r="AJ121" i="7"/>
  <c r="AK121" i="7"/>
  <c r="AL121" i="7"/>
  <c r="AM121" i="7"/>
  <c r="AG122" i="7"/>
  <c r="AH122" i="7"/>
  <c r="AI122" i="7"/>
  <c r="AJ122" i="7"/>
  <c r="AK122" i="7"/>
  <c r="AL122" i="7"/>
  <c r="AM122" i="7"/>
  <c r="AI123" i="7"/>
  <c r="AG124" i="7"/>
  <c r="AH124" i="7"/>
  <c r="AI124" i="7"/>
  <c r="AJ124" i="7"/>
  <c r="AK124" i="7"/>
  <c r="AL124" i="7"/>
  <c r="AM124" i="7"/>
  <c r="AG125" i="7"/>
  <c r="AH125" i="7"/>
  <c r="AI125" i="7"/>
  <c r="AJ125" i="7"/>
  <c r="AK125" i="7"/>
  <c r="AL125" i="7"/>
  <c r="AM125" i="7"/>
  <c r="AG126" i="7"/>
  <c r="AH126" i="7"/>
  <c r="AI126" i="7"/>
  <c r="AJ126" i="7"/>
  <c r="AK126" i="7"/>
  <c r="AL126" i="7"/>
  <c r="AM126" i="7"/>
  <c r="AL127" i="7"/>
  <c r="AM127" i="7"/>
  <c r="AG128" i="7"/>
  <c r="AH128" i="7"/>
  <c r="AI128" i="7"/>
  <c r="AJ128" i="7"/>
  <c r="AK128" i="7"/>
  <c r="AL128" i="7"/>
  <c r="AM128" i="7"/>
  <c r="AG129" i="7"/>
  <c r="AH129" i="7"/>
  <c r="AI129" i="7"/>
  <c r="AJ129" i="7"/>
  <c r="AK129" i="7"/>
  <c r="AL129" i="7"/>
  <c r="AM129" i="7"/>
  <c r="AG130" i="7"/>
  <c r="AH130" i="7"/>
  <c r="AI6" i="7"/>
  <c r="AE130" i="7"/>
  <c r="AD130" i="7"/>
  <c r="AC130" i="7"/>
  <c r="AI130" i="7" s="1"/>
  <c r="AA130" i="7"/>
  <c r="Z130" i="7"/>
  <c r="Y130" i="7"/>
  <c r="AM130" i="7" s="1"/>
  <c r="W130" i="7"/>
  <c r="V130" i="7"/>
  <c r="U130" i="7"/>
  <c r="AL130" i="7" s="1"/>
  <c r="S130" i="7"/>
  <c r="R130" i="7"/>
  <c r="Q130" i="7"/>
  <c r="AK130" i="7" s="1"/>
  <c r="O130" i="7"/>
  <c r="N130" i="7"/>
  <c r="M130" i="7"/>
  <c r="AJ130" i="7" s="1"/>
  <c r="K130" i="7"/>
  <c r="J130" i="7"/>
  <c r="I130" i="7"/>
  <c r="G130" i="7"/>
  <c r="F130" i="7"/>
  <c r="E130" i="7"/>
  <c r="AE127" i="7"/>
  <c r="AD127" i="7"/>
  <c r="AC127" i="7"/>
  <c r="AI127" i="7" s="1"/>
  <c r="AA127" i="7"/>
  <c r="Z127" i="7"/>
  <c r="Y127" i="7"/>
  <c r="W127" i="7"/>
  <c r="V127" i="7"/>
  <c r="U127" i="7"/>
  <c r="S127" i="7"/>
  <c r="R127" i="7"/>
  <c r="Q127" i="7"/>
  <c r="AK127" i="7" s="1"/>
  <c r="O127" i="7"/>
  <c r="N127" i="7"/>
  <c r="M127" i="7"/>
  <c r="AJ127" i="7" s="1"/>
  <c r="K127" i="7"/>
  <c r="J127" i="7"/>
  <c r="I127" i="7"/>
  <c r="AH127" i="7" s="1"/>
  <c r="G127" i="7"/>
  <c r="F127" i="7"/>
  <c r="E127" i="7"/>
  <c r="AG127" i="7" s="1"/>
  <c r="AE123" i="7"/>
  <c r="AD123" i="7"/>
  <c r="AC123" i="7"/>
  <c r="AA123" i="7"/>
  <c r="Z123" i="7"/>
  <c r="Y123" i="7"/>
  <c r="AM123" i="7" s="1"/>
  <c r="W123" i="7"/>
  <c r="V123" i="7"/>
  <c r="U123" i="7"/>
  <c r="AL123" i="7" s="1"/>
  <c r="S123" i="7"/>
  <c r="R123" i="7"/>
  <c r="Q123" i="7"/>
  <c r="AK123" i="7" s="1"/>
  <c r="O123" i="7"/>
  <c r="N123" i="7"/>
  <c r="M123" i="7"/>
  <c r="AJ123" i="7" s="1"/>
  <c r="K123" i="7"/>
  <c r="J123" i="7"/>
  <c r="I123" i="7"/>
  <c r="AH123" i="7" s="1"/>
  <c r="G123" i="7"/>
  <c r="F123" i="7"/>
  <c r="E123" i="7"/>
  <c r="AG123" i="7" s="1"/>
  <c r="AE119" i="7"/>
  <c r="AD119" i="7"/>
  <c r="AC119" i="7"/>
  <c r="AI119" i="7" s="1"/>
  <c r="AA119" i="7"/>
  <c r="Z119" i="7"/>
  <c r="Y119" i="7"/>
  <c r="W119" i="7"/>
  <c r="V119" i="7"/>
  <c r="U119" i="7"/>
  <c r="S119" i="7"/>
  <c r="R119" i="7"/>
  <c r="Q119" i="7"/>
  <c r="AK119" i="7" s="1"/>
  <c r="O119" i="7"/>
  <c r="N119" i="7"/>
  <c r="M119" i="7"/>
  <c r="AJ119" i="7" s="1"/>
  <c r="K119" i="7"/>
  <c r="J119" i="7"/>
  <c r="I119" i="7"/>
  <c r="AH119" i="7" s="1"/>
  <c r="G119" i="7"/>
  <c r="F119" i="7"/>
  <c r="E119" i="7"/>
  <c r="AG119" i="7" s="1"/>
  <c r="AE116" i="7"/>
  <c r="AD116" i="7"/>
  <c r="AC116" i="7"/>
  <c r="AA116" i="7"/>
  <c r="Z116" i="7"/>
  <c r="Y116" i="7"/>
  <c r="AM116" i="7" s="1"/>
  <c r="W116" i="7"/>
  <c r="V116" i="7"/>
  <c r="U116" i="7"/>
  <c r="AL116" i="7" s="1"/>
  <c r="S116" i="7"/>
  <c r="R116" i="7"/>
  <c r="Q116" i="7"/>
  <c r="AK116" i="7" s="1"/>
  <c r="O116" i="7"/>
  <c r="N116" i="7"/>
  <c r="M116" i="7"/>
  <c r="K116" i="7"/>
  <c r="J116" i="7"/>
  <c r="I116" i="7"/>
  <c r="AH116" i="7" s="1"/>
  <c r="G116" i="7"/>
  <c r="F116" i="7"/>
  <c r="E116" i="7"/>
  <c r="AG116" i="7" s="1"/>
  <c r="AE113" i="7"/>
  <c r="AD113" i="7"/>
  <c r="AC113" i="7"/>
  <c r="AI113" i="7" s="1"/>
  <c r="AA113" i="7"/>
  <c r="Z113" i="7"/>
  <c r="Y113" i="7"/>
  <c r="AM113" i="7" s="1"/>
  <c r="W113" i="7"/>
  <c r="V113" i="7"/>
  <c r="U113" i="7"/>
  <c r="AL113" i="7" s="1"/>
  <c r="S113" i="7"/>
  <c r="R113" i="7"/>
  <c r="Q113" i="7"/>
  <c r="AK113" i="7" s="1"/>
  <c r="O113" i="7"/>
  <c r="N113" i="7"/>
  <c r="M113" i="7"/>
  <c r="AJ113" i="7" s="1"/>
  <c r="K113" i="7"/>
  <c r="J113" i="7"/>
  <c r="I113" i="7"/>
  <c r="AH113" i="7" s="1"/>
  <c r="G113" i="7"/>
  <c r="F113" i="7"/>
  <c r="E113" i="7"/>
  <c r="AE109" i="7"/>
  <c r="AD109" i="7"/>
  <c r="AC109" i="7"/>
  <c r="AI109" i="7" s="1"/>
  <c r="AA109" i="7"/>
  <c r="Z109" i="7"/>
  <c r="Y109" i="7"/>
  <c r="AM109" i="7" s="1"/>
  <c r="W109" i="7"/>
  <c r="V109" i="7"/>
  <c r="U109" i="7"/>
  <c r="AL109" i="7" s="1"/>
  <c r="S109" i="7"/>
  <c r="R109" i="7"/>
  <c r="Q109" i="7"/>
  <c r="O109" i="7"/>
  <c r="N109" i="7"/>
  <c r="M109" i="7"/>
  <c r="AJ109" i="7" s="1"/>
  <c r="K109" i="7"/>
  <c r="J109" i="7"/>
  <c r="I109" i="7"/>
  <c r="AH109" i="7" s="1"/>
  <c r="G109" i="7"/>
  <c r="F109" i="7"/>
  <c r="E109" i="7"/>
  <c r="AG109" i="7" s="1"/>
  <c r="AE105" i="7"/>
  <c r="AD105" i="7"/>
  <c r="AC105" i="7"/>
  <c r="AI105" i="7" s="1"/>
  <c r="AA105" i="7"/>
  <c r="Z105" i="7"/>
  <c r="Y105" i="7"/>
  <c r="AM105" i="7" s="1"/>
  <c r="W105" i="7"/>
  <c r="V105" i="7"/>
  <c r="U105" i="7"/>
  <c r="AL105" i="7" s="1"/>
  <c r="S105" i="7"/>
  <c r="R105" i="7"/>
  <c r="Q105" i="7"/>
  <c r="AK105" i="7" s="1"/>
  <c r="O105" i="7"/>
  <c r="N105" i="7"/>
  <c r="M105" i="7"/>
  <c r="AJ105" i="7" s="1"/>
  <c r="K105" i="7"/>
  <c r="J105" i="7"/>
  <c r="I105" i="7"/>
  <c r="AH105" i="7" s="1"/>
  <c r="G105" i="7"/>
  <c r="F105" i="7"/>
  <c r="E105" i="7"/>
  <c r="AE102" i="7"/>
  <c r="AD102" i="7"/>
  <c r="AC102" i="7"/>
  <c r="AI102" i="7" s="1"/>
  <c r="AA102" i="7"/>
  <c r="Z102" i="7"/>
  <c r="Y102" i="7"/>
  <c r="AM102" i="7" s="1"/>
  <c r="W102" i="7"/>
  <c r="V102" i="7"/>
  <c r="U102" i="7"/>
  <c r="S102" i="7"/>
  <c r="R102" i="7"/>
  <c r="Q102" i="7"/>
  <c r="AK102" i="7" s="1"/>
  <c r="O102" i="7"/>
  <c r="N102" i="7"/>
  <c r="M102" i="7"/>
  <c r="AJ102" i="7" s="1"/>
  <c r="K102" i="7"/>
  <c r="J102" i="7"/>
  <c r="I102" i="7"/>
  <c r="AH102" i="7" s="1"/>
  <c r="G102" i="7"/>
  <c r="F102" i="7"/>
  <c r="E102" i="7"/>
  <c r="AG102" i="7" s="1"/>
  <c r="AE99" i="7"/>
  <c r="AD99" i="7"/>
  <c r="AC99" i="7"/>
  <c r="AA99" i="7"/>
  <c r="Z99" i="7"/>
  <c r="Y99" i="7"/>
  <c r="AM99" i="7" s="1"/>
  <c r="W99" i="7"/>
  <c r="V99" i="7"/>
  <c r="U99" i="7"/>
  <c r="AL99" i="7" s="1"/>
  <c r="S99" i="7"/>
  <c r="R99" i="7"/>
  <c r="Q99" i="7"/>
  <c r="AK99" i="7" s="1"/>
  <c r="O99" i="7"/>
  <c r="N99" i="7"/>
  <c r="M99" i="7"/>
  <c r="AJ99" i="7" s="1"/>
  <c r="K99" i="7"/>
  <c r="J99" i="7"/>
  <c r="I99" i="7"/>
  <c r="G99" i="7"/>
  <c r="F99" i="7"/>
  <c r="E99" i="7"/>
  <c r="AG99" i="7" s="1"/>
  <c r="AE95" i="7"/>
  <c r="AD95" i="7"/>
  <c r="AC95" i="7"/>
  <c r="AI95" i="7" s="1"/>
  <c r="AA95" i="7"/>
  <c r="Z95" i="7"/>
  <c r="Y95" i="7"/>
  <c r="W95" i="7"/>
  <c r="V95" i="7"/>
  <c r="U95" i="7"/>
  <c r="AL95" i="7" s="1"/>
  <c r="S95" i="7"/>
  <c r="R95" i="7"/>
  <c r="Q95" i="7"/>
  <c r="AK95" i="7" s="1"/>
  <c r="O95" i="7"/>
  <c r="N95" i="7"/>
  <c r="M95" i="7"/>
  <c r="AJ95" i="7" s="1"/>
  <c r="K95" i="7"/>
  <c r="J95" i="7"/>
  <c r="I95" i="7"/>
  <c r="AH95" i="7" s="1"/>
  <c r="G95" i="7"/>
  <c r="F95" i="7"/>
  <c r="E95" i="7"/>
  <c r="AG95" i="7" s="1"/>
  <c r="AE91" i="7"/>
  <c r="AD91" i="7"/>
  <c r="AC91" i="7"/>
  <c r="AA91" i="7"/>
  <c r="Z91" i="7"/>
  <c r="Y91" i="7"/>
  <c r="AM91" i="7" s="1"/>
  <c r="W91" i="7"/>
  <c r="V91" i="7"/>
  <c r="U91" i="7"/>
  <c r="AL91" i="7" s="1"/>
  <c r="S91" i="7"/>
  <c r="R91" i="7"/>
  <c r="Q91" i="7"/>
  <c r="AK91" i="7" s="1"/>
  <c r="O91" i="7"/>
  <c r="N91" i="7"/>
  <c r="M91" i="7"/>
  <c r="AJ91" i="7" s="1"/>
  <c r="K91" i="7"/>
  <c r="J91" i="7"/>
  <c r="I91" i="7"/>
  <c r="AH91" i="7" s="1"/>
  <c r="G91" i="7"/>
  <c r="F91" i="7"/>
  <c r="E91" i="7"/>
  <c r="AG91" i="7" s="1"/>
  <c r="AE88" i="7"/>
  <c r="AD88" i="7"/>
  <c r="AC88" i="7"/>
  <c r="AI88" i="7" s="1"/>
  <c r="AA88" i="7"/>
  <c r="Z88" i="7"/>
  <c r="Y88" i="7"/>
  <c r="AM88" i="7" s="1"/>
  <c r="W88" i="7"/>
  <c r="V88" i="7"/>
  <c r="U88" i="7"/>
  <c r="AL88" i="7" s="1"/>
  <c r="S88" i="7"/>
  <c r="R88" i="7"/>
  <c r="Q88" i="7"/>
  <c r="AK88" i="7" s="1"/>
  <c r="O88" i="7"/>
  <c r="N88" i="7"/>
  <c r="M88" i="7"/>
  <c r="AJ88" i="7" s="1"/>
  <c r="K88" i="7"/>
  <c r="J88" i="7"/>
  <c r="I88" i="7"/>
  <c r="AH88" i="7" s="1"/>
  <c r="G88" i="7"/>
  <c r="F88" i="7"/>
  <c r="E88" i="7"/>
  <c r="AG88" i="7" s="1"/>
  <c r="AE87" i="7"/>
  <c r="AD87" i="7"/>
  <c r="AC87" i="7"/>
  <c r="AI87" i="7" s="1"/>
  <c r="AA87" i="7"/>
  <c r="Z87" i="7"/>
  <c r="Y87" i="7"/>
  <c r="W87" i="7"/>
  <c r="V87" i="7"/>
  <c r="U87" i="7"/>
  <c r="AL87" i="7" s="1"/>
  <c r="S87" i="7"/>
  <c r="R87" i="7"/>
  <c r="Q87" i="7"/>
  <c r="AK87" i="7" s="1"/>
  <c r="O87" i="7"/>
  <c r="N87" i="7"/>
  <c r="M87" i="7"/>
  <c r="AJ87" i="7" s="1"/>
  <c r="K87" i="7"/>
  <c r="J87" i="7"/>
  <c r="I87" i="7"/>
  <c r="AH87" i="7" s="1"/>
  <c r="G87" i="7"/>
  <c r="F87" i="7"/>
  <c r="E87" i="7"/>
  <c r="AG87" i="7" s="1"/>
  <c r="AE86" i="7"/>
  <c r="AD86" i="7"/>
  <c r="AC86" i="7"/>
  <c r="AI86" i="7" s="1"/>
  <c r="AA86" i="7"/>
  <c r="Z86" i="7"/>
  <c r="Y86" i="7"/>
  <c r="AM86" i="7" s="1"/>
  <c r="W86" i="7"/>
  <c r="V86" i="7"/>
  <c r="U86" i="7"/>
  <c r="S86" i="7"/>
  <c r="R86" i="7"/>
  <c r="Q86" i="7"/>
  <c r="AK86" i="7" s="1"/>
  <c r="O86" i="7"/>
  <c r="N86" i="7"/>
  <c r="M86" i="7"/>
  <c r="AJ86" i="7" s="1"/>
  <c r="K86" i="7"/>
  <c r="J86" i="7"/>
  <c r="I86" i="7"/>
  <c r="AH86" i="7" s="1"/>
  <c r="G86" i="7"/>
  <c r="F86" i="7"/>
  <c r="E86" i="7"/>
  <c r="AG86" i="7" s="1"/>
  <c r="AE85" i="7"/>
  <c r="AD85" i="7"/>
  <c r="AC85" i="7"/>
  <c r="AI85" i="7" s="1"/>
  <c r="AA85" i="7"/>
  <c r="Z85" i="7"/>
  <c r="Y85" i="7"/>
  <c r="AM85" i="7" s="1"/>
  <c r="W85" i="7"/>
  <c r="V85" i="7"/>
  <c r="U85" i="7"/>
  <c r="AL85" i="7" s="1"/>
  <c r="S85" i="7"/>
  <c r="R85" i="7"/>
  <c r="Q85" i="7"/>
  <c r="O85" i="7"/>
  <c r="N85" i="7"/>
  <c r="M85" i="7"/>
  <c r="AJ85" i="7" s="1"/>
  <c r="K85" i="7"/>
  <c r="J85" i="7"/>
  <c r="I85" i="7"/>
  <c r="AH85" i="7" s="1"/>
  <c r="G85" i="7"/>
  <c r="F85" i="7"/>
  <c r="E85" i="7"/>
  <c r="AG85" i="7" s="1"/>
  <c r="AE82" i="7"/>
  <c r="AD82" i="7"/>
  <c r="AC82" i="7"/>
  <c r="AI82" i="7" s="1"/>
  <c r="AA82" i="7"/>
  <c r="Z82" i="7"/>
  <c r="Y82" i="7"/>
  <c r="AM82" i="7" s="1"/>
  <c r="W82" i="7"/>
  <c r="V82" i="7"/>
  <c r="U82" i="7"/>
  <c r="AL82" i="7" s="1"/>
  <c r="S82" i="7"/>
  <c r="R82" i="7"/>
  <c r="Q82" i="7"/>
  <c r="AK82" i="7" s="1"/>
  <c r="O82" i="7"/>
  <c r="N82" i="7"/>
  <c r="M82" i="7"/>
  <c r="AJ82" i="7" s="1"/>
  <c r="K82" i="7"/>
  <c r="J82" i="7"/>
  <c r="I82" i="7"/>
  <c r="G82" i="7"/>
  <c r="F82" i="7"/>
  <c r="E82" i="7"/>
  <c r="AG82" i="7" s="1"/>
  <c r="AE80" i="7"/>
  <c r="AD80" i="7"/>
  <c r="AC80" i="7"/>
  <c r="AI80" i="7" s="1"/>
  <c r="AA80" i="7"/>
  <c r="Z80" i="7"/>
  <c r="Y80" i="7"/>
  <c r="AM80" i="7" s="1"/>
  <c r="W80" i="7"/>
  <c r="V80" i="7"/>
  <c r="U80" i="7"/>
  <c r="AL80" i="7" s="1"/>
  <c r="S80" i="7"/>
  <c r="R80" i="7"/>
  <c r="Q80" i="7"/>
  <c r="AK80" i="7" s="1"/>
  <c r="O80" i="7"/>
  <c r="N80" i="7"/>
  <c r="M80" i="7"/>
  <c r="AJ80" i="7" s="1"/>
  <c r="K80" i="7"/>
  <c r="J80" i="7"/>
  <c r="I80" i="7"/>
  <c r="AH80" i="7" s="1"/>
  <c r="G80" i="7"/>
  <c r="F80" i="7"/>
  <c r="E80" i="7"/>
  <c r="AG80" i="7" s="1"/>
  <c r="AE78" i="7"/>
  <c r="AD78" i="7"/>
  <c r="AC78" i="7"/>
  <c r="AI78" i="7" s="1"/>
  <c r="AA78" i="7"/>
  <c r="Z78" i="7"/>
  <c r="Y78" i="7"/>
  <c r="AM78" i="7" s="1"/>
  <c r="W78" i="7"/>
  <c r="V78" i="7"/>
  <c r="U78" i="7"/>
  <c r="S78" i="7"/>
  <c r="R78" i="7"/>
  <c r="Q78" i="7"/>
  <c r="AK78" i="7" s="1"/>
  <c r="O78" i="7"/>
  <c r="N78" i="7"/>
  <c r="M78" i="7"/>
  <c r="AJ78" i="7" s="1"/>
  <c r="K78" i="7"/>
  <c r="J78" i="7"/>
  <c r="I78" i="7"/>
  <c r="AH78" i="7" s="1"/>
  <c r="G78" i="7"/>
  <c r="F78" i="7"/>
  <c r="E78" i="7"/>
  <c r="AG78" i="7" s="1"/>
  <c r="AE76" i="7"/>
  <c r="AD76" i="7"/>
  <c r="AC76" i="7"/>
  <c r="AI76" i="7" s="1"/>
  <c r="AA76" i="7"/>
  <c r="Z76" i="7"/>
  <c r="Y76" i="7"/>
  <c r="AM76" i="7" s="1"/>
  <c r="W76" i="7"/>
  <c r="V76" i="7"/>
  <c r="U76" i="7"/>
  <c r="AL76" i="7" s="1"/>
  <c r="S76" i="7"/>
  <c r="R76" i="7"/>
  <c r="Q76" i="7"/>
  <c r="AK76" i="7" s="1"/>
  <c r="O76" i="7"/>
  <c r="N76" i="7"/>
  <c r="M76" i="7"/>
  <c r="K76" i="7"/>
  <c r="J76" i="7"/>
  <c r="I76" i="7"/>
  <c r="AH76" i="7" s="1"/>
  <c r="G76" i="7"/>
  <c r="F76" i="7"/>
  <c r="E76" i="7"/>
  <c r="AG76" i="7" s="1"/>
  <c r="AE74" i="7"/>
  <c r="AD74" i="7"/>
  <c r="AC74" i="7"/>
  <c r="AI74" i="7" s="1"/>
  <c r="AA74" i="7"/>
  <c r="Z74" i="7"/>
  <c r="Y74" i="7"/>
  <c r="AM74" i="7" s="1"/>
  <c r="W74" i="7"/>
  <c r="V74" i="7"/>
  <c r="U74" i="7"/>
  <c r="AL74" i="7" s="1"/>
  <c r="S74" i="7"/>
  <c r="R74" i="7"/>
  <c r="Q74" i="7"/>
  <c r="AK74" i="7" s="1"/>
  <c r="O74" i="7"/>
  <c r="N74" i="7"/>
  <c r="M74" i="7"/>
  <c r="AJ74" i="7" s="1"/>
  <c r="K74" i="7"/>
  <c r="J74" i="7"/>
  <c r="I74" i="7"/>
  <c r="G74" i="7"/>
  <c r="F74" i="7"/>
  <c r="E74" i="7"/>
  <c r="AG74" i="7" s="1"/>
  <c r="AE71" i="7"/>
  <c r="AD71" i="7"/>
  <c r="AC71" i="7"/>
  <c r="AI71" i="7" s="1"/>
  <c r="AA71" i="7"/>
  <c r="Z71" i="7"/>
  <c r="Y71" i="7"/>
  <c r="W71" i="7"/>
  <c r="V71" i="7"/>
  <c r="U71" i="7"/>
  <c r="AL71" i="7" s="1"/>
  <c r="S71" i="7"/>
  <c r="R71" i="7"/>
  <c r="Q71" i="7"/>
  <c r="AK71" i="7" s="1"/>
  <c r="O71" i="7"/>
  <c r="N71" i="7"/>
  <c r="M71" i="7"/>
  <c r="AJ71" i="7" s="1"/>
  <c r="K71" i="7"/>
  <c r="J71" i="7"/>
  <c r="I71" i="7"/>
  <c r="AH71" i="7" s="1"/>
  <c r="G71" i="7"/>
  <c r="F71" i="7"/>
  <c r="E71" i="7"/>
  <c r="AG71" i="7" s="1"/>
  <c r="AE70" i="7"/>
  <c r="AD70" i="7"/>
  <c r="AC70" i="7"/>
  <c r="AI70" i="7" s="1"/>
  <c r="AA70" i="7"/>
  <c r="Z70" i="7"/>
  <c r="Y70" i="7"/>
  <c r="AM70" i="7" s="1"/>
  <c r="W70" i="7"/>
  <c r="V70" i="7"/>
  <c r="U70" i="7"/>
  <c r="S70" i="7"/>
  <c r="R70" i="7"/>
  <c r="Q70" i="7"/>
  <c r="AK70" i="7" s="1"/>
  <c r="O70" i="7"/>
  <c r="N70" i="7"/>
  <c r="M70" i="7"/>
  <c r="AJ70" i="7" s="1"/>
  <c r="K70" i="7"/>
  <c r="J70" i="7"/>
  <c r="I70" i="7"/>
  <c r="AH70" i="7" s="1"/>
  <c r="G70" i="7"/>
  <c r="F70" i="7"/>
  <c r="E70" i="7"/>
  <c r="AG70" i="7" s="1"/>
  <c r="AE69" i="7"/>
  <c r="AD69" i="7"/>
  <c r="AC69" i="7"/>
  <c r="AI69" i="7" s="1"/>
  <c r="AA69" i="7"/>
  <c r="Z69" i="7"/>
  <c r="Y69" i="7"/>
  <c r="AM69" i="7" s="1"/>
  <c r="W69" i="7"/>
  <c r="V69" i="7"/>
  <c r="U69" i="7"/>
  <c r="AL69" i="7" s="1"/>
  <c r="S69" i="7"/>
  <c r="R69" i="7"/>
  <c r="Q69" i="7"/>
  <c r="O69" i="7"/>
  <c r="N69" i="7"/>
  <c r="M69" i="7"/>
  <c r="AJ69" i="7" s="1"/>
  <c r="K69" i="7"/>
  <c r="J69" i="7"/>
  <c r="I69" i="7"/>
  <c r="AH69" i="7" s="1"/>
  <c r="G69" i="7"/>
  <c r="F69" i="7"/>
  <c r="E69" i="7"/>
  <c r="AG69" i="7" s="1"/>
  <c r="AE68" i="7"/>
  <c r="AD68" i="7"/>
  <c r="AC68" i="7"/>
  <c r="AI68" i="7" s="1"/>
  <c r="AA68" i="7"/>
  <c r="Z68" i="7"/>
  <c r="Y68" i="7"/>
  <c r="AM68" i="7" s="1"/>
  <c r="W68" i="7"/>
  <c r="V68" i="7"/>
  <c r="U68" i="7"/>
  <c r="AL68" i="7" s="1"/>
  <c r="S68" i="7"/>
  <c r="R68" i="7"/>
  <c r="Q68" i="7"/>
  <c r="AK68" i="7" s="1"/>
  <c r="O68" i="7"/>
  <c r="N68" i="7"/>
  <c r="M68" i="7"/>
  <c r="K68" i="7"/>
  <c r="J68" i="7"/>
  <c r="I68" i="7"/>
  <c r="AH68" i="7" s="1"/>
  <c r="G68" i="7"/>
  <c r="F68" i="7"/>
  <c r="E68" i="7"/>
  <c r="AG68" i="7" s="1"/>
  <c r="AE65" i="7"/>
  <c r="AD65" i="7"/>
  <c r="AC65" i="7"/>
  <c r="AI65" i="7" s="1"/>
  <c r="AA65" i="7"/>
  <c r="Z65" i="7"/>
  <c r="Y65" i="7"/>
  <c r="AM65" i="7" s="1"/>
  <c r="W65" i="7"/>
  <c r="V65" i="7"/>
  <c r="U65" i="7"/>
  <c r="AL65" i="7" s="1"/>
  <c r="S65" i="7"/>
  <c r="R65" i="7"/>
  <c r="Q65" i="7"/>
  <c r="AK65" i="7" s="1"/>
  <c r="O65" i="7"/>
  <c r="N65" i="7"/>
  <c r="M65" i="7"/>
  <c r="AJ65" i="7" s="1"/>
  <c r="K65" i="7"/>
  <c r="J65" i="7"/>
  <c r="I65" i="7"/>
  <c r="AH65" i="7" s="1"/>
  <c r="G65" i="7"/>
  <c r="F65" i="7"/>
  <c r="E65" i="7"/>
  <c r="AE63" i="7"/>
  <c r="AD63" i="7"/>
  <c r="AC63" i="7"/>
  <c r="AI63" i="7" s="1"/>
  <c r="AA63" i="7"/>
  <c r="Z63" i="7"/>
  <c r="Y63" i="7"/>
  <c r="W63" i="7"/>
  <c r="V63" i="7"/>
  <c r="U63" i="7"/>
  <c r="AL63" i="7" s="1"/>
  <c r="S63" i="7"/>
  <c r="R63" i="7"/>
  <c r="Q63" i="7"/>
  <c r="AK63" i="7" s="1"/>
  <c r="O63" i="7"/>
  <c r="N63" i="7"/>
  <c r="M63" i="7"/>
  <c r="AJ63" i="7" s="1"/>
  <c r="K63" i="7"/>
  <c r="J63" i="7"/>
  <c r="I63" i="7"/>
  <c r="AH63" i="7" s="1"/>
  <c r="G63" i="7"/>
  <c r="F63" i="7"/>
  <c r="E63" i="7"/>
  <c r="AG63" i="7" s="1"/>
  <c r="AE61" i="7"/>
  <c r="AD61" i="7"/>
  <c r="AC61" i="7"/>
  <c r="AI61" i="7" s="1"/>
  <c r="AA61" i="7"/>
  <c r="Z61" i="7"/>
  <c r="Y61" i="7"/>
  <c r="AM61" i="7" s="1"/>
  <c r="W61" i="7"/>
  <c r="V61" i="7"/>
  <c r="U61" i="7"/>
  <c r="AL61" i="7" s="1"/>
  <c r="S61" i="7"/>
  <c r="R61" i="7"/>
  <c r="Q61" i="7"/>
  <c r="O61" i="7"/>
  <c r="N61" i="7"/>
  <c r="M61" i="7"/>
  <c r="AJ61" i="7" s="1"/>
  <c r="K61" i="7"/>
  <c r="J61" i="7"/>
  <c r="I61" i="7"/>
  <c r="AH61" i="7" s="1"/>
  <c r="G61" i="7"/>
  <c r="F61" i="7"/>
  <c r="E61" i="7"/>
  <c r="AG61" i="7" s="1"/>
  <c r="AE59" i="7"/>
  <c r="AD59" i="7"/>
  <c r="AC59" i="7"/>
  <c r="AA59" i="7"/>
  <c r="Z59" i="7"/>
  <c r="Y59" i="7"/>
  <c r="AM59" i="7" s="1"/>
  <c r="W59" i="7"/>
  <c r="V59" i="7"/>
  <c r="U59" i="7"/>
  <c r="AL59" i="7" s="1"/>
  <c r="S59" i="7"/>
  <c r="R59" i="7"/>
  <c r="Q59" i="7"/>
  <c r="AK59" i="7" s="1"/>
  <c r="O59" i="7"/>
  <c r="N59" i="7"/>
  <c r="M59" i="7"/>
  <c r="AJ59" i="7" s="1"/>
  <c r="K59" i="7"/>
  <c r="J59" i="7"/>
  <c r="I59" i="7"/>
  <c r="AH59" i="7" s="1"/>
  <c r="G59" i="7"/>
  <c r="F59" i="7"/>
  <c r="E59" i="7"/>
  <c r="AG59" i="7" s="1"/>
  <c r="AE57" i="7"/>
  <c r="AD57" i="7"/>
  <c r="AC57" i="7"/>
  <c r="AI57" i="7" s="1"/>
  <c r="AA57" i="7"/>
  <c r="Z57" i="7"/>
  <c r="Y57" i="7"/>
  <c r="AM57" i="7" s="1"/>
  <c r="W57" i="7"/>
  <c r="V57" i="7"/>
  <c r="U57" i="7"/>
  <c r="AL57" i="7" s="1"/>
  <c r="S57" i="7"/>
  <c r="R57" i="7"/>
  <c r="Q57" i="7"/>
  <c r="AK57" i="7" s="1"/>
  <c r="O57" i="7"/>
  <c r="N57" i="7"/>
  <c r="M57" i="7"/>
  <c r="AJ57" i="7" s="1"/>
  <c r="K57" i="7"/>
  <c r="J57" i="7"/>
  <c r="I57" i="7"/>
  <c r="AH57" i="7" s="1"/>
  <c r="G57" i="7"/>
  <c r="F57" i="7"/>
  <c r="E57" i="7"/>
  <c r="AE40" i="7"/>
  <c r="AE42" i="7"/>
  <c r="AE44" i="7"/>
  <c r="AE46" i="7"/>
  <c r="AE48" i="7"/>
  <c r="AE51" i="7"/>
  <c r="AE52" i="7"/>
  <c r="AE53" i="7"/>
  <c r="AE54" i="7"/>
  <c r="AC40" i="7"/>
  <c r="AU40" i="7" s="1"/>
  <c r="AD40" i="7"/>
  <c r="AC42" i="7"/>
  <c r="AI42" i="7" s="1"/>
  <c r="AD42" i="7"/>
  <c r="AC44" i="7"/>
  <c r="AI44" i="7" s="1"/>
  <c r="AD44" i="7"/>
  <c r="AC46" i="7"/>
  <c r="AI46" i="7" s="1"/>
  <c r="AD46" i="7"/>
  <c r="AC48" i="7"/>
  <c r="AI48" i="7" s="1"/>
  <c r="AD48" i="7"/>
  <c r="AC51" i="7"/>
  <c r="AD51" i="7"/>
  <c r="AC52" i="7"/>
  <c r="AI52" i="7" s="1"/>
  <c r="AD52" i="7"/>
  <c r="AC53" i="7"/>
  <c r="AI53" i="7" s="1"/>
  <c r="AD53" i="7"/>
  <c r="AC54" i="7"/>
  <c r="AI54" i="7" s="1"/>
  <c r="AD54" i="7"/>
  <c r="AA54" i="7"/>
  <c r="Z54" i="7"/>
  <c r="Y54" i="7"/>
  <c r="AM54" i="7" s="1"/>
  <c r="W54" i="7"/>
  <c r="V54" i="7"/>
  <c r="U54" i="7"/>
  <c r="S54" i="7"/>
  <c r="R54" i="7"/>
  <c r="Q54" i="7"/>
  <c r="AK54" i="7" s="1"/>
  <c r="O54" i="7"/>
  <c r="N54" i="7"/>
  <c r="M54" i="7"/>
  <c r="AJ54" i="7" s="1"/>
  <c r="K54" i="7"/>
  <c r="J54" i="7"/>
  <c r="I54" i="7"/>
  <c r="AH54" i="7" s="1"/>
  <c r="G54" i="7"/>
  <c r="F54" i="7"/>
  <c r="E54" i="7"/>
  <c r="AG54" i="7" s="1"/>
  <c r="AA53" i="7"/>
  <c r="Z53" i="7"/>
  <c r="Y53" i="7"/>
  <c r="AM53" i="7" s="1"/>
  <c r="W53" i="7"/>
  <c r="V53" i="7"/>
  <c r="U53" i="7"/>
  <c r="AL53" i="7" s="1"/>
  <c r="S53" i="7"/>
  <c r="R53" i="7"/>
  <c r="Q53" i="7"/>
  <c r="AK53" i="7" s="1"/>
  <c r="O53" i="7"/>
  <c r="N53" i="7"/>
  <c r="M53" i="7"/>
  <c r="AJ53" i="7" s="1"/>
  <c r="K53" i="7"/>
  <c r="J53" i="7"/>
  <c r="I53" i="7"/>
  <c r="AH53" i="7" s="1"/>
  <c r="G53" i="7"/>
  <c r="F53" i="7"/>
  <c r="E53" i="7"/>
  <c r="AG53" i="7" s="1"/>
  <c r="AA52" i="7"/>
  <c r="Z52" i="7"/>
  <c r="Y52" i="7"/>
  <c r="AM52" i="7" s="1"/>
  <c r="W52" i="7"/>
  <c r="V52" i="7"/>
  <c r="U52" i="7"/>
  <c r="AL52" i="7" s="1"/>
  <c r="S52" i="7"/>
  <c r="R52" i="7"/>
  <c r="Q52" i="7"/>
  <c r="AK52" i="7" s="1"/>
  <c r="O52" i="7"/>
  <c r="N52" i="7"/>
  <c r="M52" i="7"/>
  <c r="K52" i="7"/>
  <c r="J52" i="7"/>
  <c r="I52" i="7"/>
  <c r="AH52" i="7" s="1"/>
  <c r="G52" i="7"/>
  <c r="F52" i="7"/>
  <c r="E52" i="7"/>
  <c r="AG52" i="7" s="1"/>
  <c r="AA51" i="7"/>
  <c r="Z51" i="7"/>
  <c r="Y51" i="7"/>
  <c r="AM51" i="7" s="1"/>
  <c r="W51" i="7"/>
  <c r="V51" i="7"/>
  <c r="U51" i="7"/>
  <c r="AL51" i="7" s="1"/>
  <c r="S51" i="7"/>
  <c r="R51" i="7"/>
  <c r="Q51" i="7"/>
  <c r="AK51" i="7" s="1"/>
  <c r="O51" i="7"/>
  <c r="N51" i="7"/>
  <c r="M51" i="7"/>
  <c r="AJ51" i="7" s="1"/>
  <c r="K51" i="7"/>
  <c r="J51" i="7"/>
  <c r="I51" i="7"/>
  <c r="AH51" i="7" s="1"/>
  <c r="G51" i="7"/>
  <c r="F51" i="7"/>
  <c r="E51" i="7"/>
  <c r="AG51" i="7" s="1"/>
  <c r="AA48" i="7"/>
  <c r="Z48" i="7"/>
  <c r="Y48" i="7"/>
  <c r="AM48" i="7" s="1"/>
  <c r="W48" i="7"/>
  <c r="V48" i="7"/>
  <c r="U48" i="7"/>
  <c r="AL48" i="7" s="1"/>
  <c r="S48" i="7"/>
  <c r="R48" i="7"/>
  <c r="Q48" i="7"/>
  <c r="AK48" i="7" s="1"/>
  <c r="O48" i="7"/>
  <c r="N48" i="7"/>
  <c r="M48" i="7"/>
  <c r="AJ48" i="7" s="1"/>
  <c r="K48" i="7"/>
  <c r="J48" i="7"/>
  <c r="I48" i="7"/>
  <c r="AH48" i="7" s="1"/>
  <c r="G48" i="7"/>
  <c r="F48" i="7"/>
  <c r="E48" i="7"/>
  <c r="AG48" i="7" s="1"/>
  <c r="AA46" i="7"/>
  <c r="Z46" i="7"/>
  <c r="Y46" i="7"/>
  <c r="AM46" i="7" s="1"/>
  <c r="W46" i="7"/>
  <c r="V46" i="7"/>
  <c r="U46" i="7"/>
  <c r="S46" i="7"/>
  <c r="R46" i="7"/>
  <c r="Q46" i="7"/>
  <c r="AK46" i="7" s="1"/>
  <c r="O46" i="7"/>
  <c r="N46" i="7"/>
  <c r="M46" i="7"/>
  <c r="AJ46" i="7" s="1"/>
  <c r="K46" i="7"/>
  <c r="J46" i="7"/>
  <c r="I46" i="7"/>
  <c r="AH46" i="7" s="1"/>
  <c r="G46" i="7"/>
  <c r="F46" i="7"/>
  <c r="E46" i="7"/>
  <c r="AG46" i="7" s="1"/>
  <c r="AA44" i="7"/>
  <c r="Z44" i="7"/>
  <c r="Y44" i="7"/>
  <c r="AM44" i="7" s="1"/>
  <c r="W44" i="7"/>
  <c r="V44" i="7"/>
  <c r="U44" i="7"/>
  <c r="AL44" i="7" s="1"/>
  <c r="S44" i="7"/>
  <c r="R44" i="7"/>
  <c r="Q44" i="7"/>
  <c r="AK44" i="7" s="1"/>
  <c r="O44" i="7"/>
  <c r="N44" i="7"/>
  <c r="M44" i="7"/>
  <c r="AJ44" i="7" s="1"/>
  <c r="K44" i="7"/>
  <c r="J44" i="7"/>
  <c r="I44" i="7"/>
  <c r="AH44" i="7" s="1"/>
  <c r="G44" i="7"/>
  <c r="F44" i="7"/>
  <c r="E44" i="7"/>
  <c r="AG44" i="7" s="1"/>
  <c r="AA42" i="7"/>
  <c r="Z42" i="7"/>
  <c r="Y42" i="7"/>
  <c r="AM42" i="7" s="1"/>
  <c r="W42" i="7"/>
  <c r="V42" i="7"/>
  <c r="U42" i="7"/>
  <c r="AL42" i="7" s="1"/>
  <c r="S42" i="7"/>
  <c r="R42" i="7"/>
  <c r="Q42" i="7"/>
  <c r="AK42" i="7" s="1"/>
  <c r="O42" i="7"/>
  <c r="N42" i="7"/>
  <c r="M42" i="7"/>
  <c r="AJ42" i="7" s="1"/>
  <c r="K42" i="7"/>
  <c r="J42" i="7"/>
  <c r="I42" i="7"/>
  <c r="AH42" i="7" s="1"/>
  <c r="G42" i="7"/>
  <c r="F42" i="7"/>
  <c r="E42" i="7"/>
  <c r="AG42" i="7" s="1"/>
  <c r="AA40" i="7"/>
  <c r="Z40" i="7"/>
  <c r="Y40" i="7"/>
  <c r="AM40" i="7" s="1"/>
  <c r="W40" i="7"/>
  <c r="V40" i="7"/>
  <c r="U40" i="7"/>
  <c r="AS40" i="7" s="1"/>
  <c r="S40" i="7"/>
  <c r="R40" i="7"/>
  <c r="Q40" i="7"/>
  <c r="AQ40" i="7" s="1"/>
  <c r="O40" i="7"/>
  <c r="N40" i="7"/>
  <c r="M40" i="7"/>
  <c r="AP40" i="7" s="1"/>
  <c r="K40" i="7"/>
  <c r="J40" i="7"/>
  <c r="I40" i="7"/>
  <c r="AH40" i="7" s="1"/>
  <c r="G40" i="7"/>
  <c r="F40" i="7"/>
  <c r="E40" i="7"/>
  <c r="AG40" i="7" s="1"/>
  <c r="AV40" i="7" s="1"/>
  <c r="AA37" i="7"/>
  <c r="Z37" i="7"/>
  <c r="Y37" i="7"/>
  <c r="AM37" i="7" s="1"/>
  <c r="W37" i="7"/>
  <c r="V37" i="7"/>
  <c r="U37" i="7"/>
  <c r="AL37" i="7" s="1"/>
  <c r="S37" i="7"/>
  <c r="R37" i="7"/>
  <c r="Q37" i="7"/>
  <c r="AK37" i="7" s="1"/>
  <c r="O37" i="7"/>
  <c r="N37" i="7"/>
  <c r="M37" i="7"/>
  <c r="AJ37" i="7" s="1"/>
  <c r="K37" i="7"/>
  <c r="J37" i="7"/>
  <c r="I37" i="7"/>
  <c r="G37" i="7"/>
  <c r="F37" i="7"/>
  <c r="E37" i="7"/>
  <c r="AG37" i="7" s="1"/>
  <c r="AA36" i="7"/>
  <c r="Z36" i="7"/>
  <c r="Y36" i="7"/>
  <c r="AM36" i="7" s="1"/>
  <c r="W36" i="7"/>
  <c r="V36" i="7"/>
  <c r="U36" i="7"/>
  <c r="AL36" i="7" s="1"/>
  <c r="S36" i="7"/>
  <c r="R36" i="7"/>
  <c r="Q36" i="7"/>
  <c r="AK36" i="7" s="1"/>
  <c r="O36" i="7"/>
  <c r="N36" i="7"/>
  <c r="M36" i="7"/>
  <c r="AJ36" i="7" s="1"/>
  <c r="K36" i="7"/>
  <c r="J36" i="7"/>
  <c r="I36" i="7"/>
  <c r="AH36" i="7" s="1"/>
  <c r="G36" i="7"/>
  <c r="F36" i="7"/>
  <c r="E36" i="7"/>
  <c r="AG36" i="7" s="1"/>
  <c r="AA35" i="7"/>
  <c r="Z35" i="7"/>
  <c r="Y35" i="7"/>
  <c r="AM35" i="7" s="1"/>
  <c r="W35" i="7"/>
  <c r="V35" i="7"/>
  <c r="U35" i="7"/>
  <c r="AL35" i="7" s="1"/>
  <c r="S35" i="7"/>
  <c r="R35" i="7"/>
  <c r="Q35" i="7"/>
  <c r="AK35" i="7" s="1"/>
  <c r="O35" i="7"/>
  <c r="N35" i="7"/>
  <c r="M35" i="7"/>
  <c r="AJ35" i="7" s="1"/>
  <c r="K35" i="7"/>
  <c r="J35" i="7"/>
  <c r="I35" i="7"/>
  <c r="AH35" i="7" s="1"/>
  <c r="G35" i="7"/>
  <c r="F35" i="7"/>
  <c r="E35" i="7"/>
  <c r="AG35" i="7" s="1"/>
  <c r="AA34" i="7"/>
  <c r="Z34" i="7"/>
  <c r="Y34" i="7"/>
  <c r="AM34" i="7" s="1"/>
  <c r="W34" i="7"/>
  <c r="V34" i="7"/>
  <c r="U34" i="7"/>
  <c r="AL34" i="7" s="1"/>
  <c r="S34" i="7"/>
  <c r="R34" i="7"/>
  <c r="Q34" i="7"/>
  <c r="AK34" i="7" s="1"/>
  <c r="O34" i="7"/>
  <c r="N34" i="7"/>
  <c r="M34" i="7"/>
  <c r="AJ34" i="7" s="1"/>
  <c r="K34" i="7"/>
  <c r="J34" i="7"/>
  <c r="I34" i="7"/>
  <c r="AH34" i="7" s="1"/>
  <c r="G34" i="7"/>
  <c r="F34" i="7"/>
  <c r="E34" i="7"/>
  <c r="AG34" i="7" s="1"/>
  <c r="AA31" i="7"/>
  <c r="Z31" i="7"/>
  <c r="Y31" i="7"/>
  <c r="AM31" i="7" s="1"/>
  <c r="W31" i="7"/>
  <c r="V31" i="7"/>
  <c r="U31" i="7"/>
  <c r="S31" i="7"/>
  <c r="R31" i="7"/>
  <c r="Q31" i="7"/>
  <c r="AK31" i="7" s="1"/>
  <c r="O31" i="7"/>
  <c r="N31" i="7"/>
  <c r="M31" i="7"/>
  <c r="AJ31" i="7" s="1"/>
  <c r="K31" i="7"/>
  <c r="J31" i="7"/>
  <c r="I31" i="7"/>
  <c r="AH31" i="7" s="1"/>
  <c r="G31" i="7"/>
  <c r="F31" i="7"/>
  <c r="E31" i="7"/>
  <c r="AG31" i="7" s="1"/>
  <c r="AA29" i="7"/>
  <c r="Z29" i="7"/>
  <c r="Y29" i="7"/>
  <c r="AM29" i="7" s="1"/>
  <c r="W29" i="7"/>
  <c r="V29" i="7"/>
  <c r="U29" i="7"/>
  <c r="AL29" i="7" s="1"/>
  <c r="S29" i="7"/>
  <c r="R29" i="7"/>
  <c r="Q29" i="7"/>
  <c r="AK29" i="7" s="1"/>
  <c r="O29" i="7"/>
  <c r="N29" i="7"/>
  <c r="M29" i="7"/>
  <c r="AJ29" i="7" s="1"/>
  <c r="K29" i="7"/>
  <c r="J29" i="7"/>
  <c r="I29" i="7"/>
  <c r="AH29" i="7" s="1"/>
  <c r="G29" i="7"/>
  <c r="F29" i="7"/>
  <c r="E29" i="7"/>
  <c r="AG29" i="7" s="1"/>
  <c r="AA27" i="7"/>
  <c r="Z27" i="7"/>
  <c r="Y27" i="7"/>
  <c r="AM27" i="7" s="1"/>
  <c r="W27" i="7"/>
  <c r="V27" i="7"/>
  <c r="U27" i="7"/>
  <c r="AL27" i="7" s="1"/>
  <c r="S27" i="7"/>
  <c r="R27" i="7"/>
  <c r="Q27" i="7"/>
  <c r="AK27" i="7" s="1"/>
  <c r="O27" i="7"/>
  <c r="N27" i="7"/>
  <c r="M27" i="7"/>
  <c r="AJ27" i="7" s="1"/>
  <c r="K27" i="7"/>
  <c r="J27" i="7"/>
  <c r="I27" i="7"/>
  <c r="AH27" i="7" s="1"/>
  <c r="G27" i="7"/>
  <c r="F27" i="7"/>
  <c r="E27" i="7"/>
  <c r="AG27" i="7" s="1"/>
  <c r="AA25" i="7"/>
  <c r="Z25" i="7"/>
  <c r="Y25" i="7"/>
  <c r="AM25" i="7" s="1"/>
  <c r="W25" i="7"/>
  <c r="V25" i="7"/>
  <c r="U25" i="7"/>
  <c r="AL25" i="7" s="1"/>
  <c r="S25" i="7"/>
  <c r="R25" i="7"/>
  <c r="Q25" i="7"/>
  <c r="AK25" i="7" s="1"/>
  <c r="O25" i="7"/>
  <c r="N25" i="7"/>
  <c r="M25" i="7"/>
  <c r="AJ25" i="7" s="1"/>
  <c r="K25" i="7"/>
  <c r="J25" i="7"/>
  <c r="I25" i="7"/>
  <c r="AH25" i="7" s="1"/>
  <c r="G25" i="7"/>
  <c r="F25" i="7"/>
  <c r="E25" i="7"/>
  <c r="AG25" i="7" s="1"/>
  <c r="AA23" i="7"/>
  <c r="Z23" i="7"/>
  <c r="Y23" i="7"/>
  <c r="AM23" i="7" s="1"/>
  <c r="W23" i="7"/>
  <c r="V23" i="7"/>
  <c r="U23" i="7"/>
  <c r="AL23" i="7" s="1"/>
  <c r="S23" i="7"/>
  <c r="R23" i="7"/>
  <c r="Q23" i="7"/>
  <c r="AK23" i="7" s="1"/>
  <c r="O23" i="7"/>
  <c r="N23" i="7"/>
  <c r="M23" i="7"/>
  <c r="AJ23" i="7" s="1"/>
  <c r="K23" i="7"/>
  <c r="J23" i="7"/>
  <c r="I23" i="7"/>
  <c r="AH23" i="7" s="1"/>
  <c r="G23" i="7"/>
  <c r="F23" i="7"/>
  <c r="E23" i="7"/>
  <c r="AG23" i="7" s="1"/>
  <c r="AA20" i="7"/>
  <c r="Z20" i="7"/>
  <c r="Y20" i="7"/>
  <c r="AM20" i="7" s="1"/>
  <c r="W20" i="7"/>
  <c r="V20" i="7"/>
  <c r="U20" i="7"/>
  <c r="AL20" i="7" s="1"/>
  <c r="S20" i="7"/>
  <c r="R20" i="7"/>
  <c r="Q20" i="7"/>
  <c r="AK20" i="7" s="1"/>
  <c r="O20" i="7"/>
  <c r="N20" i="7"/>
  <c r="M20" i="7"/>
  <c r="AJ20" i="7" s="1"/>
  <c r="K20" i="7"/>
  <c r="J20" i="7"/>
  <c r="I20" i="7"/>
  <c r="AH20" i="7" s="1"/>
  <c r="G20" i="7"/>
  <c r="F20" i="7"/>
  <c r="E20" i="7"/>
  <c r="AG20" i="7" s="1"/>
  <c r="AA19" i="7"/>
  <c r="Z19" i="7"/>
  <c r="Y19" i="7"/>
  <c r="AM19" i="7" s="1"/>
  <c r="W19" i="7"/>
  <c r="V19" i="7"/>
  <c r="U19" i="7"/>
  <c r="AL19" i="7" s="1"/>
  <c r="S19" i="7"/>
  <c r="R19" i="7"/>
  <c r="Q19" i="7"/>
  <c r="AK19" i="7" s="1"/>
  <c r="O19" i="7"/>
  <c r="N19" i="7"/>
  <c r="M19" i="7"/>
  <c r="AJ19" i="7" s="1"/>
  <c r="K19" i="7"/>
  <c r="J19" i="7"/>
  <c r="I19" i="7"/>
  <c r="AH19" i="7" s="1"/>
  <c r="G19" i="7"/>
  <c r="F19" i="7"/>
  <c r="E19" i="7"/>
  <c r="AG19" i="7" s="1"/>
  <c r="AA18" i="7"/>
  <c r="Z18" i="7"/>
  <c r="Y18" i="7"/>
  <c r="AM18" i="7" s="1"/>
  <c r="W18" i="7"/>
  <c r="V18" i="7"/>
  <c r="U18" i="7"/>
  <c r="AL18" i="7" s="1"/>
  <c r="S18" i="7"/>
  <c r="R18" i="7"/>
  <c r="Q18" i="7"/>
  <c r="AK18" i="7" s="1"/>
  <c r="O18" i="7"/>
  <c r="N18" i="7"/>
  <c r="M18" i="7"/>
  <c r="AJ18" i="7" s="1"/>
  <c r="K18" i="7"/>
  <c r="J18" i="7"/>
  <c r="I18" i="7"/>
  <c r="AH18" i="7" s="1"/>
  <c r="G18" i="7"/>
  <c r="F18" i="7"/>
  <c r="E18" i="7"/>
  <c r="AG18" i="7" s="1"/>
  <c r="AA17" i="7"/>
  <c r="Z17" i="7"/>
  <c r="Y17" i="7"/>
  <c r="AM17" i="7" s="1"/>
  <c r="W17" i="7"/>
  <c r="V17" i="7"/>
  <c r="U17" i="7"/>
  <c r="AL17" i="7" s="1"/>
  <c r="S17" i="7"/>
  <c r="R17" i="7"/>
  <c r="Q17" i="7"/>
  <c r="AK17" i="7" s="1"/>
  <c r="O17" i="7"/>
  <c r="N17" i="7"/>
  <c r="M17" i="7"/>
  <c r="AJ17" i="7" s="1"/>
  <c r="K17" i="7"/>
  <c r="J17" i="7"/>
  <c r="I17" i="7"/>
  <c r="AH17" i="7" s="1"/>
  <c r="G17" i="7"/>
  <c r="F17" i="7"/>
  <c r="E17" i="7"/>
  <c r="AG17" i="7" s="1"/>
  <c r="AA14" i="7"/>
  <c r="Z14" i="7"/>
  <c r="Y14" i="7"/>
  <c r="AM14" i="7" s="1"/>
  <c r="W14" i="7"/>
  <c r="V14" i="7"/>
  <c r="U14" i="7"/>
  <c r="AL14" i="7" s="1"/>
  <c r="S14" i="7"/>
  <c r="R14" i="7"/>
  <c r="Q14" i="7"/>
  <c r="AK14" i="7" s="1"/>
  <c r="O14" i="7"/>
  <c r="N14" i="7"/>
  <c r="M14" i="7"/>
  <c r="AJ14" i="7" s="1"/>
  <c r="K14" i="7"/>
  <c r="J14" i="7"/>
  <c r="I14" i="7"/>
  <c r="AH14" i="7" s="1"/>
  <c r="G14" i="7"/>
  <c r="F14" i="7"/>
  <c r="E14" i="7"/>
  <c r="AG14" i="7" s="1"/>
  <c r="AA12" i="7"/>
  <c r="Z12" i="7"/>
  <c r="Y12" i="7"/>
  <c r="AM12" i="7" s="1"/>
  <c r="W12" i="7"/>
  <c r="V12" i="7"/>
  <c r="U12" i="7"/>
  <c r="AL12" i="7" s="1"/>
  <c r="S12" i="7"/>
  <c r="R12" i="7"/>
  <c r="Q12" i="7"/>
  <c r="AK12" i="7" s="1"/>
  <c r="O12" i="7"/>
  <c r="N12" i="7"/>
  <c r="M12" i="7"/>
  <c r="AJ12" i="7" s="1"/>
  <c r="K12" i="7"/>
  <c r="J12" i="7"/>
  <c r="I12" i="7"/>
  <c r="AH12" i="7" s="1"/>
  <c r="G12" i="7"/>
  <c r="F12" i="7"/>
  <c r="E12" i="7"/>
  <c r="AG12" i="7" s="1"/>
  <c r="AA10" i="7"/>
  <c r="Z10" i="7"/>
  <c r="Y10" i="7"/>
  <c r="AM10" i="7" s="1"/>
  <c r="W10" i="7"/>
  <c r="V10" i="7"/>
  <c r="U10" i="7"/>
  <c r="AL10" i="7" s="1"/>
  <c r="S10" i="7"/>
  <c r="R10" i="7"/>
  <c r="Q10" i="7"/>
  <c r="AK10" i="7" s="1"/>
  <c r="O10" i="7"/>
  <c r="N10" i="7"/>
  <c r="M10" i="7"/>
  <c r="AJ10" i="7" s="1"/>
  <c r="K10" i="7"/>
  <c r="J10" i="7"/>
  <c r="I10" i="7"/>
  <c r="AH10" i="7" s="1"/>
  <c r="G10" i="7"/>
  <c r="F10" i="7"/>
  <c r="E10" i="7"/>
  <c r="AG10" i="7" s="1"/>
  <c r="AA8" i="7"/>
  <c r="Z8" i="7"/>
  <c r="Y8" i="7"/>
  <c r="AM8" i="7" s="1"/>
  <c r="W8" i="7"/>
  <c r="V8" i="7"/>
  <c r="U8" i="7"/>
  <c r="AL8" i="7" s="1"/>
  <c r="S8" i="7"/>
  <c r="R8" i="7"/>
  <c r="Q8" i="7"/>
  <c r="AK8" i="7" s="1"/>
  <c r="O8" i="7"/>
  <c r="N8" i="7"/>
  <c r="M8" i="7"/>
  <c r="AJ8" i="7" s="1"/>
  <c r="K8" i="7"/>
  <c r="J8" i="7"/>
  <c r="I8" i="7"/>
  <c r="AH8" i="7" s="1"/>
  <c r="G8" i="7"/>
  <c r="F8" i="7"/>
  <c r="E8" i="7"/>
  <c r="AG8" i="7" s="1"/>
  <c r="I6" i="7"/>
  <c r="AH6" i="7" s="1"/>
  <c r="J6" i="7"/>
  <c r="K6" i="7"/>
  <c r="M6" i="7"/>
  <c r="AJ6" i="7" s="1"/>
  <c r="N6" i="7"/>
  <c r="O6" i="7"/>
  <c r="Q6" i="7"/>
  <c r="AK6" i="7" s="1"/>
  <c r="R6" i="7"/>
  <c r="S6" i="7"/>
  <c r="U6" i="7"/>
  <c r="AL6" i="7" s="1"/>
  <c r="V6" i="7"/>
  <c r="W6" i="7"/>
  <c r="Y6" i="7"/>
  <c r="AM6" i="7" s="1"/>
  <c r="Z6" i="7"/>
  <c r="AA6" i="7"/>
  <c r="F6" i="7"/>
  <c r="G6" i="7"/>
  <c r="E6" i="7"/>
  <c r="AG6" i="7" s="1"/>
  <c r="AM22" i="14" l="1"/>
  <c r="AH19" i="14"/>
  <c r="U19" i="14"/>
  <c r="AL19" i="14"/>
  <c r="AF19" i="14"/>
  <c r="X19" i="14"/>
  <c r="P19" i="14"/>
  <c r="U20" i="14"/>
  <c r="J19" i="14"/>
  <c r="AE22" i="14"/>
  <c r="O22" i="14"/>
  <c r="K20" i="14"/>
  <c r="S20" i="14"/>
  <c r="AA20" i="14"/>
  <c r="AI20" i="14"/>
  <c r="P23" i="14"/>
  <c r="X23" i="14"/>
  <c r="AF23" i="14"/>
  <c r="AN23" i="14"/>
  <c r="AQ20" i="14"/>
  <c r="Z20" i="14"/>
  <c r="AJ19" i="14"/>
  <c r="AA22" i="14"/>
  <c r="AN20" i="14"/>
  <c r="Q23" i="14"/>
  <c r="AL40" i="7"/>
  <c r="AK22" i="14"/>
  <c r="AC22" i="14"/>
  <c r="M22" i="14"/>
  <c r="AN19" i="14"/>
  <c r="AC20" i="14"/>
  <c r="R23" i="14"/>
  <c r="AK40" i="7"/>
  <c r="AR40" i="7" s="1"/>
  <c r="AF22" i="14"/>
  <c r="P22" i="14"/>
  <c r="K19" i="14"/>
  <c r="R20" i="14"/>
  <c r="V19" i="14"/>
  <c r="AI23" i="14"/>
  <c r="AJ40" i="7"/>
  <c r="AI22" i="14"/>
  <c r="S22" i="14"/>
  <c r="AD19" i="14"/>
  <c r="AP23" i="14"/>
  <c r="AI40" i="7"/>
  <c r="AT40" i="7"/>
  <c r="N22" i="14"/>
  <c r="AO19" i="14"/>
  <c r="AG19" i="14"/>
  <c r="Q19" i="14"/>
  <c r="L20" i="14"/>
  <c r="Y23" i="14"/>
  <c r="AG23" i="14"/>
  <c r="AO23" i="14"/>
  <c r="AO22" i="14"/>
  <c r="AG22" i="14"/>
  <c r="Q22" i="14"/>
  <c r="AB19" i="14"/>
  <c r="L19" i="14"/>
  <c r="V23" i="14"/>
  <c r="AD23" i="14"/>
  <c r="AE20" i="14"/>
  <c r="AA19" i="14"/>
  <c r="AL22" i="14"/>
  <c r="AD22" i="14"/>
  <c r="AB22" i="14"/>
  <c r="T22" i="14"/>
  <c r="W19" i="14"/>
  <c r="N20" i="14"/>
  <c r="AD20" i="14"/>
  <c r="AL20" i="14"/>
  <c r="S23" i="14"/>
  <c r="AR23" i="14" s="1"/>
  <c r="J20" i="14"/>
  <c r="N23" i="14"/>
  <c r="AL23" i="14"/>
  <c r="FI9" i="14"/>
  <c r="AO20" i="14" s="1"/>
  <c r="FA9" i="14"/>
  <c r="AM20" i="14" s="1"/>
  <c r="ES9" i="14"/>
  <c r="AK20" i="14" s="1"/>
  <c r="EK9" i="14"/>
  <c r="AJ20" i="14" s="1"/>
  <c r="EC9" i="14"/>
  <c r="AH20" i="14" s="1"/>
  <c r="DU9" i="14"/>
  <c r="AG20" i="14" s="1"/>
  <c r="DM9" i="14"/>
  <c r="DE9" i="14"/>
  <c r="CW9" i="14"/>
  <c r="AB20" i="14" s="1"/>
  <c r="CO9" i="14"/>
  <c r="CG9" i="14"/>
  <c r="Y20" i="14" s="1"/>
  <c r="BY9" i="14"/>
  <c r="W20" i="14" s="1"/>
  <c r="Q20" i="14"/>
  <c r="AB23" i="14"/>
  <c r="AN22" i="14"/>
  <c r="AQ19" i="14"/>
  <c r="AI19" i="14"/>
  <c r="O23" i="14"/>
  <c r="W23" i="14"/>
  <c r="W37" i="14" s="1"/>
  <c r="AE23" i="14"/>
  <c r="AE37" i="14" s="1"/>
  <c r="AM23" i="14"/>
  <c r="AM37" i="14" s="1"/>
  <c r="BA9" i="14"/>
  <c r="M9" i="14"/>
  <c r="K22" i="14"/>
  <c r="N19" i="14"/>
  <c r="T23" i="14"/>
  <c r="AJ23" i="14"/>
  <c r="BI9" i="14"/>
  <c r="T20" i="14" s="1"/>
  <c r="V22" i="14"/>
  <c r="Y19" i="14"/>
  <c r="BQ9" i="14"/>
  <c r="U9" i="14"/>
  <c r="FP6" i="14"/>
  <c r="L6" i="14"/>
  <c r="T6" i="14"/>
  <c r="AB6" i="14"/>
  <c r="AJ6" i="14"/>
  <c r="AR6" i="14"/>
  <c r="AZ6" i="14"/>
  <c r="BH6" i="14"/>
  <c r="BP6" i="14"/>
  <c r="BX6" i="14"/>
  <c r="CF6" i="14"/>
  <c r="CN6" i="14"/>
  <c r="CV6" i="14"/>
  <c r="DD6" i="14"/>
  <c r="DL6" i="14"/>
  <c r="DT6" i="14"/>
  <c r="EB6" i="14"/>
  <c r="EJ6" i="14"/>
  <c r="ER6" i="14"/>
  <c r="EZ6" i="14"/>
  <c r="FH6" i="14"/>
  <c r="FM5" i="14"/>
  <c r="EO5" i="14"/>
  <c r="DQ5" i="14"/>
  <c r="CS5" i="14"/>
  <c r="BU5" i="14"/>
  <c r="AW5" i="14"/>
  <c r="Y5" i="14"/>
  <c r="AG6" i="14"/>
  <c r="BE6" i="14"/>
  <c r="BU6" i="14"/>
  <c r="CC6" i="14"/>
  <c r="DI6" i="14"/>
  <c r="EO6" i="14"/>
  <c r="FU5" i="14"/>
  <c r="EW5" i="14"/>
  <c r="DY5" i="14"/>
  <c r="DA5" i="14"/>
  <c r="CC5" i="14"/>
  <c r="BM5" i="14"/>
  <c r="AG5" i="14"/>
  <c r="Q6" i="14"/>
  <c r="AO6" i="14"/>
  <c r="BM6" i="14"/>
  <c r="CS6" i="14"/>
  <c r="DQ6" i="14"/>
  <c r="EW6" i="14"/>
  <c r="FE5" i="14"/>
  <c r="EG5" i="14"/>
  <c r="DI5" i="14"/>
  <c r="CK5" i="14"/>
  <c r="BE5" i="14"/>
  <c r="AO5" i="14"/>
  <c r="Q5" i="14"/>
  <c r="Y6" i="14"/>
  <c r="AW6" i="14"/>
  <c r="CK6" i="14"/>
  <c r="DA6" i="14"/>
  <c r="DY6" i="14"/>
  <c r="EG6" i="14"/>
  <c r="FE6" i="14"/>
  <c r="FQ6" i="14"/>
  <c r="AT5" i="14"/>
  <c r="AL5" i="14"/>
  <c r="AD5" i="14"/>
  <c r="V5" i="14"/>
  <c r="N5" i="14"/>
  <c r="R6" i="14"/>
  <c r="AH6" i="14"/>
  <c r="BN6" i="14"/>
  <c r="CL6" i="14"/>
  <c r="DJ6" i="14"/>
  <c r="EP6" i="14"/>
  <c r="P6" i="14"/>
  <c r="X6" i="14"/>
  <c r="AF6" i="14"/>
  <c r="AN6" i="14"/>
  <c r="AV6" i="14"/>
  <c r="BD6" i="14"/>
  <c r="BL6" i="14"/>
  <c r="BT6" i="14"/>
  <c r="CB6" i="14"/>
  <c r="CJ6" i="14"/>
  <c r="CR6" i="14"/>
  <c r="CZ6" i="14"/>
  <c r="DH6" i="14"/>
  <c r="DP6" i="14"/>
  <c r="DX6" i="14"/>
  <c r="EF6" i="14"/>
  <c r="EN6" i="14"/>
  <c r="EV6" i="14"/>
  <c r="FD6" i="14"/>
  <c r="EH6" i="14"/>
  <c r="X5" i="14"/>
  <c r="J6" i="14"/>
  <c r="AP6" i="14"/>
  <c r="BF6" i="14"/>
  <c r="CD6" i="14"/>
  <c r="DB6" i="14"/>
  <c r="DZ6" i="14"/>
  <c r="EX6" i="14"/>
  <c r="FS5" i="14"/>
  <c r="FK5" i="14"/>
  <c r="FC5" i="14"/>
  <c r="EU5" i="14"/>
  <c r="EM5" i="14"/>
  <c r="EE5" i="14"/>
  <c r="DW5" i="14"/>
  <c r="DO5" i="14"/>
  <c r="DG5" i="14"/>
  <c r="CY5" i="14"/>
  <c r="CQ5" i="14"/>
  <c r="CI5" i="14"/>
  <c r="CA5" i="14"/>
  <c r="BS5" i="14"/>
  <c r="BK5" i="14"/>
  <c r="BC5" i="14"/>
  <c r="AU5" i="14"/>
  <c r="AM5" i="14"/>
  <c r="AE5" i="14"/>
  <c r="W5" i="14"/>
  <c r="O5" i="14"/>
  <c r="K6" i="14"/>
  <c r="S6" i="14"/>
  <c r="AA6" i="14"/>
  <c r="AI6" i="14"/>
  <c r="AQ6" i="14"/>
  <c r="AY6" i="14"/>
  <c r="BG6" i="14"/>
  <c r="BO6" i="14"/>
  <c r="BW6" i="14"/>
  <c r="CE6" i="14"/>
  <c r="CM6" i="14"/>
  <c r="CU6" i="14"/>
  <c r="DC6" i="14"/>
  <c r="DK6" i="14"/>
  <c r="DS6" i="14"/>
  <c r="EA6" i="14"/>
  <c r="EI6" i="14"/>
  <c r="EQ6" i="14"/>
  <c r="EY6" i="14"/>
  <c r="FG6" i="14"/>
  <c r="FO6" i="14"/>
  <c r="P5" i="14"/>
  <c r="Z6" i="14"/>
  <c r="AX6" i="14"/>
  <c r="BV6" i="14"/>
  <c r="CT6" i="14"/>
  <c r="DR6" i="14"/>
  <c r="FF6" i="14"/>
  <c r="ET5" i="14"/>
  <c r="DN5" i="14"/>
  <c r="CH5" i="14"/>
  <c r="BR5" i="14"/>
  <c r="BJ5" i="14"/>
  <c r="FI5" i="14"/>
  <c r="EK5" i="14"/>
  <c r="DE5" i="14"/>
  <c r="CG5" i="14"/>
  <c r="AS5" i="14"/>
  <c r="EJ5" i="14"/>
  <c r="DD5" i="14"/>
  <c r="BX5" i="14"/>
  <c r="AJ5" i="14"/>
  <c r="AD6" i="14"/>
  <c r="BR6" i="14"/>
  <c r="CX6" i="14"/>
  <c r="EL6" i="14"/>
  <c r="FN6" i="14"/>
  <c r="CP5" i="14"/>
  <c r="CO5" i="14"/>
  <c r="AC5" i="14"/>
  <c r="FU6" i="14"/>
  <c r="FM6" i="14"/>
  <c r="FJ5" i="14"/>
  <c r="BI5" i="14"/>
  <c r="V6" i="14"/>
  <c r="DF6" i="14"/>
  <c r="FT6" i="14"/>
  <c r="EL5" i="14"/>
  <c r="DF5" i="14"/>
  <c r="FA5" i="14"/>
  <c r="DM5" i="14"/>
  <c r="BQ5" i="14"/>
  <c r="U5" i="14"/>
  <c r="FP5" i="14"/>
  <c r="ER5" i="14"/>
  <c r="DL5" i="14"/>
  <c r="CN5" i="14"/>
  <c r="BH5" i="14"/>
  <c r="L5" i="14"/>
  <c r="N6" i="14"/>
  <c r="BB6" i="14"/>
  <c r="CH6" i="14"/>
  <c r="DN6" i="14"/>
  <c r="FJ6" i="14"/>
  <c r="J5" i="14"/>
  <c r="FO5" i="14"/>
  <c r="FG5" i="14"/>
  <c r="EY5" i="14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AI5" i="14"/>
  <c r="AA5" i="14"/>
  <c r="S5" i="14"/>
  <c r="K5" i="14"/>
  <c r="FN5" i="14"/>
  <c r="FF5" i="14"/>
  <c r="EX5" i="14"/>
  <c r="EP5" i="14"/>
  <c r="EH5" i="14"/>
  <c r="DZ5" i="14"/>
  <c r="DR5" i="14"/>
  <c r="DJ5" i="14"/>
  <c r="DB5" i="14"/>
  <c r="CT5" i="14"/>
  <c r="CL5" i="14"/>
  <c r="CD5" i="14"/>
  <c r="BV5" i="14"/>
  <c r="BN5" i="14"/>
  <c r="BF5" i="14"/>
  <c r="AX5" i="14"/>
  <c r="AP5" i="14"/>
  <c r="AH5" i="14"/>
  <c r="Z5" i="14"/>
  <c r="R5" i="14"/>
  <c r="O6" i="14"/>
  <c r="W6" i="14"/>
  <c r="AE6" i="14"/>
  <c r="AM6" i="14"/>
  <c r="AU6" i="14"/>
  <c r="BC6" i="14"/>
  <c r="BK6" i="14"/>
  <c r="BS6" i="14"/>
  <c r="CA6" i="14"/>
  <c r="CI6" i="14"/>
  <c r="CQ6" i="14"/>
  <c r="CY6" i="14"/>
  <c r="DG6" i="14"/>
  <c r="DO6" i="14"/>
  <c r="DW6" i="14"/>
  <c r="EE6" i="14"/>
  <c r="EM6" i="14"/>
  <c r="EU6" i="14"/>
  <c r="FC6" i="14"/>
  <c r="FK6" i="14"/>
  <c r="FR6" i="14"/>
  <c r="FS6" i="14"/>
  <c r="FR5" i="14"/>
  <c r="DV5" i="14"/>
  <c r="BZ5" i="14"/>
  <c r="FQ5" i="14"/>
  <c r="DU5" i="14"/>
  <c r="BY5" i="14"/>
  <c r="AK5" i="14"/>
  <c r="EZ5" i="14"/>
  <c r="DT5" i="14"/>
  <c r="CF5" i="14"/>
  <c r="AR5" i="14"/>
  <c r="T5" i="14"/>
  <c r="AT6" i="14"/>
  <c r="BZ6" i="14"/>
  <c r="ED6" i="14"/>
  <c r="FB6" i="14"/>
  <c r="FL6" i="14"/>
  <c r="FB5" i="14"/>
  <c r="ED5" i="14"/>
  <c r="CX5" i="14"/>
  <c r="BB5" i="14"/>
  <c r="ES5" i="14"/>
  <c r="EC5" i="14"/>
  <c r="CW5" i="14"/>
  <c r="BA5" i="14"/>
  <c r="M5" i="14"/>
  <c r="FH5" i="14"/>
  <c r="EB5" i="14"/>
  <c r="CV5" i="14"/>
  <c r="BP5" i="14"/>
  <c r="AZ5" i="14"/>
  <c r="AB5" i="14"/>
  <c r="AL6" i="14"/>
  <c r="BJ6" i="14"/>
  <c r="CP6" i="14"/>
  <c r="DV6" i="14"/>
  <c r="ET6" i="14"/>
  <c r="FT5" i="14"/>
  <c r="FL5" i="14"/>
  <c r="FD5" i="14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AO37" i="14" l="1"/>
  <c r="AR37" i="14"/>
  <c r="AK37" i="14"/>
  <c r="AH37" i="14"/>
  <c r="AA37" i="14"/>
  <c r="P37" i="14"/>
  <c r="AQ37" i="14"/>
  <c r="AF37" i="14"/>
  <c r="J37" i="14"/>
  <c r="AI37" i="14"/>
  <c r="X37" i="14"/>
  <c r="Y37" i="14"/>
  <c r="AG37" i="14"/>
  <c r="U37" i="14"/>
  <c r="Z37" i="14"/>
  <c r="AN37" i="14"/>
  <c r="M37" i="14"/>
  <c r="K37" i="14"/>
  <c r="AC37" i="14"/>
  <c r="O37" i="14"/>
  <c r="L37" i="14"/>
  <c r="W34" i="14"/>
  <c r="Q36" i="14"/>
  <c r="Q37" i="14"/>
  <c r="Z34" i="14"/>
  <c r="P33" i="14"/>
  <c r="AR19" i="14"/>
  <c r="J33" i="14"/>
  <c r="S37" i="14"/>
  <c r="Y33" i="14"/>
  <c r="AB37" i="14"/>
  <c r="AG34" i="14"/>
  <c r="J34" i="14"/>
  <c r="AR20" i="14"/>
  <c r="AB33" i="14"/>
  <c r="AP37" i="14"/>
  <c r="R37" i="14"/>
  <c r="AJ33" i="14"/>
  <c r="AI34" i="14"/>
  <c r="U34" i="14"/>
  <c r="AH33" i="14"/>
  <c r="AL36" i="14"/>
  <c r="AD33" i="14"/>
  <c r="K33" i="14"/>
  <c r="S34" i="14"/>
  <c r="AJ37" i="14"/>
  <c r="AA33" i="14"/>
  <c r="AO33" i="14"/>
  <c r="P36" i="14"/>
  <c r="AN33" i="14"/>
  <c r="AN34" i="14"/>
  <c r="X33" i="14"/>
  <c r="U33" i="14"/>
  <c r="T37" i="14"/>
  <c r="N34" i="14"/>
  <c r="AE34" i="14"/>
  <c r="N36" i="14"/>
  <c r="AF33" i="14"/>
  <c r="Q33" i="14"/>
  <c r="AG33" i="14"/>
  <c r="AI33" i="14"/>
  <c r="AD37" i="14"/>
  <c r="AL33" i="14"/>
  <c r="AQ33" i="14"/>
  <c r="AL37" i="14"/>
  <c r="V37" i="14"/>
  <c r="Q34" i="14"/>
  <c r="R34" i="14"/>
  <c r="AA34" i="14"/>
  <c r="AM36" i="14"/>
  <c r="AL34" i="14"/>
  <c r="N33" i="14"/>
  <c r="W33" i="14"/>
  <c r="AR22" i="14"/>
  <c r="AD36" i="14" s="1"/>
  <c r="AN36" i="14"/>
  <c r="N37" i="14"/>
  <c r="T36" i="14"/>
  <c r="L33" i="14"/>
  <c r="V33" i="14"/>
  <c r="S17" i="14"/>
  <c r="AK17" i="14"/>
  <c r="AQ16" i="14"/>
  <c r="AN17" i="14"/>
  <c r="AC17" i="14"/>
  <c r="P17" i="14"/>
  <c r="AQ17" i="14"/>
  <c r="AA17" i="14"/>
  <c r="M17" i="14"/>
  <c r="AF17" i="14"/>
  <c r="Z17" i="14"/>
  <c r="S16" i="14"/>
  <c r="X17" i="14"/>
  <c r="AJ16" i="14"/>
  <c r="Z16" i="14"/>
  <c r="J17" i="14"/>
  <c r="AE17" i="14"/>
  <c r="AI16" i="14"/>
  <c r="O16" i="14"/>
  <c r="AA16" i="14"/>
  <c r="AO16" i="14"/>
  <c r="U17" i="14"/>
  <c r="AJ17" i="14"/>
  <c r="K17" i="14"/>
  <c r="T17" i="14"/>
  <c r="R17" i="14"/>
  <c r="L16" i="14"/>
  <c r="AH16" i="14"/>
  <c r="W17" i="14"/>
  <c r="AI17" i="14"/>
  <c r="Y16" i="14"/>
  <c r="O17" i="14"/>
  <c r="AO17" i="14"/>
  <c r="M16" i="14"/>
  <c r="AD16" i="14"/>
  <c r="AG16" i="14"/>
  <c r="AK16" i="14"/>
  <c r="N16" i="14"/>
  <c r="AM17" i="14"/>
  <c r="AF16" i="14"/>
  <c r="K16" i="14"/>
  <c r="Q17" i="14"/>
  <c r="AC16" i="14"/>
  <c r="U16" i="14"/>
  <c r="X16" i="14"/>
  <c r="P16" i="14"/>
  <c r="AN16" i="14"/>
  <c r="AE16" i="14"/>
  <c r="W16" i="14"/>
  <c r="J16" i="14"/>
  <c r="AH17" i="14"/>
  <c r="Q16" i="14"/>
  <c r="AB17" i="14"/>
  <c r="Y17" i="14"/>
  <c r="R16" i="14"/>
  <c r="N17" i="14"/>
  <c r="T16" i="14"/>
  <c r="AG17" i="14"/>
  <c r="AB16" i="14"/>
  <c r="AP16" i="14"/>
  <c r="L17" i="14"/>
  <c r="AM16" i="14"/>
  <c r="V17" i="14"/>
  <c r="V16" i="14"/>
  <c r="AP17" i="14"/>
  <c r="AD17" i="14"/>
  <c r="AL17" i="14"/>
  <c r="AL16" i="14"/>
  <c r="AR34" i="14" l="1"/>
  <c r="V34" i="14"/>
  <c r="X34" i="14"/>
  <c r="O34" i="14"/>
  <c r="P34" i="14"/>
  <c r="AF34" i="14"/>
  <c r="AP34" i="14"/>
  <c r="M34" i="14"/>
  <c r="AK34" i="14"/>
  <c r="AB34" i="14"/>
  <c r="V36" i="14"/>
  <c r="AD34" i="14"/>
  <c r="AC34" i="14"/>
  <c r="L34" i="14"/>
  <c r="AJ34" i="14"/>
  <c r="O36" i="14"/>
  <c r="AO34" i="14"/>
  <c r="K34" i="14"/>
  <c r="Y34" i="14"/>
  <c r="T34" i="14"/>
  <c r="AQ36" i="14"/>
  <c r="AR36" i="14"/>
  <c r="Z36" i="14"/>
  <c r="AO36" i="14"/>
  <c r="X36" i="14"/>
  <c r="M36" i="14"/>
  <c r="AK36" i="14"/>
  <c r="S36" i="14"/>
  <c r="AJ36" i="14"/>
  <c r="U36" i="14"/>
  <c r="J36" i="14"/>
  <c r="L36" i="14"/>
  <c r="AC36" i="14"/>
  <c r="Y36" i="14"/>
  <c r="R36" i="14"/>
  <c r="K36" i="14"/>
  <c r="AA36" i="14"/>
  <c r="W36" i="14"/>
  <c r="AP36" i="14"/>
  <c r="AI36" i="14"/>
  <c r="AG36" i="14"/>
  <c r="AH36" i="14"/>
  <c r="AE36" i="14"/>
  <c r="AF36" i="14"/>
  <c r="AQ34" i="14"/>
  <c r="AB36" i="14"/>
  <c r="AR33" i="14"/>
  <c r="T33" i="14"/>
  <c r="O33" i="14"/>
  <c r="Z33" i="14"/>
  <c r="AM33" i="14"/>
  <c r="AP33" i="14"/>
  <c r="AC33" i="14"/>
  <c r="AE33" i="14"/>
  <c r="S33" i="14"/>
  <c r="AK33" i="14"/>
  <c r="R33" i="14"/>
  <c r="M33" i="14"/>
  <c r="AM34" i="14"/>
  <c r="AH34" i="14"/>
  <c r="AR17" i="14"/>
  <c r="AN31" i="14" s="1"/>
  <c r="AR16" i="14"/>
  <c r="L30" i="14" s="1"/>
  <c r="K31" i="14"/>
  <c r="X31" i="14"/>
  <c r="AB31" i="14"/>
  <c r="N31" i="14"/>
  <c r="Y31" i="14"/>
  <c r="AO31" i="14"/>
  <c r="T31" i="14"/>
  <c r="V31" i="14"/>
  <c r="AE30" i="14"/>
  <c r="J31" i="14"/>
  <c r="AO30" i="14"/>
  <c r="P31" i="14"/>
  <c r="P30" i="14"/>
  <c r="AF31" i="14"/>
  <c r="M30" i="14"/>
  <c r="AM31" i="14"/>
  <c r="AF30" i="14"/>
  <c r="AH31" i="14"/>
  <c r="X30" i="14"/>
  <c r="AA31" i="14"/>
  <c r="AM30" i="14"/>
  <c r="AK30" i="14" l="1"/>
  <c r="AG31" i="14"/>
  <c r="AR31" i="14"/>
  <c r="AK31" i="14"/>
  <c r="AP30" i="14"/>
  <c r="AN30" i="14"/>
  <c r="J30" i="14"/>
  <c r="S30" i="14"/>
  <c r="AG30" i="14"/>
  <c r="AI31" i="14"/>
  <c r="AL30" i="14"/>
  <c r="AC30" i="14"/>
  <c r="Q31" i="14"/>
  <c r="AE31" i="14"/>
  <c r="AC31" i="14"/>
  <c r="L31" i="14"/>
  <c r="AR30" i="14"/>
  <c r="W30" i="14"/>
  <c r="U30" i="14"/>
  <c r="Y30" i="14"/>
  <c r="AP31" i="14"/>
  <c r="Q30" i="14"/>
  <c r="S31" i="14"/>
  <c r="T30" i="14"/>
  <c r="M31" i="14"/>
  <c r="AL31" i="14"/>
  <c r="R31" i="14"/>
  <c r="U31" i="14"/>
  <c r="AQ31" i="14"/>
  <c r="Z31" i="14"/>
  <c r="AD31" i="14"/>
  <c r="AJ31" i="14"/>
  <c r="AH30" i="14"/>
  <c r="O30" i="14"/>
  <c r="Z30" i="14"/>
  <c r="N30" i="14"/>
  <c r="AJ30" i="14"/>
  <c r="R30" i="14"/>
  <c r="AD30" i="14"/>
  <c r="K30" i="14"/>
  <c r="AI30" i="14"/>
  <c r="W31" i="14"/>
  <c r="O31" i="14"/>
  <c r="AQ30" i="14"/>
  <c r="AA30" i="14"/>
  <c r="V30" i="14"/>
  <c r="AB30" i="14"/>
</calcChain>
</file>

<file path=xl/sharedStrings.xml><?xml version="1.0" encoding="utf-8"?>
<sst xmlns="http://schemas.openxmlformats.org/spreadsheetml/2006/main" count="584" uniqueCount="57">
  <si>
    <t>合流車線</t>
    <rPh sb="0" eb="2">
      <t>ゴウリュウ</t>
    </rPh>
    <rPh sb="2" eb="3">
      <t>シャリョウ</t>
    </rPh>
    <rPh sb="3" eb="4">
      <t>セn</t>
    </rPh>
    <phoneticPr fontId="2"/>
  </si>
  <si>
    <t>本線</t>
    <rPh sb="0" eb="2">
      <t xml:space="preserve">ホンセン </t>
    </rPh>
    <phoneticPr fontId="2"/>
  </si>
  <si>
    <t>[台/h]</t>
    <rPh sb="1" eb="2">
      <t xml:space="preserve">ダイ </t>
    </rPh>
    <phoneticPr fontId="2"/>
  </si>
  <si>
    <t>提案手法</t>
    <rPh sb="0" eb="4">
      <t>テイアn</t>
    </rPh>
    <phoneticPr fontId="2"/>
  </si>
  <si>
    <t>線形, v_max</t>
    <rPh sb="0" eb="2">
      <t>センケイ</t>
    </rPh>
    <phoneticPr fontId="2"/>
  </si>
  <si>
    <t>all_speed</t>
    <phoneticPr fontId="2"/>
  </si>
  <si>
    <t>cav0_speed</t>
  </si>
  <si>
    <t>cav1_speed</t>
  </si>
  <si>
    <t>2次, v_max</t>
    <rPh sb="1" eb="2">
      <t xml:space="preserve">ジ </t>
    </rPh>
    <phoneticPr fontId="2"/>
  </si>
  <si>
    <t>加藤さん</t>
    <rPh sb="0" eb="2">
      <t>カトウス</t>
    </rPh>
    <phoneticPr fontId="2"/>
  </si>
  <si>
    <t>all_speed</t>
  </si>
  <si>
    <t>全て受け入れ</t>
    <rPh sb="0" eb="1">
      <t>スベテ</t>
    </rPh>
    <phoneticPr fontId="2"/>
  </si>
  <si>
    <t>PriMa20%</t>
    <phoneticPr fontId="2"/>
  </si>
  <si>
    <t>PriMa40%</t>
    <phoneticPr fontId="2"/>
  </si>
  <si>
    <t>合流開始</t>
    <rPh sb="0" eb="4">
      <t>ゴウリュウ</t>
    </rPh>
    <phoneticPr fontId="2"/>
  </si>
  <si>
    <t>100m</t>
    <phoneticPr fontId="2"/>
  </si>
  <si>
    <t>シミュ時間</t>
    <rPh sb="3" eb="5">
      <t>ジカn</t>
    </rPh>
    <phoneticPr fontId="2"/>
  </si>
  <si>
    <t>90s</t>
    <phoneticPr fontId="2"/>
  </si>
  <si>
    <t>(30s~)</t>
    <phoneticPr fontId="2"/>
  </si>
  <si>
    <t>200m</t>
    <phoneticPr fontId="2"/>
  </si>
  <si>
    <t>(60s~)</t>
    <phoneticPr fontId="2"/>
  </si>
  <si>
    <t>250m</t>
    <phoneticPr fontId="2"/>
  </si>
  <si>
    <t>提案1</t>
    <rPh sb="0" eb="2">
      <t>テイアn</t>
    </rPh>
    <phoneticPr fontId="2"/>
  </si>
  <si>
    <t>提案１</t>
    <rPh sb="0" eb="2">
      <t>テイアn</t>
    </rPh>
    <phoneticPr fontId="2"/>
  </si>
  <si>
    <t>提案２</t>
    <rPh sb="0" eb="2">
      <t>テイアn</t>
    </rPh>
    <phoneticPr fontId="2"/>
  </si>
  <si>
    <t>提案３</t>
    <rPh sb="0" eb="2">
      <t>テイアn</t>
    </rPh>
    <phoneticPr fontId="2"/>
  </si>
  <si>
    <t>Kato</t>
    <phoneticPr fontId="2"/>
  </si>
  <si>
    <t>always</t>
    <phoneticPr fontId="2"/>
  </si>
  <si>
    <t>PriMa0.2</t>
    <phoneticPr fontId="2"/>
  </si>
  <si>
    <t>PriMa0.4</t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</si>
  <si>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</si>
  <si>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</si>
  <si>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</si>
  <si>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</si>
  <si>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</si>
  <si>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F</t>
    <phoneticPr fontId="2"/>
  </si>
  <si>
    <t>G</t>
    <phoneticPr fontId="2"/>
  </si>
  <si>
    <t>cav0</t>
    <phoneticPr fontId="2"/>
  </si>
  <si>
    <t>cav1</t>
    <phoneticPr fontId="2"/>
  </si>
  <si>
    <t>v_0.4</t>
    <phoneticPr fontId="2"/>
  </si>
  <si>
    <t>600/1400</t>
    <phoneticPr fontId="2"/>
  </si>
  <si>
    <t>1000/1000</t>
    <phoneticPr fontId="2"/>
  </si>
  <si>
    <t>1400/600</t>
    <phoneticPr fontId="2"/>
  </si>
  <si>
    <t>1200/1200</t>
    <phoneticPr fontId="2"/>
  </si>
  <si>
    <t>提案2</t>
    <rPh sb="0" eb="1">
      <t>テイアn</t>
    </rPh>
    <phoneticPr fontId="2"/>
  </si>
  <si>
    <t>提案3</t>
    <rPh sb="0" eb="2">
      <t>テイアn</t>
    </rPh>
    <phoneticPr fontId="2"/>
  </si>
  <si>
    <t>all</t>
    <phoneticPr fontId="2"/>
  </si>
  <si>
    <t>これじゃない</t>
    <phoneticPr fontId="2"/>
  </si>
  <si>
    <t>提案3/always</t>
    <rPh sb="0" eb="2">
      <t>テイアn</t>
    </rPh>
    <phoneticPr fontId="2"/>
  </si>
  <si>
    <t>提案3/Kato</t>
    <rPh sb="0" eb="1">
      <t>テイアn</t>
    </rPh>
    <phoneticPr fontId="2"/>
  </si>
  <si>
    <t>提案2</t>
    <rPh sb="0" eb="2">
      <t>テイアn</t>
    </rPh>
    <phoneticPr fontId="2"/>
  </si>
  <si>
    <t>kato</t>
    <phoneticPr fontId="2"/>
  </si>
  <si>
    <t>150m</t>
    <phoneticPr fontId="2"/>
  </si>
  <si>
    <t>既存関数</t>
    <rPh sb="0" eb="4">
      <t>キゾn</t>
    </rPh>
    <phoneticPr fontId="2"/>
  </si>
  <si>
    <t>既存関数</t>
    <rPh sb="0" eb="1">
      <t>キゾn</t>
    </rPh>
    <phoneticPr fontId="2"/>
  </si>
  <si>
    <t>utility</t>
    <phoneticPr fontId="2"/>
  </si>
  <si>
    <t>const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</si>
</sst>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0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Sheet9!$C$3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Sheet9!$B$4:$B$8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Sheet9!$C$4:$C$8</c:f>
              <c:numCache>
                <c:formatCode>General</c:formatCode>
                <c:ptCount val="5"/>
                <c:pt idx="0">
                  <c:v>13.495900000000001</c:v>
                </c:pt>
                <c:pt idx="1">
                  <c:v>12.071999999999999</c:v>
                </c:pt>
                <c:pt idx="2">
                  <c:v>11.3432</c:v>
                </c:pt>
                <c:pt idx="3">
                  <c:v>9.2585999999999995</c:v>
                </c:pt>
                <c:pt idx="4">
                  <c:v>9.5658999999999992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3F-E549-8DAD-4042A1ED9E60}"/>
            </c:ext>
          </c:extLst>
        </c:ser>
        <c:ser>
          <c:idx val="1"/>
          <c:order val="1"/>
          <c:tx>
            <c:strRef>
              <c:f>Sheet9!$D$3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Sheet9!$B$4:$B$8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Sheet9!$D$4:$D$8</c:f>
              <c:numCache>
                <c:formatCode>General</c:formatCode>
                <c:ptCount val="5"/>
                <c:pt idx="0">
                  <c:v>13.307499999999999</c:v>
                </c:pt>
                <c:pt idx="1">
                  <c:v>11.9626</c:v>
                </c:pt>
                <c:pt idx="2">
                  <c:v>11.4078</c:v>
                </c:pt>
                <c:pt idx="3">
                  <c:v>9.3597999999999999</c:v>
                </c:pt>
                <c:pt idx="4">
                  <c:v>9.3904999999999994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3F-E549-8DAD-4042A1ED9E60}"/>
            </c:ext>
          </c:extLst>
        </c:ser>
        <c:ser>
          <c:idx val="2"/>
          <c:order val="2"/>
          <c:tx>
            <c:strRef>
              <c:f>Sheet9!$E$3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Sheet9!$B$4:$B$8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Sheet9!$E$4:$E$8</c:f>
              <c:numCache>
                <c:formatCode>General</c:formatCode>
                <c:ptCount val="5"/>
                <c:pt idx="0">
                  <c:v>13.3492</c:v>
                </c:pt>
                <c:pt idx="1">
                  <c:v>12.017200000000001</c:v>
                </c:pt>
                <c:pt idx="2">
                  <c:v>11.267799999999999</c:v>
                </c:pt>
                <c:pt idx="3">
                  <c:v>9.8650000000000002</c:v>
                </c:pt>
                <c:pt idx="4">
                  <c:v>9.4822000000000006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3F-E549-8DAD-4042A1ED9E60}"/>
            </c:ext>
          </c:extLst>
        </c:ser>
        <c:ser>
          <c:idx val="3"/>
          <c:order val="3"/>
          <c:tx>
            <c:strRef>
              <c:f>Sheet9!$F$3</c:f>
              <c:strCache>
                <c:ptCount val="1"/>
                <c:pt idx="0">
                  <c:v>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Sheet9!$B$4:$B$8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Sheet9!$F$4:$F$8</c:f>
              <c:numCache>
                <c:formatCode>General</c:formatCode>
                <c:ptCount val="5"/>
                <c:pt idx="0">
                  <c:v>12.0641</c:v>
                </c:pt>
                <c:pt idx="1">
                  <c:v>11.556100000000001</c:v>
                </c:pt>
                <c:pt idx="2">
                  <c:v>10.0128</c:v>
                </c:pt>
                <c:pt idx="3">
                  <c:v>8.6357999999999997</c:v>
                </c:pt>
                <c:pt idx="4">
                  <c:v>8.7871000000000006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3F-E549-8DAD-4042A1ED9E60}"/>
            </c:ext>
          </c:extLst>
        </c:ser>
        <c:ser>
          <c:idx val="4"/>
          <c:order val="4"/>
          <c:tx>
            <c:strRef>
              <c:f>Sheet9!$G$3</c:f>
              <c:strCache>
                <c:ptCount val="1"/>
                <c:pt idx="0">
                  <c:v>E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Sheet9!$B$4:$B$8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Sheet9!$G$4:$G$8</c:f>
              <c:numCache>
                <c:formatCode>General</c:formatCode>
                <c:ptCount val="5"/>
                <c:pt idx="0">
                  <c:v>12.5297</c:v>
                </c:pt>
                <c:pt idx="1">
                  <c:v>11.746600000000001</c:v>
                </c:pt>
                <c:pt idx="2">
                  <c:v>10.948499999999999</c:v>
                </c:pt>
                <c:pt idx="3">
                  <c:v>9.4963999999999995</c:v>
                </c:pt>
                <c:pt idx="4">
                  <c:v>9.4487000000000005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23F-E549-8DAD-4042A1ED9E60}"/>
            </c:ext>
          </c:extLst>
        </c:ser>
        <c:ser>
          <c:idx val="5"/>
          <c:order val="5"/>
          <c:tx>
            <c:strRef>
              <c:f>Sheet9!$H$3</c:f>
              <c:strCache>
                <c:ptCount val="1"/>
                <c:pt idx="0">
                  <c:v>F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Sheet9!$B$4:$B$8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Sheet9!$H$4:$H$8</c:f>
              <c:numCache>
                <c:formatCode>General</c:formatCode>
                <c:ptCount val="5"/>
                <c:pt idx="0">
                  <c:v>11.726699999999999</c:v>
                </c:pt>
                <c:pt idx="1">
                  <c:v>10.013</c:v>
                </c:pt>
                <c:pt idx="2">
                  <c:v>8.8713999999999995</c:v>
                </c:pt>
                <c:pt idx="3">
                  <c:v>7.6787000000000001</c:v>
                </c:pt>
                <c:pt idx="4">
                  <c:v>7.8413000000000004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23F-E549-8DAD-4042A1ED9E60}"/>
            </c:ext>
          </c:extLst>
        </c:ser>
        <c:ser>
          <c:idx val="6"/>
          <c:order val="6"/>
          <c:tx>
            <c:strRef>
              <c:f>Sheet9!$I$3</c:f>
              <c:strCache>
                <c:ptCount val="1"/>
                <c:pt idx="0">
                  <c:v>G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Sheet9!$B$4:$B$8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Sheet9!$I$4:$I$8</c:f>
              <c:numCache>
                <c:formatCode>General</c:formatCode>
                <c:ptCount val="5"/>
                <c:pt idx="0">
                  <c:v>13.4322</c:v>
                </c:pt>
                <c:pt idx="1">
                  <c:v>11.4915</c:v>
                </c:pt>
                <c:pt idx="2">
                  <c:v>10.4533</c:v>
                </c:pt>
                <c:pt idx="3">
                  <c:v>8.8222000000000005</c:v>
                </c:pt>
                <c:pt idx="4">
                  <c:v>8.6913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23F-E549-8DAD-4042A1ED9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598479"/>
        <c:axId val="1401639247"/>
      </c:scatterChart>
      <c:valAx>
        <c:axId val="94359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01639247"/>
        <c:crosses val="autoZero"/>
        <c:crossBetween val="midCat"/>
      </c:valAx>
      <c:valAx>
        <c:axId val="1401639247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359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2777777777778"/>
          <c:y val="5.0925925925925923E-2"/>
          <c:w val="0.80608333333333337"/>
          <c:h val="0.732475575969670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評価１!$D$3</c:f>
              <c:strCache>
                <c:ptCount val="1"/>
                <c:pt idx="0">
                  <c:v>提案１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評価１!$C$4:$C$8</c:f>
              <c:numCache>
                <c:formatCode>General</c:formatCode>
                <c:ptCount val="5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</c:numCache>
            </c:numRef>
          </c:xVal>
          <c:yVal>
            <c:numRef>
              <c:f>評価１!$D$4:$D$8</c:f>
              <c:numCache>
                <c:formatCode>General</c:formatCode>
                <c:ptCount val="5"/>
                <c:pt idx="0">
                  <c:v>12.912800000000001</c:v>
                </c:pt>
                <c:pt idx="1">
                  <c:v>11.358499999999999</c:v>
                </c:pt>
                <c:pt idx="2">
                  <c:v>10.545199999999999</c:v>
                </c:pt>
                <c:pt idx="3">
                  <c:v>8.1353000000000009</c:v>
                </c:pt>
                <c:pt idx="4">
                  <c:v>8.6292000000000009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13-7240-88CC-AAA4ED6F2038}"/>
            </c:ext>
          </c:extLst>
        </c:ser>
        <c:ser>
          <c:idx val="1"/>
          <c:order val="1"/>
          <c:tx>
            <c:strRef>
              <c:f>評価１!$E$3</c:f>
              <c:strCache>
                <c:ptCount val="1"/>
                <c:pt idx="0">
                  <c:v>提案２</c:v>
                </c:pt>
              </c:strCache>
            </c:strRef>
          </c:tx>
          <c:spPr>
            <a:ln w="19050" cap="rnd">
              <a:solidFill>
                <a:srgbClr val="FF00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E4"/>
              </a:solidFill>
              <a:ln w="9525">
                <a:solidFill>
                  <a:srgbClr val="FF00E4"/>
                </a:solidFill>
              </a:ln>
              <a:effectLst/>
            </c:spPr>
          </c:marker>
          <c:xVal>
            <c:numRef>
              <c:f>評価１!$C$4:$C$8</c:f>
              <c:numCache>
                <c:formatCode>General</c:formatCode>
                <c:ptCount val="5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</c:numCache>
            </c:numRef>
          </c:xVal>
          <c:yVal>
            <c:numRef>
              <c:f>評価１!$E$4:$E$8</c:f>
              <c:numCache>
                <c:formatCode>General</c:formatCode>
                <c:ptCount val="5"/>
                <c:pt idx="0">
                  <c:v>12.724399999999999</c:v>
                </c:pt>
                <c:pt idx="1">
                  <c:v>11.226900000000001</c:v>
                </c:pt>
                <c:pt idx="2">
                  <c:v>10.587</c:v>
                </c:pt>
                <c:pt idx="3">
                  <c:v>8.2608999999999995</c:v>
                </c:pt>
                <c:pt idx="4">
                  <c:v>8.4261999999999997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13-7240-88CC-AAA4ED6F2038}"/>
            </c:ext>
          </c:extLst>
        </c:ser>
        <c:ser>
          <c:idx val="2"/>
          <c:order val="2"/>
          <c:tx>
            <c:strRef>
              <c:f>評価１!$F$3</c:f>
              <c:strCache>
                <c:ptCount val="1"/>
                <c:pt idx="0">
                  <c:v>提案３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評価１!$C$4:$C$8</c:f>
              <c:numCache>
                <c:formatCode>General</c:formatCode>
                <c:ptCount val="5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</c:numCache>
            </c:numRef>
          </c:xVal>
          <c:yVal>
            <c:numRef>
              <c:f>評価１!$F$4:$F$8</c:f>
              <c:numCache>
                <c:formatCode>General</c:formatCode>
                <c:ptCount val="5"/>
                <c:pt idx="0">
                  <c:v>12.733700000000001</c:v>
                </c:pt>
                <c:pt idx="1">
                  <c:v>11.2896</c:v>
                </c:pt>
                <c:pt idx="2">
                  <c:v>10.4581</c:v>
                </c:pt>
                <c:pt idx="3">
                  <c:v>8.8178000000000001</c:v>
                </c:pt>
                <c:pt idx="4">
                  <c:v>8.5376999999999992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13-7240-88CC-AAA4ED6F2038}"/>
            </c:ext>
          </c:extLst>
        </c:ser>
        <c:ser>
          <c:idx val="3"/>
          <c:order val="3"/>
          <c:tx>
            <c:strRef>
              <c:f>評価１!$G$3</c:f>
              <c:strCache>
                <c:ptCount val="1"/>
                <c:pt idx="0">
                  <c:v>utility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評価１!$C$4:$C$8</c:f>
              <c:numCache>
                <c:formatCode>General</c:formatCode>
                <c:ptCount val="5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</c:numCache>
            </c:numRef>
          </c:xVal>
          <c:yVal>
            <c:numRef>
              <c:f>評価１!$G$4:$G$8</c:f>
              <c:numCache>
                <c:formatCode>General</c:formatCode>
                <c:ptCount val="5"/>
                <c:pt idx="0">
                  <c:v>11.181900000000001</c:v>
                </c:pt>
                <c:pt idx="1">
                  <c:v>10.7149</c:v>
                </c:pt>
                <c:pt idx="2">
                  <c:v>8.9238</c:v>
                </c:pt>
                <c:pt idx="3">
                  <c:v>7.3045999999999998</c:v>
                </c:pt>
                <c:pt idx="4">
                  <c:v>7.6439000000000004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13-7240-88CC-AAA4ED6F2038}"/>
            </c:ext>
          </c:extLst>
        </c:ser>
        <c:ser>
          <c:idx val="4"/>
          <c:order val="4"/>
          <c:tx>
            <c:strRef>
              <c:f>評価１!$H$3</c:f>
              <c:strCache>
                <c:ptCount val="1"/>
                <c:pt idx="0">
                  <c:v>always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xVal>
            <c:numRef>
              <c:f>評価１!$C$4:$C$8</c:f>
              <c:numCache>
                <c:formatCode>General</c:formatCode>
                <c:ptCount val="5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</c:numCache>
            </c:numRef>
          </c:xVal>
          <c:yVal>
            <c:numRef>
              <c:f>評価１!$H$4:$H$8</c:f>
              <c:numCache>
                <c:formatCode>General</c:formatCode>
                <c:ptCount val="5"/>
                <c:pt idx="0">
                  <c:v>11.8209</c:v>
                </c:pt>
                <c:pt idx="1">
                  <c:v>11.021100000000001</c:v>
                </c:pt>
                <c:pt idx="2">
                  <c:v>10.0997</c:v>
                </c:pt>
                <c:pt idx="3">
                  <c:v>8.4210999999999991</c:v>
                </c:pt>
                <c:pt idx="4">
                  <c:v>8.5114999999999998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E13-7240-88CC-AAA4ED6F2038}"/>
            </c:ext>
          </c:extLst>
        </c:ser>
        <c:ser>
          <c:idx val="5"/>
          <c:order val="5"/>
          <c:tx>
            <c:strRef>
              <c:f>評価１!$I$3</c:f>
              <c:strCache>
                <c:ptCount val="1"/>
                <c:pt idx="0">
                  <c:v>const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評価１!$C$4:$C$8</c:f>
              <c:numCache>
                <c:formatCode>General</c:formatCode>
                <c:ptCount val="5"/>
                <c:pt idx="0">
                  <c:v>600</c:v>
                </c:pt>
                <c:pt idx="1">
                  <c:v>800</c:v>
                </c:pt>
                <c:pt idx="2">
                  <c:v>1000</c:v>
                </c:pt>
                <c:pt idx="3">
                  <c:v>1200</c:v>
                </c:pt>
                <c:pt idx="4">
                  <c:v>1400</c:v>
                </c:pt>
              </c:numCache>
            </c:numRef>
          </c:xVal>
          <c:yVal>
            <c:numRef>
              <c:f>評価１!$I$4:$I$8</c:f>
              <c:numCache>
                <c:formatCode>General</c:formatCode>
                <c:ptCount val="5"/>
                <c:pt idx="0">
                  <c:v>12.799799999999999</c:v>
                </c:pt>
                <c:pt idx="1">
                  <c:v>10.6028</c:v>
                </c:pt>
                <c:pt idx="2">
                  <c:v>9.3973999999999993</c:v>
                </c:pt>
                <c:pt idx="3">
                  <c:v>7.5075000000000003</c:v>
                </c:pt>
                <c:pt idx="4">
                  <c:v>7.5193000000000003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E13-7240-88CC-AAA4ED6F2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259791"/>
        <c:axId val="71754223"/>
      </c:scatterChart>
      <c:valAx>
        <c:axId val="72259791"/>
        <c:scaling>
          <c:orientation val="minMax"/>
          <c:max val="1400"/>
          <c:min val="6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希望車両の流入量</a:t>
                </a:r>
                <a:r>
                  <a:rPr lang="en-US" altLang="ja-JP"/>
                  <a:t> [</a:t>
                </a:r>
                <a:r>
                  <a:rPr lang="ja-JP" altLang="en-US"/>
                  <a:t>台</a:t>
                </a:r>
                <a:r>
                  <a:rPr lang="en-US" altLang="ja-JP"/>
                  <a:t>/h]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754223"/>
        <c:crosses val="autoZero"/>
        <c:crossBetween val="midCat"/>
        <c:majorUnit val="200"/>
      </c:valAx>
      <c:valAx>
        <c:axId val="71754223"/>
        <c:scaling>
          <c:orientation val="minMax"/>
          <c:max val="13"/>
          <c:min val="7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全車両の平均速度</a:t>
                </a:r>
                <a:r>
                  <a:rPr lang="en-US" altLang="ja-JP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259791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3065410199556536"/>
          <c:y val="7.9304461942257209E-2"/>
          <c:w val="0.50821621244129411"/>
          <c:h val="0.138288130650335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7"/>
          <c:y val="5.0925925925925923E-2"/>
          <c:w val="0.78711111111111109"/>
          <c:h val="0.72321631671041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評価２!$D$3</c:f>
              <c:strCache>
                <c:ptCount val="1"/>
                <c:pt idx="0">
                  <c:v>提案１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評価２!$C$4:$C$6</c:f>
              <c:numCache>
                <c:formatCode>General</c:formatCode>
                <c:ptCount val="3"/>
                <c:pt idx="0">
                  <c:v>800</c:v>
                </c:pt>
                <c:pt idx="1">
                  <c:v>1000</c:v>
                </c:pt>
                <c:pt idx="2">
                  <c:v>1200</c:v>
                </c:pt>
              </c:numCache>
            </c:numRef>
          </c:xVal>
          <c:yVal>
            <c:numRef>
              <c:f>評価２!$D$4:$D$6</c:f>
              <c:numCache>
                <c:formatCode>General</c:formatCode>
                <c:ptCount val="3"/>
                <c:pt idx="0">
                  <c:v>12.771000000000001</c:v>
                </c:pt>
                <c:pt idx="1">
                  <c:v>10.545199999999999</c:v>
                </c:pt>
                <c:pt idx="2">
                  <c:v>8.2982999999999993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6D-3A47-B081-831589D09AA3}"/>
            </c:ext>
          </c:extLst>
        </c:ser>
        <c:ser>
          <c:idx val="1"/>
          <c:order val="1"/>
          <c:tx>
            <c:strRef>
              <c:f>評価２!$E$3</c:f>
              <c:strCache>
                <c:ptCount val="1"/>
                <c:pt idx="0">
                  <c:v>提案２</c:v>
                </c:pt>
              </c:strCache>
            </c:strRef>
          </c:tx>
          <c:spPr>
            <a:ln w="19050" cap="rnd">
              <a:solidFill>
                <a:srgbClr val="FF00E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E4"/>
              </a:solidFill>
              <a:ln w="9525">
                <a:solidFill>
                  <a:srgbClr val="FF00E4"/>
                </a:solidFill>
              </a:ln>
              <a:effectLst/>
            </c:spPr>
          </c:marker>
          <c:xVal>
            <c:numRef>
              <c:f>評価２!$C$4:$C$6</c:f>
              <c:numCache>
                <c:formatCode>General</c:formatCode>
                <c:ptCount val="3"/>
                <c:pt idx="0">
                  <c:v>800</c:v>
                </c:pt>
                <c:pt idx="1">
                  <c:v>1000</c:v>
                </c:pt>
                <c:pt idx="2">
                  <c:v>1200</c:v>
                </c:pt>
              </c:numCache>
            </c:numRef>
          </c:xVal>
          <c:yVal>
            <c:numRef>
              <c:f>評価２!$E$4:$E$6</c:f>
              <c:numCache>
                <c:formatCode>General</c:formatCode>
                <c:ptCount val="3"/>
                <c:pt idx="0">
                  <c:v>12.900499999999999</c:v>
                </c:pt>
                <c:pt idx="1">
                  <c:v>10.587</c:v>
                </c:pt>
                <c:pt idx="2">
                  <c:v>8.2182999999999993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6D-3A47-B081-831589D09AA3}"/>
            </c:ext>
          </c:extLst>
        </c:ser>
        <c:ser>
          <c:idx val="2"/>
          <c:order val="2"/>
          <c:tx>
            <c:strRef>
              <c:f>評価２!$F$3</c:f>
              <c:strCache>
                <c:ptCount val="1"/>
                <c:pt idx="0">
                  <c:v>提案３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評価２!$C$4:$C$6</c:f>
              <c:numCache>
                <c:formatCode>General</c:formatCode>
                <c:ptCount val="3"/>
                <c:pt idx="0">
                  <c:v>800</c:v>
                </c:pt>
                <c:pt idx="1">
                  <c:v>1000</c:v>
                </c:pt>
                <c:pt idx="2">
                  <c:v>1200</c:v>
                </c:pt>
              </c:numCache>
            </c:numRef>
          </c:xVal>
          <c:yVal>
            <c:numRef>
              <c:f>評価２!$F$4:$F$6</c:f>
              <c:numCache>
                <c:formatCode>General</c:formatCode>
                <c:ptCount val="3"/>
                <c:pt idx="0">
                  <c:v>12.830399999999999</c:v>
                </c:pt>
                <c:pt idx="1">
                  <c:v>10.4581</c:v>
                </c:pt>
                <c:pt idx="2">
                  <c:v>8.3038000000000007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B6D-3A47-B081-831589D09AA3}"/>
            </c:ext>
          </c:extLst>
        </c:ser>
        <c:ser>
          <c:idx val="3"/>
          <c:order val="3"/>
          <c:tx>
            <c:strRef>
              <c:f>評価２!$G$3</c:f>
              <c:strCache>
                <c:ptCount val="1"/>
                <c:pt idx="0">
                  <c:v>utility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評価２!$C$4:$C$6</c:f>
              <c:numCache>
                <c:formatCode>General</c:formatCode>
                <c:ptCount val="3"/>
                <c:pt idx="0">
                  <c:v>800</c:v>
                </c:pt>
                <c:pt idx="1">
                  <c:v>1000</c:v>
                </c:pt>
                <c:pt idx="2">
                  <c:v>1200</c:v>
                </c:pt>
              </c:numCache>
            </c:numRef>
          </c:xVal>
          <c:yVal>
            <c:numRef>
              <c:f>評価２!$G$4:$G$6</c:f>
              <c:numCache>
                <c:formatCode>General</c:formatCode>
                <c:ptCount val="3"/>
                <c:pt idx="0">
                  <c:v>12.1412</c:v>
                </c:pt>
                <c:pt idx="1">
                  <c:v>8.9238</c:v>
                </c:pt>
                <c:pt idx="2">
                  <c:v>7.4180999999999999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B6D-3A47-B081-831589D09AA3}"/>
            </c:ext>
          </c:extLst>
        </c:ser>
        <c:ser>
          <c:idx val="4"/>
          <c:order val="4"/>
          <c:tx>
            <c:strRef>
              <c:f>評価２!$H$3</c:f>
              <c:strCache>
                <c:ptCount val="1"/>
                <c:pt idx="0">
                  <c:v>always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xVal>
            <c:numRef>
              <c:f>評価２!$C$4:$C$6</c:f>
              <c:numCache>
                <c:formatCode>General</c:formatCode>
                <c:ptCount val="3"/>
                <c:pt idx="0">
                  <c:v>800</c:v>
                </c:pt>
                <c:pt idx="1">
                  <c:v>1000</c:v>
                </c:pt>
                <c:pt idx="2">
                  <c:v>1200</c:v>
                </c:pt>
              </c:numCache>
            </c:numRef>
          </c:xVal>
          <c:yVal>
            <c:numRef>
              <c:f>評価２!$H$4:$H$6</c:f>
              <c:numCache>
                <c:formatCode>General</c:formatCode>
                <c:ptCount val="3"/>
                <c:pt idx="0">
                  <c:v>12.797599999999999</c:v>
                </c:pt>
                <c:pt idx="1">
                  <c:v>10.0997</c:v>
                </c:pt>
                <c:pt idx="2">
                  <c:v>8.2623999999999995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B6D-3A47-B081-831589D09AA3}"/>
            </c:ext>
          </c:extLst>
        </c:ser>
        <c:ser>
          <c:idx val="5"/>
          <c:order val="5"/>
          <c:tx>
            <c:strRef>
              <c:f>評価２!$I$3</c:f>
              <c:strCache>
                <c:ptCount val="1"/>
                <c:pt idx="0">
                  <c:v>const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評価２!$C$4:$C$6</c:f>
              <c:numCache>
                <c:formatCode>General</c:formatCode>
                <c:ptCount val="3"/>
                <c:pt idx="0">
                  <c:v>800</c:v>
                </c:pt>
                <c:pt idx="1">
                  <c:v>1000</c:v>
                </c:pt>
                <c:pt idx="2">
                  <c:v>1200</c:v>
                </c:pt>
              </c:numCache>
            </c:numRef>
          </c:xVal>
          <c:yVal>
            <c:numRef>
              <c:f>評価２!$I$4:$I$6</c:f>
              <c:numCache>
                <c:formatCode>General</c:formatCode>
                <c:ptCount val="3"/>
                <c:pt idx="0">
                  <c:v>13.027900000000001</c:v>
                </c:pt>
                <c:pt idx="1">
                  <c:v>9.3973999999999993</c:v>
                </c:pt>
                <c:pt idx="2">
                  <c:v>7.6138000000000003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B6D-3A47-B081-831589D09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645023"/>
        <c:axId val="2087470208"/>
      </c:scatterChart>
      <c:valAx>
        <c:axId val="370645023"/>
        <c:scaling>
          <c:orientation val="minMax"/>
          <c:max val="1200"/>
          <c:min val="8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希望車両の流入量</a:t>
                </a:r>
                <a:r>
                  <a:rPr lang="en-US" altLang="ja-JP"/>
                  <a:t> [</a:t>
                </a:r>
                <a:r>
                  <a:rPr lang="ja-JP" altLang="en-US"/>
                  <a:t>台</a:t>
                </a:r>
                <a:r>
                  <a:rPr lang="en-US" altLang="ja-JP"/>
                  <a:t>/h]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87470208"/>
        <c:crosses val="autoZero"/>
        <c:crossBetween val="midCat"/>
        <c:majorUnit val="200"/>
      </c:valAx>
      <c:valAx>
        <c:axId val="2087470208"/>
        <c:scaling>
          <c:orientation val="minMax"/>
          <c:max val="13.1"/>
          <c:min val="7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全車両の平均速度</a:t>
                </a:r>
                <a:r>
                  <a:rPr lang="en-US" altLang="ja-JP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0645023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4361190832536605"/>
          <c:y val="6.9881010106331479E-2"/>
          <c:w val="0.51387772400165499"/>
          <c:h val="0.138042077746890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38369507225606"/>
          <c:y val="5.0925925925925923E-2"/>
          <c:w val="0.81193296582351682"/>
          <c:h val="0.737105205599300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評価３!$D$3</c:f>
              <c:strCache>
                <c:ptCount val="1"/>
                <c:pt idx="0">
                  <c:v>提案１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評価３!$C$4:$C$6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</c:numCache>
            </c:numRef>
          </c:xVal>
          <c:yVal>
            <c:numRef>
              <c:f>評価３!$D$4:$D$6</c:f>
              <c:numCache>
                <c:formatCode>General</c:formatCode>
                <c:ptCount val="3"/>
                <c:pt idx="0">
                  <c:v>10.8058</c:v>
                </c:pt>
                <c:pt idx="1">
                  <c:v>12.912800000000001</c:v>
                </c:pt>
                <c:pt idx="2">
                  <c:v>13.3619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36-3F47-A9A5-48FE6914C915}"/>
            </c:ext>
          </c:extLst>
        </c:ser>
        <c:ser>
          <c:idx val="1"/>
          <c:order val="1"/>
          <c:tx>
            <c:strRef>
              <c:f>評価３!$E$3</c:f>
              <c:strCache>
                <c:ptCount val="1"/>
                <c:pt idx="0">
                  <c:v>utility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評価３!$C$4:$C$6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</c:numCache>
            </c:numRef>
          </c:xVal>
          <c:yVal>
            <c:numRef>
              <c:f>評価３!$E$4:$E$6</c:f>
              <c:numCache>
                <c:formatCode>General</c:formatCode>
                <c:ptCount val="3"/>
                <c:pt idx="0">
                  <c:v>10.071300000000001</c:v>
                </c:pt>
                <c:pt idx="1">
                  <c:v>11.181900000000001</c:v>
                </c:pt>
                <c:pt idx="2">
                  <c:v>12.814399999999999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36-3F47-A9A5-48FE6914C915}"/>
            </c:ext>
          </c:extLst>
        </c:ser>
        <c:ser>
          <c:idx val="2"/>
          <c:order val="2"/>
          <c:tx>
            <c:strRef>
              <c:f>評価３!$F$3</c:f>
              <c:strCache>
                <c:ptCount val="1"/>
                <c:pt idx="0">
                  <c:v>always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評価３!$C$4:$C$6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</c:numCache>
            </c:numRef>
          </c:xVal>
          <c:yVal>
            <c:numRef>
              <c:f>評価３!$F$4:$F$6</c:f>
              <c:numCache>
                <c:formatCode>General</c:formatCode>
                <c:ptCount val="3"/>
                <c:pt idx="0">
                  <c:v>9.9295000000000009</c:v>
                </c:pt>
                <c:pt idx="1">
                  <c:v>11.8209</c:v>
                </c:pt>
                <c:pt idx="2">
                  <c:v>12.117900000000001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36-3F47-A9A5-48FE6914C915}"/>
            </c:ext>
          </c:extLst>
        </c:ser>
        <c:ser>
          <c:idx val="3"/>
          <c:order val="3"/>
          <c:tx>
            <c:strRef>
              <c:f>評価３!$G$3</c:f>
              <c:strCache>
                <c:ptCount val="1"/>
                <c:pt idx="0">
                  <c:v>const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評価３!$C$4:$C$6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</c:numCache>
            </c:numRef>
          </c:xVal>
          <c:yVal>
            <c:numRef>
              <c:f>評価３!$G$4:$G$6</c:f>
              <c:numCache>
                <c:formatCode>General</c:formatCode>
                <c:ptCount val="3"/>
                <c:pt idx="0">
                  <c:v>10.071300000000001</c:v>
                </c:pt>
                <c:pt idx="1">
                  <c:v>12.799799999999999</c:v>
                </c:pt>
                <c:pt idx="2">
                  <c:v>13.8566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36-3F47-A9A5-48FE6914C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965759"/>
        <c:axId val="370563327"/>
      </c:scatterChart>
      <c:valAx>
        <c:axId val="370965759"/>
        <c:scaling>
          <c:orientation val="minMax"/>
          <c:max val="200"/>
          <c:min val="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合流可能範囲</a:t>
                </a:r>
                <a:r>
                  <a:rPr lang="en-US" altLang="ja-JP"/>
                  <a:t> [m]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0563327"/>
        <c:crosses val="autoZero"/>
        <c:crossBetween val="midCat"/>
        <c:majorUnit val="50"/>
      </c:valAx>
      <c:valAx>
        <c:axId val="370563327"/>
        <c:scaling>
          <c:orientation val="minMax"/>
          <c:max val="14"/>
          <c:min val="9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全車両の平均速度</a:t>
                </a:r>
                <a:r>
                  <a:rPr lang="en-US" altLang="ja-JP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0965759"/>
        <c:crosses val="autoZero"/>
        <c:crossBetween val="midCat"/>
        <c:majorUnit val="1"/>
        <c:minorUnit val="0.5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2555910970494761"/>
          <c:y val="0.68578594342373878"/>
          <c:w val="0.61465091863517063"/>
          <c:h val="7.81029454651501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38369507225606"/>
          <c:y val="5.0925907361509419E-2"/>
          <c:w val="0.81193296582351682"/>
          <c:h val="0.7556238132021678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評価３!$D$10</c:f>
              <c:strCache>
                <c:ptCount val="1"/>
                <c:pt idx="0">
                  <c:v>提案１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評価３!$C$11:$C$13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</c:numCache>
            </c:numRef>
          </c:xVal>
          <c:yVal>
            <c:numRef>
              <c:f>評価３!$D$11:$D$13</c:f>
              <c:numCache>
                <c:formatCode>General</c:formatCode>
                <c:ptCount val="3"/>
                <c:pt idx="0">
                  <c:v>9.2523999999999997</c:v>
                </c:pt>
                <c:pt idx="1">
                  <c:v>10.545199999999999</c:v>
                </c:pt>
                <c:pt idx="2">
                  <c:v>12.153600000000001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82-064D-898D-2F4D5D09BF39}"/>
            </c:ext>
          </c:extLst>
        </c:ser>
        <c:ser>
          <c:idx val="1"/>
          <c:order val="1"/>
          <c:tx>
            <c:strRef>
              <c:f>評価３!$E$10</c:f>
              <c:strCache>
                <c:ptCount val="1"/>
                <c:pt idx="0">
                  <c:v>utility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評価３!$C$11:$C$13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</c:numCache>
            </c:numRef>
          </c:xVal>
          <c:yVal>
            <c:numRef>
              <c:f>評価３!$E$11:$E$13</c:f>
              <c:numCache>
                <c:formatCode>General</c:formatCode>
                <c:ptCount val="3"/>
                <c:pt idx="0">
                  <c:v>7.1645000000000003</c:v>
                </c:pt>
                <c:pt idx="1">
                  <c:v>8.9238</c:v>
                </c:pt>
                <c:pt idx="2">
                  <c:v>12.3886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82-064D-898D-2F4D5D09BF39}"/>
            </c:ext>
          </c:extLst>
        </c:ser>
        <c:ser>
          <c:idx val="2"/>
          <c:order val="2"/>
          <c:tx>
            <c:strRef>
              <c:f>評価３!$F$10</c:f>
              <c:strCache>
                <c:ptCount val="1"/>
                <c:pt idx="0">
                  <c:v>always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評価３!$C$11:$C$13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</c:numCache>
            </c:numRef>
          </c:xVal>
          <c:yVal>
            <c:numRef>
              <c:f>評価３!$F$11:$F$13</c:f>
              <c:numCache>
                <c:formatCode>General</c:formatCode>
                <c:ptCount val="3"/>
                <c:pt idx="0">
                  <c:v>9.5365000000000002</c:v>
                </c:pt>
                <c:pt idx="1">
                  <c:v>10.0997</c:v>
                </c:pt>
                <c:pt idx="2">
                  <c:v>10.0823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82-064D-898D-2F4D5D09BF39}"/>
            </c:ext>
          </c:extLst>
        </c:ser>
        <c:ser>
          <c:idx val="3"/>
          <c:order val="3"/>
          <c:tx>
            <c:strRef>
              <c:f>評価３!$G$10</c:f>
              <c:strCache>
                <c:ptCount val="1"/>
                <c:pt idx="0">
                  <c:v>const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評価３!$C$11:$C$13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</c:numCache>
            </c:numRef>
          </c:xVal>
          <c:yVal>
            <c:numRef>
              <c:f>評価３!$G$11:$G$13</c:f>
              <c:numCache>
                <c:formatCode>General</c:formatCode>
                <c:ptCount val="3"/>
                <c:pt idx="0">
                  <c:v>7.1645000000000003</c:v>
                </c:pt>
                <c:pt idx="1">
                  <c:v>9.3973999999999993</c:v>
                </c:pt>
                <c:pt idx="2">
                  <c:v>12.736800000000001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82-064D-898D-2F4D5D09B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293775"/>
        <c:axId val="1913349200"/>
      </c:scatterChart>
      <c:valAx>
        <c:axId val="370293775"/>
        <c:scaling>
          <c:orientation val="minMax"/>
          <c:max val="200"/>
          <c:min val="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合流可能範囲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[m]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13349200"/>
        <c:crosses val="autoZero"/>
        <c:crossBetween val="midCat"/>
        <c:majorUnit val="50"/>
      </c:valAx>
      <c:valAx>
        <c:axId val="1913349200"/>
        <c:scaling>
          <c:orientation val="minMax"/>
          <c:max val="13"/>
          <c:min val="7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全車両の平均速度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[m/s]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0293775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2555910970494761"/>
          <c:y val="0.70893419767636434"/>
          <c:w val="0.61465091863517063"/>
          <c:h val="7.81029169936873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38369507225606"/>
          <c:y val="5.0812564561418826E-2"/>
          <c:w val="0.81193296582351682"/>
          <c:h val="0.7388305218972107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評価３!$D$17</c:f>
              <c:strCache>
                <c:ptCount val="1"/>
                <c:pt idx="0">
                  <c:v>提案１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評価３!$C$18:$C$20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</c:numCache>
            </c:numRef>
          </c:xVal>
          <c:yVal>
            <c:numRef>
              <c:f>評価３!$D$18:$D$20</c:f>
              <c:numCache>
                <c:formatCode>General</c:formatCode>
                <c:ptCount val="3"/>
                <c:pt idx="0">
                  <c:v>7.8380000000000001</c:v>
                </c:pt>
                <c:pt idx="1">
                  <c:v>8.6292000000000009</c:v>
                </c:pt>
                <c:pt idx="2">
                  <c:v>11.6881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A8-F94F-962F-E6AEB2B015C4}"/>
            </c:ext>
          </c:extLst>
        </c:ser>
        <c:ser>
          <c:idx val="1"/>
          <c:order val="1"/>
          <c:tx>
            <c:strRef>
              <c:f>評価３!$E$17</c:f>
              <c:strCache>
                <c:ptCount val="1"/>
                <c:pt idx="0">
                  <c:v>utility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評価３!$C$18:$C$20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</c:numCache>
            </c:numRef>
          </c:xVal>
          <c:yVal>
            <c:numRef>
              <c:f>評価３!$E$18:$E$20</c:f>
              <c:numCache>
                <c:formatCode>General</c:formatCode>
                <c:ptCount val="3"/>
                <c:pt idx="0">
                  <c:v>5.8512000000000004</c:v>
                </c:pt>
                <c:pt idx="1">
                  <c:v>7.6439000000000004</c:v>
                </c:pt>
                <c:pt idx="2">
                  <c:v>12.202999999999999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A8-F94F-962F-E6AEB2B015C4}"/>
            </c:ext>
          </c:extLst>
        </c:ser>
        <c:ser>
          <c:idx val="2"/>
          <c:order val="2"/>
          <c:tx>
            <c:strRef>
              <c:f>評価３!$F$17</c:f>
              <c:strCache>
                <c:ptCount val="1"/>
                <c:pt idx="0">
                  <c:v>always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評価３!$C$18:$C$20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</c:numCache>
            </c:numRef>
          </c:xVal>
          <c:yVal>
            <c:numRef>
              <c:f>評価３!$F$18:$F$20</c:f>
              <c:numCache>
                <c:formatCode>General</c:formatCode>
                <c:ptCount val="3"/>
                <c:pt idx="0">
                  <c:v>7.6917999999999997</c:v>
                </c:pt>
                <c:pt idx="1">
                  <c:v>8.5114999999999998</c:v>
                </c:pt>
                <c:pt idx="2">
                  <c:v>10.7783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A8-F94F-962F-E6AEB2B015C4}"/>
            </c:ext>
          </c:extLst>
        </c:ser>
        <c:ser>
          <c:idx val="3"/>
          <c:order val="3"/>
          <c:tx>
            <c:strRef>
              <c:f>評価３!$G$17</c:f>
              <c:strCache>
                <c:ptCount val="1"/>
                <c:pt idx="0">
                  <c:v>const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評価３!$C$18:$C$20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</c:numCache>
            </c:numRef>
          </c:xVal>
          <c:yVal>
            <c:numRef>
              <c:f>評価３!$G$18:$G$20</c:f>
              <c:numCache>
                <c:formatCode>General</c:formatCode>
                <c:ptCount val="3"/>
                <c:pt idx="0">
                  <c:v>5.4938000000000002</c:v>
                </c:pt>
                <c:pt idx="1">
                  <c:v>7.5193000000000003</c:v>
                </c:pt>
                <c:pt idx="2">
                  <c:v>11.864100000000001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A8-F94F-962F-E6AEB2B01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57135"/>
        <c:axId val="857112000"/>
      </c:scatterChart>
      <c:valAx>
        <c:axId val="71957135"/>
        <c:scaling>
          <c:orientation val="minMax"/>
          <c:max val="200"/>
          <c:min val="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合流可能範囲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[m]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7112000"/>
        <c:crosses val="autoZero"/>
        <c:crossBetween val="midCat"/>
        <c:majorUnit val="50"/>
      </c:valAx>
      <c:valAx>
        <c:axId val="857112000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全車両の平均速度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[m/s]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957135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3112182852143485"/>
          <c:y val="0.69676888203154419"/>
          <c:w val="0.61465091863517063"/>
          <c:h val="7.7929087919922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38369507225606"/>
          <c:y val="5.0812527597713181E-2"/>
          <c:w val="0.81193296582351682"/>
          <c:h val="0.742309922228098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評価３!$D$24</c:f>
              <c:strCache>
                <c:ptCount val="1"/>
                <c:pt idx="0">
                  <c:v>提案１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評価３!$C$25:$C$27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</c:numCache>
            </c:numRef>
          </c:xVal>
          <c:yVal>
            <c:numRef>
              <c:f>評価３!$D$25:$D$27</c:f>
              <c:numCache>
                <c:formatCode>General</c:formatCode>
                <c:ptCount val="3"/>
                <c:pt idx="0">
                  <c:v>7.4074</c:v>
                </c:pt>
                <c:pt idx="1">
                  <c:v>8.2982999999999993</c:v>
                </c:pt>
                <c:pt idx="2">
                  <c:v>9.8841999999999999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89-D246-8D76-C20F4CF92CA7}"/>
            </c:ext>
          </c:extLst>
        </c:ser>
        <c:ser>
          <c:idx val="1"/>
          <c:order val="1"/>
          <c:tx>
            <c:strRef>
              <c:f>評価３!$E$24</c:f>
              <c:strCache>
                <c:ptCount val="1"/>
                <c:pt idx="0">
                  <c:v>utility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評価３!$C$25:$C$27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</c:numCache>
            </c:numRef>
          </c:xVal>
          <c:yVal>
            <c:numRef>
              <c:f>評価３!$E$25:$E$27</c:f>
              <c:numCache>
                <c:formatCode>General</c:formatCode>
                <c:ptCount val="3"/>
                <c:pt idx="0">
                  <c:v>6.3771000000000004</c:v>
                </c:pt>
                <c:pt idx="1">
                  <c:v>7.4180999999999999</c:v>
                </c:pt>
                <c:pt idx="2">
                  <c:v>9.8204999999999991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89-D246-8D76-C20F4CF92CA7}"/>
            </c:ext>
          </c:extLst>
        </c:ser>
        <c:ser>
          <c:idx val="2"/>
          <c:order val="2"/>
          <c:tx>
            <c:strRef>
              <c:f>評価３!$F$24</c:f>
              <c:strCache>
                <c:ptCount val="1"/>
                <c:pt idx="0">
                  <c:v>always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評価３!$C$25:$C$27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</c:numCache>
            </c:numRef>
          </c:xVal>
          <c:yVal>
            <c:numRef>
              <c:f>評価３!$F$25:$F$27</c:f>
              <c:numCache>
                <c:formatCode>General</c:formatCode>
                <c:ptCount val="3"/>
                <c:pt idx="0">
                  <c:v>7.8362999999999996</c:v>
                </c:pt>
                <c:pt idx="1">
                  <c:v>8.2623999999999995</c:v>
                </c:pt>
                <c:pt idx="2">
                  <c:v>8.4916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89-D246-8D76-C20F4CF92CA7}"/>
            </c:ext>
          </c:extLst>
        </c:ser>
        <c:ser>
          <c:idx val="3"/>
          <c:order val="3"/>
          <c:tx>
            <c:strRef>
              <c:f>評価３!$G$24</c:f>
              <c:strCache>
                <c:ptCount val="1"/>
                <c:pt idx="0">
                  <c:v>const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評価３!$C$25:$C$27</c:f>
              <c:numCache>
                <c:formatCode>General</c:formatCode>
                <c:ptCount val="3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</c:numCache>
            </c:numRef>
          </c:xVal>
          <c:yVal>
            <c:numRef>
              <c:f>評価３!$G$25:$G$27</c:f>
              <c:numCache>
                <c:formatCode>General</c:formatCode>
                <c:ptCount val="3"/>
                <c:pt idx="0">
                  <c:v>6.3771000000000004</c:v>
                </c:pt>
                <c:pt idx="1">
                  <c:v>7.6138000000000003</c:v>
                </c:pt>
                <c:pt idx="2">
                  <c:v>10.667400000000001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89-D246-8D76-C20F4CF92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60831"/>
        <c:axId val="70621231"/>
      </c:scatterChart>
      <c:valAx>
        <c:axId val="71160831"/>
        <c:scaling>
          <c:orientation val="minMax"/>
          <c:max val="200"/>
          <c:min val="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合流可能範囲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[m]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621231"/>
        <c:crosses val="autoZero"/>
        <c:crossBetween val="midCat"/>
        <c:majorUnit val="50"/>
      </c:valAx>
      <c:valAx>
        <c:axId val="70621231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全車両の平均速度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[m/s]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160831"/>
        <c:crosses val="autoZero"/>
        <c:crossBetween val="midCat"/>
        <c:majorUnit val="1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3112899077044394"/>
          <c:y val="0.69572425492539614"/>
          <c:w val="0.61465091863517063"/>
          <c:h val="7.79290312302451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02777777777778"/>
          <c:y val="5.0925925925925923E-2"/>
          <c:w val="0.81241666666666668"/>
          <c:h val="0.7463644648585592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評価３!$D$46</c:f>
              <c:strCache>
                <c:ptCount val="1"/>
                <c:pt idx="0">
                  <c:v>提案１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評価３!$C$47:$C$50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</c:numCache>
            </c:numRef>
          </c:xVal>
          <c:yVal>
            <c:numRef>
              <c:f>評価３!$D$47:$D$50</c:f>
              <c:numCache>
                <c:formatCode>General</c:formatCode>
                <c:ptCount val="4"/>
                <c:pt idx="0">
                  <c:v>9.2523999999999997</c:v>
                </c:pt>
                <c:pt idx="1">
                  <c:v>10.545199999999999</c:v>
                </c:pt>
                <c:pt idx="2">
                  <c:v>11.448399999999999</c:v>
                </c:pt>
                <c:pt idx="3">
                  <c:v>12.153600000000001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0B-A549-B4BA-5AD551C99583}"/>
            </c:ext>
          </c:extLst>
        </c:ser>
        <c:ser>
          <c:idx val="1"/>
          <c:order val="1"/>
          <c:tx>
            <c:strRef>
              <c:f>評価３!$E$46</c:f>
              <c:strCache>
                <c:ptCount val="1"/>
                <c:pt idx="0">
                  <c:v>Kato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評価３!$C$47:$C$50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</c:numCache>
            </c:numRef>
          </c:xVal>
          <c:yVal>
            <c:numRef>
              <c:f>評価３!$E$47:$E$50</c:f>
              <c:numCache>
                <c:formatCode>General</c:formatCode>
                <c:ptCount val="4"/>
                <c:pt idx="0">
                  <c:v>7.1645000000000003</c:v>
                </c:pt>
                <c:pt idx="1">
                  <c:v>8.9238</c:v>
                </c:pt>
                <c:pt idx="2">
                  <c:v>11.614599999999999</c:v>
                </c:pt>
                <c:pt idx="3">
                  <c:v>12.3886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0B-A549-B4BA-5AD551C99583}"/>
            </c:ext>
          </c:extLst>
        </c:ser>
        <c:ser>
          <c:idx val="2"/>
          <c:order val="2"/>
          <c:tx>
            <c:strRef>
              <c:f>評価３!$F$46</c:f>
              <c:strCache>
                <c:ptCount val="1"/>
                <c:pt idx="0">
                  <c:v>always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評価３!$C$47:$C$50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</c:numCache>
            </c:numRef>
          </c:xVal>
          <c:yVal>
            <c:numRef>
              <c:f>評価３!$F$47:$F$50</c:f>
              <c:numCache>
                <c:formatCode>General</c:formatCode>
                <c:ptCount val="4"/>
                <c:pt idx="0">
                  <c:v>9.5365000000000002</c:v>
                </c:pt>
                <c:pt idx="1">
                  <c:v>10.0997</c:v>
                </c:pt>
                <c:pt idx="2">
                  <c:v>9.7111000000000001</c:v>
                </c:pt>
                <c:pt idx="3">
                  <c:v>10.0823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0B-A549-B4BA-5AD551C99583}"/>
            </c:ext>
          </c:extLst>
        </c:ser>
        <c:ser>
          <c:idx val="3"/>
          <c:order val="3"/>
          <c:tx>
            <c:strRef>
              <c:f>評価３!$G$46</c:f>
              <c:strCache>
                <c:ptCount val="1"/>
                <c:pt idx="0">
                  <c:v>v_0.4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評価３!$C$47:$C$50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</c:numCache>
            </c:numRef>
          </c:xVal>
          <c:yVal>
            <c:numRef>
              <c:f>評価３!$G$47:$G$50</c:f>
              <c:numCache>
                <c:formatCode>General</c:formatCode>
                <c:ptCount val="4"/>
                <c:pt idx="0">
                  <c:v>7.1645000000000003</c:v>
                </c:pt>
                <c:pt idx="1">
                  <c:v>9.3973999999999993</c:v>
                </c:pt>
                <c:pt idx="2">
                  <c:v>12.181100000000001</c:v>
                </c:pt>
                <c:pt idx="3">
                  <c:v>12.736800000000001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0B-A549-B4BA-5AD551C99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817727"/>
        <c:axId val="265855935"/>
      </c:scatterChart>
      <c:valAx>
        <c:axId val="265817727"/>
        <c:scaling>
          <c:orientation val="minMax"/>
          <c:max val="200"/>
          <c:min val="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合流可能範囲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[m]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5855935"/>
        <c:crosses val="autoZero"/>
        <c:crossBetween val="midCat"/>
        <c:majorUnit val="50"/>
      </c:valAx>
      <c:valAx>
        <c:axId val="265855935"/>
        <c:scaling>
          <c:orientation val="minMax"/>
          <c:max val="13"/>
          <c:min val="7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全車両の平均速度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65817727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3156342957130358"/>
          <c:y val="0.70430446194225726"/>
          <c:w val="0.61465091863517063"/>
          <c:h val="7.81029454651501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02777777777778"/>
          <c:y val="5.0925925925925923E-2"/>
          <c:w val="0.81241666666666668"/>
          <c:h val="0.7602533537474482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評価３!$D$38</c:f>
              <c:strCache>
                <c:ptCount val="1"/>
                <c:pt idx="0">
                  <c:v>提案１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評価３!$C$39:$C$42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</c:numCache>
            </c:numRef>
          </c:xVal>
          <c:yVal>
            <c:numRef>
              <c:f>評価３!$D$39:$D$42</c:f>
              <c:numCache>
                <c:formatCode>General</c:formatCode>
                <c:ptCount val="4"/>
                <c:pt idx="0">
                  <c:v>10.8058</c:v>
                </c:pt>
                <c:pt idx="1">
                  <c:v>12.912800000000001</c:v>
                </c:pt>
                <c:pt idx="2">
                  <c:v>12.9968</c:v>
                </c:pt>
                <c:pt idx="3">
                  <c:v>13.3619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EE-B546-B02D-B8C1B20E560D}"/>
            </c:ext>
          </c:extLst>
        </c:ser>
        <c:ser>
          <c:idx val="1"/>
          <c:order val="1"/>
          <c:tx>
            <c:strRef>
              <c:f>評価３!$E$38</c:f>
              <c:strCache>
                <c:ptCount val="1"/>
                <c:pt idx="0">
                  <c:v>Kato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評価３!$C$39:$C$42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</c:numCache>
            </c:numRef>
          </c:xVal>
          <c:yVal>
            <c:numRef>
              <c:f>評価３!$E$39:$E$42</c:f>
              <c:numCache>
                <c:formatCode>General</c:formatCode>
                <c:ptCount val="4"/>
                <c:pt idx="0">
                  <c:v>10.071300000000001</c:v>
                </c:pt>
                <c:pt idx="1">
                  <c:v>11.181900000000001</c:v>
                </c:pt>
                <c:pt idx="2">
                  <c:v>12.584199999999999</c:v>
                </c:pt>
                <c:pt idx="3">
                  <c:v>12.814399999999999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EE-B546-B02D-B8C1B20E560D}"/>
            </c:ext>
          </c:extLst>
        </c:ser>
        <c:ser>
          <c:idx val="2"/>
          <c:order val="2"/>
          <c:tx>
            <c:strRef>
              <c:f>評価３!$F$38</c:f>
              <c:strCache>
                <c:ptCount val="1"/>
                <c:pt idx="0">
                  <c:v>always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評価３!$C$39:$C$42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</c:numCache>
            </c:numRef>
          </c:xVal>
          <c:yVal>
            <c:numRef>
              <c:f>評価３!$F$39:$F$42</c:f>
              <c:numCache>
                <c:formatCode>General</c:formatCode>
                <c:ptCount val="4"/>
                <c:pt idx="0">
                  <c:v>9.9295000000000009</c:v>
                </c:pt>
                <c:pt idx="1">
                  <c:v>11.8209</c:v>
                </c:pt>
                <c:pt idx="2">
                  <c:v>11.684200000000001</c:v>
                </c:pt>
                <c:pt idx="3">
                  <c:v>12.117900000000001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EE-B546-B02D-B8C1B20E560D}"/>
            </c:ext>
          </c:extLst>
        </c:ser>
        <c:ser>
          <c:idx val="3"/>
          <c:order val="3"/>
          <c:tx>
            <c:strRef>
              <c:f>評価３!$G$38</c:f>
              <c:strCache>
                <c:ptCount val="1"/>
                <c:pt idx="0">
                  <c:v>v_0.4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評価３!$C$39:$C$42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</c:numCache>
            </c:numRef>
          </c:xVal>
          <c:yVal>
            <c:numRef>
              <c:f>評価３!$G$39:$G$42</c:f>
              <c:numCache>
                <c:formatCode>General</c:formatCode>
                <c:ptCount val="4"/>
                <c:pt idx="0">
                  <c:v>10.071300000000001</c:v>
                </c:pt>
                <c:pt idx="1">
                  <c:v>12.799799999999999</c:v>
                </c:pt>
                <c:pt idx="2">
                  <c:v>13.0936</c:v>
                </c:pt>
                <c:pt idx="3">
                  <c:v>13.8566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EE-B546-B02D-B8C1B20E5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23119"/>
        <c:axId val="151836527"/>
      </c:scatterChart>
      <c:valAx>
        <c:axId val="184223119"/>
        <c:scaling>
          <c:orientation val="minMax"/>
          <c:max val="200"/>
          <c:min val="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合流可能範囲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[m]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1836527"/>
        <c:crosses val="autoZero"/>
        <c:crossBetween val="midCat"/>
        <c:majorUnit val="50"/>
      </c:valAx>
      <c:valAx>
        <c:axId val="151836527"/>
        <c:scaling>
          <c:orientation val="minMax"/>
          <c:max val="14"/>
          <c:min val="9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全車両の平均速度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4223119"/>
        <c:crosses val="autoZero"/>
        <c:crossBetween val="midCat"/>
        <c:majorUnit val="1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2600787401574804"/>
          <c:y val="0.7089340915718868"/>
          <c:w val="0.61465091863517063"/>
          <c:h val="7.81029454651501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02777777777778"/>
          <c:y val="5.0925925925925923E-2"/>
          <c:w val="0.81241666666666668"/>
          <c:h val="0.7695126130067074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評価３!$D$54</c:f>
              <c:strCache>
                <c:ptCount val="1"/>
                <c:pt idx="0">
                  <c:v>提案１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評価３!$C$55:$C$58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</c:numCache>
            </c:numRef>
          </c:xVal>
          <c:yVal>
            <c:numRef>
              <c:f>評価３!$D$55:$D$58</c:f>
              <c:numCache>
                <c:formatCode>General</c:formatCode>
                <c:ptCount val="4"/>
                <c:pt idx="0">
                  <c:v>7.8380000000000001</c:v>
                </c:pt>
                <c:pt idx="1">
                  <c:v>8.6292000000000009</c:v>
                </c:pt>
                <c:pt idx="2">
                  <c:v>10.0547</c:v>
                </c:pt>
                <c:pt idx="3">
                  <c:v>11.6881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AD-7049-A0C3-56C5520B63CE}"/>
            </c:ext>
          </c:extLst>
        </c:ser>
        <c:ser>
          <c:idx val="1"/>
          <c:order val="1"/>
          <c:tx>
            <c:strRef>
              <c:f>評価３!$E$54</c:f>
              <c:strCache>
                <c:ptCount val="1"/>
                <c:pt idx="0">
                  <c:v>Kato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評価３!$C$55:$C$58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</c:numCache>
            </c:numRef>
          </c:xVal>
          <c:yVal>
            <c:numRef>
              <c:f>評価３!$E$55:$E$58</c:f>
              <c:numCache>
                <c:formatCode>General</c:formatCode>
                <c:ptCount val="4"/>
                <c:pt idx="0">
                  <c:v>5.8512000000000004</c:v>
                </c:pt>
                <c:pt idx="1">
                  <c:v>7.6439000000000004</c:v>
                </c:pt>
                <c:pt idx="2">
                  <c:v>10.9749</c:v>
                </c:pt>
                <c:pt idx="3">
                  <c:v>12.202999999999999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AD-7049-A0C3-56C5520B63CE}"/>
            </c:ext>
          </c:extLst>
        </c:ser>
        <c:ser>
          <c:idx val="2"/>
          <c:order val="2"/>
          <c:tx>
            <c:strRef>
              <c:f>評価３!$F$54</c:f>
              <c:strCache>
                <c:ptCount val="1"/>
                <c:pt idx="0">
                  <c:v>always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評価３!$C$55:$C$58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</c:numCache>
            </c:numRef>
          </c:xVal>
          <c:yVal>
            <c:numRef>
              <c:f>評価３!$F$55:$F$58</c:f>
              <c:numCache>
                <c:formatCode>General</c:formatCode>
                <c:ptCount val="4"/>
                <c:pt idx="0">
                  <c:v>7.6917999999999997</c:v>
                </c:pt>
                <c:pt idx="1">
                  <c:v>8.5114999999999998</c:v>
                </c:pt>
                <c:pt idx="2">
                  <c:v>9.2423999999999999</c:v>
                </c:pt>
                <c:pt idx="3">
                  <c:v>10.7783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AD-7049-A0C3-56C5520B63CE}"/>
            </c:ext>
          </c:extLst>
        </c:ser>
        <c:ser>
          <c:idx val="3"/>
          <c:order val="3"/>
          <c:tx>
            <c:strRef>
              <c:f>評価３!$G$54</c:f>
              <c:strCache>
                <c:ptCount val="1"/>
                <c:pt idx="0">
                  <c:v>v_0.4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評価３!$C$55:$C$58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</c:numCache>
            </c:numRef>
          </c:xVal>
          <c:yVal>
            <c:numRef>
              <c:f>評価３!$G$55:$G$58</c:f>
              <c:numCache>
                <c:formatCode>General</c:formatCode>
                <c:ptCount val="4"/>
                <c:pt idx="0">
                  <c:v>5.4938000000000002</c:v>
                </c:pt>
                <c:pt idx="1">
                  <c:v>7.5193000000000003</c:v>
                </c:pt>
                <c:pt idx="2">
                  <c:v>11.260300000000001</c:v>
                </c:pt>
                <c:pt idx="3">
                  <c:v>11.864100000000001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AD-7049-A0C3-56C5520B6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55871"/>
        <c:axId val="509489920"/>
      </c:scatterChart>
      <c:valAx>
        <c:axId val="50255871"/>
        <c:scaling>
          <c:orientation val="minMax"/>
          <c:max val="200"/>
          <c:min val="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合流可能範囲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[m]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9489920"/>
        <c:crosses val="autoZero"/>
        <c:crossBetween val="midCat"/>
        <c:majorUnit val="50"/>
      </c:valAx>
      <c:valAx>
        <c:axId val="509489920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全車両の平均速度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255871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1211898512685915"/>
          <c:y val="0.7274526100904054"/>
          <c:w val="0.61465091863517063"/>
          <c:h val="7.81029454651501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802777777777778"/>
          <c:y val="5.0925925925925923E-2"/>
          <c:w val="0.81241666666666668"/>
          <c:h val="0.7648829833770778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評価３!$D$62</c:f>
              <c:strCache>
                <c:ptCount val="1"/>
                <c:pt idx="0">
                  <c:v>提案１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評価３!$C$63:$C$66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</c:numCache>
            </c:numRef>
          </c:xVal>
          <c:yVal>
            <c:numRef>
              <c:f>評価３!$D$63:$D$66</c:f>
              <c:numCache>
                <c:formatCode>General</c:formatCode>
                <c:ptCount val="4"/>
                <c:pt idx="0">
                  <c:v>7.4074</c:v>
                </c:pt>
                <c:pt idx="1">
                  <c:v>8.2982999999999993</c:v>
                </c:pt>
                <c:pt idx="2">
                  <c:v>8.8726000000000003</c:v>
                </c:pt>
                <c:pt idx="3">
                  <c:v>9.8841999999999999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1A-1840-80FF-4C236E18DF9C}"/>
            </c:ext>
          </c:extLst>
        </c:ser>
        <c:ser>
          <c:idx val="1"/>
          <c:order val="1"/>
          <c:tx>
            <c:strRef>
              <c:f>評価３!$E$62</c:f>
              <c:strCache>
                <c:ptCount val="1"/>
                <c:pt idx="0">
                  <c:v>Kato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評価３!$C$63:$C$66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</c:numCache>
            </c:numRef>
          </c:xVal>
          <c:yVal>
            <c:numRef>
              <c:f>評価３!$E$63:$E$66</c:f>
              <c:numCache>
                <c:formatCode>General</c:formatCode>
                <c:ptCount val="4"/>
                <c:pt idx="0">
                  <c:v>6.3771000000000004</c:v>
                </c:pt>
                <c:pt idx="1">
                  <c:v>7.4180999999999999</c:v>
                </c:pt>
                <c:pt idx="2">
                  <c:v>8.8460000000000001</c:v>
                </c:pt>
                <c:pt idx="3">
                  <c:v>9.8204999999999991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1A-1840-80FF-4C236E18DF9C}"/>
            </c:ext>
          </c:extLst>
        </c:ser>
        <c:ser>
          <c:idx val="2"/>
          <c:order val="2"/>
          <c:tx>
            <c:strRef>
              <c:f>評価３!$F$62</c:f>
              <c:strCache>
                <c:ptCount val="1"/>
                <c:pt idx="0">
                  <c:v>always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評価３!$C$63:$C$66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</c:numCache>
            </c:numRef>
          </c:xVal>
          <c:yVal>
            <c:numRef>
              <c:f>評価３!$F$63:$F$66</c:f>
              <c:numCache>
                <c:formatCode>General</c:formatCode>
                <c:ptCount val="4"/>
                <c:pt idx="0">
                  <c:v>7.8362999999999996</c:v>
                </c:pt>
                <c:pt idx="1">
                  <c:v>8.2623999999999995</c:v>
                </c:pt>
                <c:pt idx="2">
                  <c:v>7.8734999999999999</c:v>
                </c:pt>
                <c:pt idx="3">
                  <c:v>8.4916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1A-1840-80FF-4C236E18DF9C}"/>
            </c:ext>
          </c:extLst>
        </c:ser>
        <c:ser>
          <c:idx val="3"/>
          <c:order val="3"/>
          <c:tx>
            <c:strRef>
              <c:f>評価３!$G$62</c:f>
              <c:strCache>
                <c:ptCount val="1"/>
                <c:pt idx="0">
                  <c:v>v_0.4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評価３!$C$63:$C$66</c:f>
              <c:numCache>
                <c:formatCode>General</c:formatCode>
                <c:ptCount val="4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</c:numCache>
            </c:numRef>
          </c:xVal>
          <c:yVal>
            <c:numRef>
              <c:f>評価３!$G$63:$G$66</c:f>
              <c:numCache>
                <c:formatCode>General</c:formatCode>
                <c:ptCount val="4"/>
                <c:pt idx="0">
                  <c:v>6.3771000000000004</c:v>
                </c:pt>
                <c:pt idx="1">
                  <c:v>7.6138000000000003</c:v>
                </c:pt>
                <c:pt idx="2">
                  <c:v>9.5350999999999999</c:v>
                </c:pt>
                <c:pt idx="3">
                  <c:v>10.667400000000001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1A-1840-80FF-4C236E18D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79599"/>
        <c:axId val="1712433008"/>
      </c:scatterChart>
      <c:valAx>
        <c:axId val="50279599"/>
        <c:scaling>
          <c:orientation val="minMax"/>
          <c:max val="200"/>
          <c:min val="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合流可能範囲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[m]</a:t>
                </a:r>
                <a:endParaRPr lang="ja-JP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2433008"/>
        <c:crosses val="autoZero"/>
        <c:crossBetween val="midCat"/>
        <c:majorUnit val="50"/>
      </c:valAx>
      <c:valAx>
        <c:axId val="1712433008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全車両の平均速度</a:t>
                </a:r>
                <a:r>
                  <a:rPr lang="en-US" altLang="ja-JP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279599"/>
        <c:crosses val="autoZero"/>
        <c:crossBetween val="midCat"/>
        <c:majorUnit val="1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1767454068241469"/>
          <c:y val="0.69967483231262761"/>
          <c:w val="0.61465091863517063"/>
          <c:h val="7.81029454651501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'評価+a_dist'!$J$4:$FU$4</c:f>
              <c:numCache>
                <c:formatCode>General</c:formatCode>
                <c:ptCount val="16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</c:numCache>
            </c:numRef>
          </c:xVal>
          <c:yVal>
            <c:numRef>
              <c:f>'評価+a_dist'!$J$5:$FU$5</c:f>
              <c:numCache>
                <c:formatCode>General</c:formatCode>
                <c:ptCount val="168"/>
                <c:pt idx="0">
                  <c:v>619</c:v>
                </c:pt>
                <c:pt idx="1">
                  <c:v>243</c:v>
                </c:pt>
                <c:pt idx="2">
                  <c:v>200</c:v>
                </c:pt>
                <c:pt idx="3">
                  <c:v>225</c:v>
                </c:pt>
                <c:pt idx="4">
                  <c:v>224</c:v>
                </c:pt>
                <c:pt idx="5">
                  <c:v>246</c:v>
                </c:pt>
                <c:pt idx="6">
                  <c:v>224</c:v>
                </c:pt>
                <c:pt idx="7">
                  <c:v>196</c:v>
                </c:pt>
                <c:pt idx="8">
                  <c:v>228</c:v>
                </c:pt>
                <c:pt idx="9">
                  <c:v>263</c:v>
                </c:pt>
                <c:pt idx="10">
                  <c:v>256</c:v>
                </c:pt>
                <c:pt idx="11">
                  <c:v>273</c:v>
                </c:pt>
                <c:pt idx="12">
                  <c:v>327</c:v>
                </c:pt>
                <c:pt idx="13">
                  <c:v>274</c:v>
                </c:pt>
                <c:pt idx="14">
                  <c:v>310</c:v>
                </c:pt>
                <c:pt idx="15">
                  <c:v>379</c:v>
                </c:pt>
                <c:pt idx="16">
                  <c:v>389</c:v>
                </c:pt>
                <c:pt idx="17">
                  <c:v>441</c:v>
                </c:pt>
                <c:pt idx="18">
                  <c:v>436</c:v>
                </c:pt>
                <c:pt idx="19">
                  <c:v>441</c:v>
                </c:pt>
                <c:pt idx="20">
                  <c:v>526</c:v>
                </c:pt>
                <c:pt idx="21">
                  <c:v>575</c:v>
                </c:pt>
                <c:pt idx="22">
                  <c:v>534</c:v>
                </c:pt>
                <c:pt idx="23">
                  <c:v>614</c:v>
                </c:pt>
                <c:pt idx="24">
                  <c:v>523</c:v>
                </c:pt>
                <c:pt idx="25">
                  <c:v>588</c:v>
                </c:pt>
                <c:pt idx="26">
                  <c:v>422</c:v>
                </c:pt>
                <c:pt idx="27">
                  <c:v>367</c:v>
                </c:pt>
                <c:pt idx="28">
                  <c:v>403</c:v>
                </c:pt>
                <c:pt idx="29">
                  <c:v>353</c:v>
                </c:pt>
                <c:pt idx="30">
                  <c:v>330</c:v>
                </c:pt>
                <c:pt idx="31">
                  <c:v>383</c:v>
                </c:pt>
                <c:pt idx="32">
                  <c:v>304</c:v>
                </c:pt>
                <c:pt idx="33">
                  <c:v>498</c:v>
                </c:pt>
                <c:pt idx="34">
                  <c:v>448</c:v>
                </c:pt>
                <c:pt idx="35">
                  <c:v>322</c:v>
                </c:pt>
                <c:pt idx="36">
                  <c:v>348</c:v>
                </c:pt>
                <c:pt idx="37">
                  <c:v>312</c:v>
                </c:pt>
                <c:pt idx="38">
                  <c:v>359</c:v>
                </c:pt>
                <c:pt idx="39">
                  <c:v>299</c:v>
                </c:pt>
                <c:pt idx="40">
                  <c:v>276</c:v>
                </c:pt>
                <c:pt idx="41">
                  <c:v>289</c:v>
                </c:pt>
                <c:pt idx="42">
                  <c:v>245</c:v>
                </c:pt>
                <c:pt idx="43">
                  <c:v>229</c:v>
                </c:pt>
                <c:pt idx="44">
                  <c:v>286</c:v>
                </c:pt>
                <c:pt idx="45">
                  <c:v>219</c:v>
                </c:pt>
                <c:pt idx="46">
                  <c:v>263</c:v>
                </c:pt>
                <c:pt idx="47">
                  <c:v>288</c:v>
                </c:pt>
                <c:pt idx="48">
                  <c:v>233</c:v>
                </c:pt>
                <c:pt idx="49">
                  <c:v>236</c:v>
                </c:pt>
                <c:pt idx="50">
                  <c:v>252</c:v>
                </c:pt>
                <c:pt idx="51">
                  <c:v>270</c:v>
                </c:pt>
                <c:pt idx="52">
                  <c:v>284</c:v>
                </c:pt>
                <c:pt idx="53">
                  <c:v>293</c:v>
                </c:pt>
                <c:pt idx="54">
                  <c:v>293</c:v>
                </c:pt>
                <c:pt idx="55">
                  <c:v>298</c:v>
                </c:pt>
                <c:pt idx="56">
                  <c:v>298</c:v>
                </c:pt>
                <c:pt idx="57">
                  <c:v>368</c:v>
                </c:pt>
                <c:pt idx="58">
                  <c:v>352</c:v>
                </c:pt>
                <c:pt idx="59">
                  <c:v>398</c:v>
                </c:pt>
                <c:pt idx="60">
                  <c:v>379</c:v>
                </c:pt>
                <c:pt idx="61">
                  <c:v>461</c:v>
                </c:pt>
                <c:pt idx="62">
                  <c:v>495</c:v>
                </c:pt>
                <c:pt idx="63">
                  <c:v>451</c:v>
                </c:pt>
                <c:pt idx="64">
                  <c:v>463</c:v>
                </c:pt>
                <c:pt idx="65">
                  <c:v>493</c:v>
                </c:pt>
                <c:pt idx="66">
                  <c:v>821</c:v>
                </c:pt>
                <c:pt idx="67">
                  <c:v>1044</c:v>
                </c:pt>
                <c:pt idx="68">
                  <c:v>594</c:v>
                </c:pt>
                <c:pt idx="69">
                  <c:v>598</c:v>
                </c:pt>
                <c:pt idx="70">
                  <c:v>562</c:v>
                </c:pt>
                <c:pt idx="71">
                  <c:v>522</c:v>
                </c:pt>
                <c:pt idx="72">
                  <c:v>613</c:v>
                </c:pt>
                <c:pt idx="73">
                  <c:v>564</c:v>
                </c:pt>
                <c:pt idx="74">
                  <c:v>523</c:v>
                </c:pt>
                <c:pt idx="75">
                  <c:v>631</c:v>
                </c:pt>
                <c:pt idx="76">
                  <c:v>542</c:v>
                </c:pt>
                <c:pt idx="77">
                  <c:v>678</c:v>
                </c:pt>
                <c:pt idx="78">
                  <c:v>619</c:v>
                </c:pt>
                <c:pt idx="79">
                  <c:v>620</c:v>
                </c:pt>
                <c:pt idx="80">
                  <c:v>567</c:v>
                </c:pt>
                <c:pt idx="81">
                  <c:v>550</c:v>
                </c:pt>
                <c:pt idx="82">
                  <c:v>484</c:v>
                </c:pt>
                <c:pt idx="83">
                  <c:v>538</c:v>
                </c:pt>
                <c:pt idx="84">
                  <c:v>534</c:v>
                </c:pt>
                <c:pt idx="85">
                  <c:v>525</c:v>
                </c:pt>
                <c:pt idx="86">
                  <c:v>470</c:v>
                </c:pt>
                <c:pt idx="87">
                  <c:v>448</c:v>
                </c:pt>
                <c:pt idx="88">
                  <c:v>540</c:v>
                </c:pt>
                <c:pt idx="89">
                  <c:v>450</c:v>
                </c:pt>
                <c:pt idx="90">
                  <c:v>460</c:v>
                </c:pt>
                <c:pt idx="91">
                  <c:v>418</c:v>
                </c:pt>
                <c:pt idx="92">
                  <c:v>404</c:v>
                </c:pt>
                <c:pt idx="93">
                  <c:v>423</c:v>
                </c:pt>
                <c:pt idx="94">
                  <c:v>431</c:v>
                </c:pt>
                <c:pt idx="95">
                  <c:v>383</c:v>
                </c:pt>
                <c:pt idx="96">
                  <c:v>405</c:v>
                </c:pt>
                <c:pt idx="97">
                  <c:v>414</c:v>
                </c:pt>
                <c:pt idx="98">
                  <c:v>351</c:v>
                </c:pt>
                <c:pt idx="99">
                  <c:v>333</c:v>
                </c:pt>
                <c:pt idx="100">
                  <c:v>476</c:v>
                </c:pt>
                <c:pt idx="101">
                  <c:v>357</c:v>
                </c:pt>
                <c:pt idx="102">
                  <c:v>308</c:v>
                </c:pt>
                <c:pt idx="103">
                  <c:v>320</c:v>
                </c:pt>
                <c:pt idx="104">
                  <c:v>361</c:v>
                </c:pt>
                <c:pt idx="105">
                  <c:v>271</c:v>
                </c:pt>
                <c:pt idx="106">
                  <c:v>262</c:v>
                </c:pt>
                <c:pt idx="107">
                  <c:v>265</c:v>
                </c:pt>
                <c:pt idx="108">
                  <c:v>290</c:v>
                </c:pt>
                <c:pt idx="109">
                  <c:v>252</c:v>
                </c:pt>
                <c:pt idx="110">
                  <c:v>253</c:v>
                </c:pt>
                <c:pt idx="111">
                  <c:v>233</c:v>
                </c:pt>
                <c:pt idx="112">
                  <c:v>257</c:v>
                </c:pt>
                <c:pt idx="113">
                  <c:v>240</c:v>
                </c:pt>
                <c:pt idx="114">
                  <c:v>251</c:v>
                </c:pt>
                <c:pt idx="115">
                  <c:v>183</c:v>
                </c:pt>
                <c:pt idx="116">
                  <c:v>183</c:v>
                </c:pt>
                <c:pt idx="117">
                  <c:v>205</c:v>
                </c:pt>
                <c:pt idx="118">
                  <c:v>181</c:v>
                </c:pt>
                <c:pt idx="119">
                  <c:v>208</c:v>
                </c:pt>
                <c:pt idx="120">
                  <c:v>187</c:v>
                </c:pt>
                <c:pt idx="121">
                  <c:v>175</c:v>
                </c:pt>
                <c:pt idx="122">
                  <c:v>179</c:v>
                </c:pt>
                <c:pt idx="123">
                  <c:v>182</c:v>
                </c:pt>
                <c:pt idx="124">
                  <c:v>201</c:v>
                </c:pt>
                <c:pt idx="125">
                  <c:v>195</c:v>
                </c:pt>
                <c:pt idx="126">
                  <c:v>186</c:v>
                </c:pt>
                <c:pt idx="127">
                  <c:v>199</c:v>
                </c:pt>
                <c:pt idx="128">
                  <c:v>178</c:v>
                </c:pt>
                <c:pt idx="129">
                  <c:v>188</c:v>
                </c:pt>
                <c:pt idx="130">
                  <c:v>171</c:v>
                </c:pt>
                <c:pt idx="131">
                  <c:v>242</c:v>
                </c:pt>
                <c:pt idx="132">
                  <c:v>188</c:v>
                </c:pt>
                <c:pt idx="133">
                  <c:v>174</c:v>
                </c:pt>
                <c:pt idx="134">
                  <c:v>184</c:v>
                </c:pt>
                <c:pt idx="135">
                  <c:v>167</c:v>
                </c:pt>
                <c:pt idx="136">
                  <c:v>165</c:v>
                </c:pt>
                <c:pt idx="137">
                  <c:v>207</c:v>
                </c:pt>
                <c:pt idx="138">
                  <c:v>200</c:v>
                </c:pt>
                <c:pt idx="139">
                  <c:v>178</c:v>
                </c:pt>
                <c:pt idx="140">
                  <c:v>199</c:v>
                </c:pt>
                <c:pt idx="141">
                  <c:v>198</c:v>
                </c:pt>
                <c:pt idx="142">
                  <c:v>180</c:v>
                </c:pt>
                <c:pt idx="143">
                  <c:v>182</c:v>
                </c:pt>
                <c:pt idx="144">
                  <c:v>188</c:v>
                </c:pt>
                <c:pt idx="145">
                  <c:v>187</c:v>
                </c:pt>
                <c:pt idx="146">
                  <c:v>168</c:v>
                </c:pt>
                <c:pt idx="147">
                  <c:v>205</c:v>
                </c:pt>
                <c:pt idx="148">
                  <c:v>217</c:v>
                </c:pt>
                <c:pt idx="149">
                  <c:v>210</c:v>
                </c:pt>
                <c:pt idx="150">
                  <c:v>193</c:v>
                </c:pt>
                <c:pt idx="151">
                  <c:v>236</c:v>
                </c:pt>
                <c:pt idx="152">
                  <c:v>198</c:v>
                </c:pt>
                <c:pt idx="153">
                  <c:v>213</c:v>
                </c:pt>
                <c:pt idx="154">
                  <c:v>217</c:v>
                </c:pt>
                <c:pt idx="155">
                  <c:v>228</c:v>
                </c:pt>
                <c:pt idx="156">
                  <c:v>272</c:v>
                </c:pt>
                <c:pt idx="157">
                  <c:v>264</c:v>
                </c:pt>
                <c:pt idx="158">
                  <c:v>317</c:v>
                </c:pt>
                <c:pt idx="159">
                  <c:v>341</c:v>
                </c:pt>
                <c:pt idx="160">
                  <c:v>351</c:v>
                </c:pt>
                <c:pt idx="161">
                  <c:v>448</c:v>
                </c:pt>
                <c:pt idx="162">
                  <c:v>518</c:v>
                </c:pt>
                <c:pt idx="163">
                  <c:v>414</c:v>
                </c:pt>
                <c:pt idx="164">
                  <c:v>526</c:v>
                </c:pt>
                <c:pt idx="165">
                  <c:v>545</c:v>
                </c:pt>
                <c:pt idx="166">
                  <c:v>874</c:v>
                </c:pt>
                <c:pt idx="167">
                  <c:v>4587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4C-C448-90E9-9B8AA0E5C39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'評価+a_dist'!$J$4:$FU$4</c:f>
              <c:numCache>
                <c:formatCode>General</c:formatCode>
                <c:ptCount val="16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</c:numCache>
            </c:numRef>
          </c:xVal>
          <c:yVal>
            <c:numRef>
              <c:f>'評価+a_dist'!$J$6:$FU$6</c:f>
              <c:numCache>
                <c:formatCode>General</c:formatCode>
                <c:ptCount val="168"/>
                <c:pt idx="0">
                  <c:v>11260</c:v>
                </c:pt>
                <c:pt idx="1">
                  <c:v>1152</c:v>
                </c:pt>
                <c:pt idx="2">
                  <c:v>607</c:v>
                </c:pt>
                <c:pt idx="3">
                  <c:v>601</c:v>
                </c:pt>
                <c:pt idx="4">
                  <c:v>659</c:v>
                </c:pt>
                <c:pt idx="5">
                  <c:v>584</c:v>
                </c:pt>
                <c:pt idx="6">
                  <c:v>512</c:v>
                </c:pt>
                <c:pt idx="7">
                  <c:v>457</c:v>
                </c:pt>
                <c:pt idx="8">
                  <c:v>510</c:v>
                </c:pt>
                <c:pt idx="9">
                  <c:v>676</c:v>
                </c:pt>
                <c:pt idx="10">
                  <c:v>515</c:v>
                </c:pt>
                <c:pt idx="11">
                  <c:v>518</c:v>
                </c:pt>
                <c:pt idx="12">
                  <c:v>686</c:v>
                </c:pt>
                <c:pt idx="13">
                  <c:v>521</c:v>
                </c:pt>
                <c:pt idx="14">
                  <c:v>530</c:v>
                </c:pt>
                <c:pt idx="15">
                  <c:v>736</c:v>
                </c:pt>
                <c:pt idx="16">
                  <c:v>833</c:v>
                </c:pt>
                <c:pt idx="17">
                  <c:v>689</c:v>
                </c:pt>
                <c:pt idx="18">
                  <c:v>701</c:v>
                </c:pt>
                <c:pt idx="19">
                  <c:v>369</c:v>
                </c:pt>
                <c:pt idx="20">
                  <c:v>363</c:v>
                </c:pt>
                <c:pt idx="21">
                  <c:v>348</c:v>
                </c:pt>
                <c:pt idx="22">
                  <c:v>324</c:v>
                </c:pt>
                <c:pt idx="23">
                  <c:v>366</c:v>
                </c:pt>
                <c:pt idx="24">
                  <c:v>418</c:v>
                </c:pt>
                <c:pt idx="25">
                  <c:v>464</c:v>
                </c:pt>
                <c:pt idx="26">
                  <c:v>459</c:v>
                </c:pt>
                <c:pt idx="27">
                  <c:v>255</c:v>
                </c:pt>
                <c:pt idx="28">
                  <c:v>182</c:v>
                </c:pt>
                <c:pt idx="29">
                  <c:v>235</c:v>
                </c:pt>
                <c:pt idx="30">
                  <c:v>178</c:v>
                </c:pt>
                <c:pt idx="31">
                  <c:v>233</c:v>
                </c:pt>
                <c:pt idx="32">
                  <c:v>165</c:v>
                </c:pt>
                <c:pt idx="33">
                  <c:v>150</c:v>
                </c:pt>
                <c:pt idx="34">
                  <c:v>148</c:v>
                </c:pt>
                <c:pt idx="35">
                  <c:v>157</c:v>
                </c:pt>
                <c:pt idx="36">
                  <c:v>171</c:v>
                </c:pt>
                <c:pt idx="37">
                  <c:v>159</c:v>
                </c:pt>
                <c:pt idx="38">
                  <c:v>121</c:v>
                </c:pt>
                <c:pt idx="39">
                  <c:v>93</c:v>
                </c:pt>
                <c:pt idx="40">
                  <c:v>103</c:v>
                </c:pt>
                <c:pt idx="41">
                  <c:v>102</c:v>
                </c:pt>
                <c:pt idx="42">
                  <c:v>99</c:v>
                </c:pt>
                <c:pt idx="43">
                  <c:v>125</c:v>
                </c:pt>
                <c:pt idx="44">
                  <c:v>102</c:v>
                </c:pt>
                <c:pt idx="45">
                  <c:v>107</c:v>
                </c:pt>
                <c:pt idx="46">
                  <c:v>106</c:v>
                </c:pt>
                <c:pt idx="47">
                  <c:v>99</c:v>
                </c:pt>
                <c:pt idx="48">
                  <c:v>105</c:v>
                </c:pt>
                <c:pt idx="49">
                  <c:v>104</c:v>
                </c:pt>
                <c:pt idx="50">
                  <c:v>117</c:v>
                </c:pt>
                <c:pt idx="51">
                  <c:v>106</c:v>
                </c:pt>
                <c:pt idx="52">
                  <c:v>113</c:v>
                </c:pt>
                <c:pt idx="53">
                  <c:v>114</c:v>
                </c:pt>
                <c:pt idx="54">
                  <c:v>117</c:v>
                </c:pt>
                <c:pt idx="55">
                  <c:v>117</c:v>
                </c:pt>
                <c:pt idx="56">
                  <c:v>132</c:v>
                </c:pt>
                <c:pt idx="57">
                  <c:v>126</c:v>
                </c:pt>
                <c:pt idx="58">
                  <c:v>144</c:v>
                </c:pt>
                <c:pt idx="59">
                  <c:v>135</c:v>
                </c:pt>
                <c:pt idx="60">
                  <c:v>161</c:v>
                </c:pt>
                <c:pt idx="61">
                  <c:v>186</c:v>
                </c:pt>
                <c:pt idx="62">
                  <c:v>178</c:v>
                </c:pt>
                <c:pt idx="63">
                  <c:v>167</c:v>
                </c:pt>
                <c:pt idx="64">
                  <c:v>193</c:v>
                </c:pt>
                <c:pt idx="65">
                  <c:v>219</c:v>
                </c:pt>
                <c:pt idx="66">
                  <c:v>372</c:v>
                </c:pt>
                <c:pt idx="67">
                  <c:v>499</c:v>
                </c:pt>
                <c:pt idx="68">
                  <c:v>301</c:v>
                </c:pt>
                <c:pt idx="69">
                  <c:v>333</c:v>
                </c:pt>
                <c:pt idx="70">
                  <c:v>319</c:v>
                </c:pt>
                <c:pt idx="71">
                  <c:v>341</c:v>
                </c:pt>
                <c:pt idx="72">
                  <c:v>383</c:v>
                </c:pt>
                <c:pt idx="73">
                  <c:v>398</c:v>
                </c:pt>
                <c:pt idx="74">
                  <c:v>418</c:v>
                </c:pt>
                <c:pt idx="75">
                  <c:v>496</c:v>
                </c:pt>
                <c:pt idx="76">
                  <c:v>360</c:v>
                </c:pt>
                <c:pt idx="77">
                  <c:v>332</c:v>
                </c:pt>
                <c:pt idx="78">
                  <c:v>364</c:v>
                </c:pt>
                <c:pt idx="79">
                  <c:v>291</c:v>
                </c:pt>
                <c:pt idx="80">
                  <c:v>322</c:v>
                </c:pt>
                <c:pt idx="81">
                  <c:v>340</c:v>
                </c:pt>
                <c:pt idx="82">
                  <c:v>295</c:v>
                </c:pt>
                <c:pt idx="83">
                  <c:v>359</c:v>
                </c:pt>
                <c:pt idx="84">
                  <c:v>310</c:v>
                </c:pt>
                <c:pt idx="85">
                  <c:v>290</c:v>
                </c:pt>
                <c:pt idx="86">
                  <c:v>304</c:v>
                </c:pt>
                <c:pt idx="87">
                  <c:v>264</c:v>
                </c:pt>
                <c:pt idx="88">
                  <c:v>312</c:v>
                </c:pt>
                <c:pt idx="89">
                  <c:v>274</c:v>
                </c:pt>
                <c:pt idx="90">
                  <c:v>231</c:v>
                </c:pt>
                <c:pt idx="91">
                  <c:v>260</c:v>
                </c:pt>
                <c:pt idx="92">
                  <c:v>299</c:v>
                </c:pt>
                <c:pt idx="93">
                  <c:v>289</c:v>
                </c:pt>
                <c:pt idx="94">
                  <c:v>330</c:v>
                </c:pt>
                <c:pt idx="95">
                  <c:v>268</c:v>
                </c:pt>
                <c:pt idx="96">
                  <c:v>238</c:v>
                </c:pt>
                <c:pt idx="97">
                  <c:v>285</c:v>
                </c:pt>
                <c:pt idx="98">
                  <c:v>207</c:v>
                </c:pt>
                <c:pt idx="99">
                  <c:v>260</c:v>
                </c:pt>
                <c:pt idx="100">
                  <c:v>296</c:v>
                </c:pt>
                <c:pt idx="101">
                  <c:v>216</c:v>
                </c:pt>
                <c:pt idx="102">
                  <c:v>188</c:v>
                </c:pt>
                <c:pt idx="103">
                  <c:v>214</c:v>
                </c:pt>
                <c:pt idx="104">
                  <c:v>174</c:v>
                </c:pt>
                <c:pt idx="105">
                  <c:v>186</c:v>
                </c:pt>
                <c:pt idx="106">
                  <c:v>200</c:v>
                </c:pt>
                <c:pt idx="107">
                  <c:v>183</c:v>
                </c:pt>
                <c:pt idx="108">
                  <c:v>143</c:v>
                </c:pt>
                <c:pt idx="109">
                  <c:v>143</c:v>
                </c:pt>
                <c:pt idx="110">
                  <c:v>151</c:v>
                </c:pt>
                <c:pt idx="111">
                  <c:v>121</c:v>
                </c:pt>
                <c:pt idx="112">
                  <c:v>150</c:v>
                </c:pt>
                <c:pt idx="113">
                  <c:v>139</c:v>
                </c:pt>
                <c:pt idx="114">
                  <c:v>148</c:v>
                </c:pt>
                <c:pt idx="115">
                  <c:v>116</c:v>
                </c:pt>
                <c:pt idx="116">
                  <c:v>138</c:v>
                </c:pt>
                <c:pt idx="117">
                  <c:v>130</c:v>
                </c:pt>
                <c:pt idx="118">
                  <c:v>115</c:v>
                </c:pt>
                <c:pt idx="119">
                  <c:v>115</c:v>
                </c:pt>
                <c:pt idx="120">
                  <c:v>107</c:v>
                </c:pt>
                <c:pt idx="121">
                  <c:v>110</c:v>
                </c:pt>
                <c:pt idx="122">
                  <c:v>100</c:v>
                </c:pt>
                <c:pt idx="123">
                  <c:v>109</c:v>
                </c:pt>
                <c:pt idx="124">
                  <c:v>101</c:v>
                </c:pt>
                <c:pt idx="125">
                  <c:v>99</c:v>
                </c:pt>
                <c:pt idx="126">
                  <c:v>88</c:v>
                </c:pt>
                <c:pt idx="127">
                  <c:v>97</c:v>
                </c:pt>
                <c:pt idx="128">
                  <c:v>92</c:v>
                </c:pt>
                <c:pt idx="129">
                  <c:v>80</c:v>
                </c:pt>
                <c:pt idx="130">
                  <c:v>104</c:v>
                </c:pt>
                <c:pt idx="131">
                  <c:v>100</c:v>
                </c:pt>
                <c:pt idx="132">
                  <c:v>90</c:v>
                </c:pt>
                <c:pt idx="133">
                  <c:v>143</c:v>
                </c:pt>
                <c:pt idx="134">
                  <c:v>98</c:v>
                </c:pt>
                <c:pt idx="135">
                  <c:v>80</c:v>
                </c:pt>
                <c:pt idx="136">
                  <c:v>95</c:v>
                </c:pt>
                <c:pt idx="137">
                  <c:v>96</c:v>
                </c:pt>
                <c:pt idx="138">
                  <c:v>89</c:v>
                </c:pt>
                <c:pt idx="139">
                  <c:v>125</c:v>
                </c:pt>
                <c:pt idx="140">
                  <c:v>112</c:v>
                </c:pt>
                <c:pt idx="141">
                  <c:v>121</c:v>
                </c:pt>
                <c:pt idx="142">
                  <c:v>113</c:v>
                </c:pt>
                <c:pt idx="143">
                  <c:v>106</c:v>
                </c:pt>
                <c:pt idx="144">
                  <c:v>109</c:v>
                </c:pt>
                <c:pt idx="145">
                  <c:v>133</c:v>
                </c:pt>
                <c:pt idx="146">
                  <c:v>113</c:v>
                </c:pt>
                <c:pt idx="147">
                  <c:v>165</c:v>
                </c:pt>
                <c:pt idx="148">
                  <c:v>140</c:v>
                </c:pt>
                <c:pt idx="149">
                  <c:v>134</c:v>
                </c:pt>
                <c:pt idx="150">
                  <c:v>128</c:v>
                </c:pt>
                <c:pt idx="151">
                  <c:v>131</c:v>
                </c:pt>
                <c:pt idx="152">
                  <c:v>151</c:v>
                </c:pt>
                <c:pt idx="153">
                  <c:v>128</c:v>
                </c:pt>
                <c:pt idx="154">
                  <c:v>160</c:v>
                </c:pt>
                <c:pt idx="155">
                  <c:v>141</c:v>
                </c:pt>
                <c:pt idx="156">
                  <c:v>141</c:v>
                </c:pt>
                <c:pt idx="157">
                  <c:v>174</c:v>
                </c:pt>
                <c:pt idx="158">
                  <c:v>157</c:v>
                </c:pt>
                <c:pt idx="159">
                  <c:v>204</c:v>
                </c:pt>
                <c:pt idx="160">
                  <c:v>197</c:v>
                </c:pt>
                <c:pt idx="161">
                  <c:v>280</c:v>
                </c:pt>
                <c:pt idx="162">
                  <c:v>307</c:v>
                </c:pt>
                <c:pt idx="163">
                  <c:v>281</c:v>
                </c:pt>
                <c:pt idx="164">
                  <c:v>352</c:v>
                </c:pt>
                <c:pt idx="165">
                  <c:v>371</c:v>
                </c:pt>
                <c:pt idx="166">
                  <c:v>749</c:v>
                </c:pt>
                <c:pt idx="167">
                  <c:v>11330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4C-C448-90E9-9B8AA0E5C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9738336"/>
        <c:axId val="183738271"/>
      </c:scatterChart>
      <c:valAx>
        <c:axId val="206973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3738271"/>
        <c:crosses val="autoZero"/>
        <c:crossBetween val="midCat"/>
      </c:valAx>
      <c:valAx>
        <c:axId val="183738271"/>
        <c:scaling>
          <c:orientation val="minMax"/>
          <c:max val="1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69738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'評価+a_dist'!$J$15:$AQ$15</c:f>
              <c:numCache>
                <c:formatCode>General</c:formatCode>
                <c:ptCount val="3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</c:numCache>
            </c:numRef>
          </c:xVal>
          <c:yVal>
            <c:numRef>
              <c:f>'評価+a_dist'!$J$16:$AQ$16</c:f>
              <c:numCache>
                <c:formatCode>General</c:formatCode>
                <c:ptCount val="34"/>
                <c:pt idx="0">
                  <c:v>1511</c:v>
                </c:pt>
                <c:pt idx="1">
                  <c:v>1157</c:v>
                </c:pt>
                <c:pt idx="2">
                  <c:v>1440</c:v>
                </c:pt>
                <c:pt idx="3">
                  <c:v>2086</c:v>
                </c:pt>
                <c:pt idx="4">
                  <c:v>2772</c:v>
                </c:pt>
                <c:pt idx="5">
                  <c:v>2133</c:v>
                </c:pt>
                <c:pt idx="6">
                  <c:v>1963</c:v>
                </c:pt>
                <c:pt idx="7">
                  <c:v>1640</c:v>
                </c:pt>
                <c:pt idx="8">
                  <c:v>1325</c:v>
                </c:pt>
                <c:pt idx="9">
                  <c:v>1239</c:v>
                </c:pt>
                <c:pt idx="10">
                  <c:v>1392</c:v>
                </c:pt>
                <c:pt idx="11">
                  <c:v>1714</c:v>
                </c:pt>
                <c:pt idx="12">
                  <c:v>2249</c:v>
                </c:pt>
                <c:pt idx="13">
                  <c:v>3550</c:v>
                </c:pt>
                <c:pt idx="14">
                  <c:v>2784</c:v>
                </c:pt>
                <c:pt idx="15">
                  <c:v>3090</c:v>
                </c:pt>
                <c:pt idx="16">
                  <c:v>2673</c:v>
                </c:pt>
                <c:pt idx="17">
                  <c:v>2433</c:v>
                </c:pt>
                <c:pt idx="18">
                  <c:v>2136</c:v>
                </c:pt>
                <c:pt idx="19">
                  <c:v>1886</c:v>
                </c:pt>
                <c:pt idx="20">
                  <c:v>1822</c:v>
                </c:pt>
                <c:pt idx="21">
                  <c:v>1340</c:v>
                </c:pt>
                <c:pt idx="22">
                  <c:v>1234</c:v>
                </c:pt>
                <c:pt idx="23">
                  <c:v>960</c:v>
                </c:pt>
                <c:pt idx="24">
                  <c:v>924</c:v>
                </c:pt>
                <c:pt idx="25">
                  <c:v>946</c:v>
                </c:pt>
                <c:pt idx="26">
                  <c:v>959</c:v>
                </c:pt>
                <c:pt idx="27">
                  <c:v>917</c:v>
                </c:pt>
                <c:pt idx="28">
                  <c:v>947</c:v>
                </c:pt>
                <c:pt idx="29">
                  <c:v>987</c:v>
                </c:pt>
                <c:pt idx="30">
                  <c:v>1057</c:v>
                </c:pt>
                <c:pt idx="31">
                  <c:v>1422</c:v>
                </c:pt>
                <c:pt idx="32">
                  <c:v>2257</c:v>
                </c:pt>
                <c:pt idx="33">
                  <c:v>6006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51-0349-8A06-F58CAAB63E9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'評価+a_dist'!$J$15:$AQ$15</c:f>
              <c:numCache>
                <c:formatCode>General</c:formatCode>
                <c:ptCount val="3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</c:numCache>
            </c:numRef>
          </c:xVal>
          <c:yVal>
            <c:numRef>
              <c:f>'評価+a_dist'!$J$17:$AQ$17</c:f>
              <c:numCache>
                <c:formatCode>General</c:formatCode>
                <c:ptCount val="34"/>
                <c:pt idx="0">
                  <c:v>14279</c:v>
                </c:pt>
                <c:pt idx="1">
                  <c:v>2739</c:v>
                </c:pt>
                <c:pt idx="2">
                  <c:v>2770</c:v>
                </c:pt>
                <c:pt idx="3">
                  <c:v>3328</c:v>
                </c:pt>
                <c:pt idx="4">
                  <c:v>1819</c:v>
                </c:pt>
                <c:pt idx="5">
                  <c:v>1595</c:v>
                </c:pt>
                <c:pt idx="6">
                  <c:v>874</c:v>
                </c:pt>
                <c:pt idx="7">
                  <c:v>701</c:v>
                </c:pt>
                <c:pt idx="8">
                  <c:v>531</c:v>
                </c:pt>
                <c:pt idx="9">
                  <c:v>521</c:v>
                </c:pt>
                <c:pt idx="10">
                  <c:v>567</c:v>
                </c:pt>
                <c:pt idx="11">
                  <c:v>654</c:v>
                </c:pt>
                <c:pt idx="12">
                  <c:v>885</c:v>
                </c:pt>
                <c:pt idx="13">
                  <c:v>1724</c:v>
                </c:pt>
                <c:pt idx="14">
                  <c:v>1859</c:v>
                </c:pt>
                <c:pt idx="15">
                  <c:v>1843</c:v>
                </c:pt>
                <c:pt idx="16">
                  <c:v>1626</c:v>
                </c:pt>
                <c:pt idx="17">
                  <c:v>1444</c:v>
                </c:pt>
                <c:pt idx="18">
                  <c:v>1409</c:v>
                </c:pt>
                <c:pt idx="19">
                  <c:v>1258</c:v>
                </c:pt>
                <c:pt idx="20">
                  <c:v>1088</c:v>
                </c:pt>
                <c:pt idx="21">
                  <c:v>855</c:v>
                </c:pt>
                <c:pt idx="22">
                  <c:v>709</c:v>
                </c:pt>
                <c:pt idx="23">
                  <c:v>614</c:v>
                </c:pt>
                <c:pt idx="24">
                  <c:v>527</c:v>
                </c:pt>
                <c:pt idx="25">
                  <c:v>456</c:v>
                </c:pt>
                <c:pt idx="26">
                  <c:v>535</c:v>
                </c:pt>
                <c:pt idx="27">
                  <c:v>485</c:v>
                </c:pt>
                <c:pt idx="28">
                  <c:v>561</c:v>
                </c:pt>
                <c:pt idx="29">
                  <c:v>685</c:v>
                </c:pt>
                <c:pt idx="30">
                  <c:v>698</c:v>
                </c:pt>
                <c:pt idx="31">
                  <c:v>817</c:v>
                </c:pt>
                <c:pt idx="32">
                  <c:v>1417</c:v>
                </c:pt>
                <c:pt idx="33">
                  <c:v>12450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51-0349-8A06-F58CAAB63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700783"/>
        <c:axId val="935439839"/>
      </c:scatterChart>
      <c:valAx>
        <c:axId val="9870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35439839"/>
        <c:crosses val="autoZero"/>
        <c:crossBetween val="midCat"/>
      </c:valAx>
      <c:valAx>
        <c:axId val="93543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700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"/>
          <c:y val="5.0925925925925923E-2"/>
          <c:w val="0.7902917760279965"/>
          <c:h val="0.737105205599300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'評価+a_dist'!$I$30</c:f>
              <c:strCache>
                <c:ptCount val="1"/>
                <c:pt idx="0">
                  <c:v>提案1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'評価+a_dist'!$J$29:$AQ$29</c:f>
              <c:numCache>
                <c:formatCode>General</c:formatCode>
                <c:ptCount val="3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</c:numCache>
            </c:numRef>
          </c:xVal>
          <c:yVal>
            <c:numRef>
              <c:f>'評価+a_dist'!$J$30:$AQ$30</c:f>
              <c:numCache>
                <c:formatCode>General</c:formatCode>
                <c:ptCount val="34"/>
                <c:pt idx="0">
                  <c:v>2.4E-2</c:v>
                </c:pt>
                <c:pt idx="1">
                  <c:v>1.7999999999999999E-2</c:v>
                </c:pt>
                <c:pt idx="2">
                  <c:v>2.3E-2</c:v>
                </c:pt>
                <c:pt idx="3">
                  <c:v>3.3000000000000002E-2</c:v>
                </c:pt>
                <c:pt idx="4">
                  <c:v>4.3999999999999997E-2</c:v>
                </c:pt>
                <c:pt idx="5">
                  <c:v>3.4000000000000002E-2</c:v>
                </c:pt>
                <c:pt idx="6">
                  <c:v>3.1E-2</c:v>
                </c:pt>
                <c:pt idx="7">
                  <c:v>2.5999999999999999E-2</c:v>
                </c:pt>
                <c:pt idx="8">
                  <c:v>2.1000000000000001E-2</c:v>
                </c:pt>
                <c:pt idx="9">
                  <c:v>0.02</c:v>
                </c:pt>
                <c:pt idx="10">
                  <c:v>2.1999999999999999E-2</c:v>
                </c:pt>
                <c:pt idx="11">
                  <c:v>2.7E-2</c:v>
                </c:pt>
                <c:pt idx="12">
                  <c:v>3.5999999999999997E-2</c:v>
                </c:pt>
                <c:pt idx="13">
                  <c:v>5.6000000000000001E-2</c:v>
                </c:pt>
                <c:pt idx="14">
                  <c:v>4.3999999999999997E-2</c:v>
                </c:pt>
                <c:pt idx="15">
                  <c:v>4.9000000000000002E-2</c:v>
                </c:pt>
                <c:pt idx="16">
                  <c:v>4.2000000000000003E-2</c:v>
                </c:pt>
                <c:pt idx="17">
                  <c:v>3.9E-2</c:v>
                </c:pt>
                <c:pt idx="18">
                  <c:v>3.4000000000000002E-2</c:v>
                </c:pt>
                <c:pt idx="19">
                  <c:v>0.03</c:v>
                </c:pt>
                <c:pt idx="20">
                  <c:v>2.9000000000000001E-2</c:v>
                </c:pt>
                <c:pt idx="21">
                  <c:v>2.1000000000000001E-2</c:v>
                </c:pt>
                <c:pt idx="22">
                  <c:v>0.02</c:v>
                </c:pt>
                <c:pt idx="23">
                  <c:v>1.4999999999999999E-2</c:v>
                </c:pt>
                <c:pt idx="24">
                  <c:v>1.4999999999999999E-2</c:v>
                </c:pt>
                <c:pt idx="25">
                  <c:v>1.4999999999999999E-2</c:v>
                </c:pt>
                <c:pt idx="26">
                  <c:v>1.4999999999999999E-2</c:v>
                </c:pt>
                <c:pt idx="27">
                  <c:v>1.4999999999999999E-2</c:v>
                </c:pt>
                <c:pt idx="28">
                  <c:v>1.4999999999999999E-2</c:v>
                </c:pt>
                <c:pt idx="29">
                  <c:v>1.6E-2</c:v>
                </c:pt>
                <c:pt idx="30">
                  <c:v>1.7000000000000001E-2</c:v>
                </c:pt>
                <c:pt idx="31">
                  <c:v>2.3E-2</c:v>
                </c:pt>
                <c:pt idx="32">
                  <c:v>3.5999999999999997E-2</c:v>
                </c:pt>
                <c:pt idx="33">
                  <c:v>9.5000000000000001E-2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4A-8A49-AFB3-346628D6EEE9}"/>
            </c:ext>
          </c:extLst>
        </c:ser>
        <c:ser>
          <c:idx val="1"/>
          <c:order val="1"/>
          <c:tx>
            <c:strRef>
              <c:f>'評価+a_dist'!$I$31</c:f>
              <c:strCache>
                <c:ptCount val="1"/>
                <c:pt idx="0">
                  <c:v>utility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'評価+a_dist'!$J$29:$AQ$29</c:f>
              <c:numCache>
                <c:formatCode>General</c:formatCode>
                <c:ptCount val="3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</c:numCache>
            </c:numRef>
          </c:xVal>
          <c:yVal>
            <c:numRef>
              <c:f>'評価+a_dist'!$J$31:$AQ$31</c:f>
              <c:numCache>
                <c:formatCode>General</c:formatCode>
                <c:ptCount val="34"/>
                <c:pt idx="0">
                  <c:v>0.222</c:v>
                </c:pt>
                <c:pt idx="1">
                  <c:v>4.2999999999999997E-2</c:v>
                </c:pt>
                <c:pt idx="2">
                  <c:v>4.2999999999999997E-2</c:v>
                </c:pt>
                <c:pt idx="3">
                  <c:v>5.1999999999999998E-2</c:v>
                </c:pt>
                <c:pt idx="4">
                  <c:v>2.8000000000000001E-2</c:v>
                </c:pt>
                <c:pt idx="5">
                  <c:v>2.5000000000000001E-2</c:v>
                </c:pt>
                <c:pt idx="6">
                  <c:v>1.4E-2</c:v>
                </c:pt>
                <c:pt idx="7">
                  <c:v>1.0999999999999999E-2</c:v>
                </c:pt>
                <c:pt idx="8">
                  <c:v>8.0000000000000002E-3</c:v>
                </c:pt>
                <c:pt idx="9">
                  <c:v>8.0000000000000002E-3</c:v>
                </c:pt>
                <c:pt idx="10">
                  <c:v>8.9999999999999993E-3</c:v>
                </c:pt>
                <c:pt idx="11">
                  <c:v>0.01</c:v>
                </c:pt>
                <c:pt idx="12">
                  <c:v>1.4E-2</c:v>
                </c:pt>
                <c:pt idx="13">
                  <c:v>2.7E-2</c:v>
                </c:pt>
                <c:pt idx="14">
                  <c:v>2.9000000000000001E-2</c:v>
                </c:pt>
                <c:pt idx="15">
                  <c:v>2.9000000000000001E-2</c:v>
                </c:pt>
                <c:pt idx="16">
                  <c:v>2.5000000000000001E-2</c:v>
                </c:pt>
                <c:pt idx="17">
                  <c:v>2.1999999999999999E-2</c:v>
                </c:pt>
                <c:pt idx="18">
                  <c:v>2.1999999999999999E-2</c:v>
                </c:pt>
                <c:pt idx="19">
                  <c:v>0.02</c:v>
                </c:pt>
                <c:pt idx="20">
                  <c:v>1.7000000000000001E-2</c:v>
                </c:pt>
                <c:pt idx="21">
                  <c:v>1.2999999999999999E-2</c:v>
                </c:pt>
                <c:pt idx="22">
                  <c:v>1.0999999999999999E-2</c:v>
                </c:pt>
                <c:pt idx="23">
                  <c:v>0.01</c:v>
                </c:pt>
                <c:pt idx="24">
                  <c:v>8.0000000000000002E-3</c:v>
                </c:pt>
                <c:pt idx="25">
                  <c:v>7.0000000000000001E-3</c:v>
                </c:pt>
                <c:pt idx="26">
                  <c:v>8.0000000000000002E-3</c:v>
                </c:pt>
                <c:pt idx="27">
                  <c:v>8.0000000000000002E-3</c:v>
                </c:pt>
                <c:pt idx="28">
                  <c:v>8.9999999999999993E-3</c:v>
                </c:pt>
                <c:pt idx="29">
                  <c:v>1.0999999999999999E-2</c:v>
                </c:pt>
                <c:pt idx="30">
                  <c:v>1.0999999999999999E-2</c:v>
                </c:pt>
                <c:pt idx="31">
                  <c:v>1.2999999999999999E-2</c:v>
                </c:pt>
                <c:pt idx="32">
                  <c:v>2.1999999999999999E-2</c:v>
                </c:pt>
                <c:pt idx="33">
                  <c:v>0.19400000000000001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4A-8A49-AFB3-346628D6E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910591"/>
        <c:axId val="376103135"/>
      </c:scatterChart>
      <c:valAx>
        <c:axId val="375910591"/>
        <c:scaling>
          <c:orientation val="minMax"/>
          <c:max val="16.7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車両速度</a:t>
                </a:r>
                <a:r>
                  <a:rPr lang="en-US" altLang="ja-JP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6103135"/>
        <c:crosses val="autoZero"/>
        <c:crossBetween val="midCat"/>
        <c:majorUnit val="5"/>
      </c:valAx>
      <c:valAx>
        <c:axId val="37610313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全台数に対する比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5910591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8226924759405072"/>
          <c:y val="0.10245261009040539"/>
          <c:w val="0.20768372703412075"/>
          <c:h val="0.152177019539224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"/>
          <c:y val="5.0925925925925923E-2"/>
          <c:w val="0.7902917760279965"/>
          <c:h val="0.7525914989792942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'評価+a_dist'!$I$33</c:f>
              <c:strCache>
                <c:ptCount val="1"/>
                <c:pt idx="0">
                  <c:v>提案1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'評価+a_dist'!$J$32:$AQ$32</c:f>
              <c:numCache>
                <c:formatCode>General</c:formatCode>
                <c:ptCount val="3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</c:numCache>
            </c:numRef>
          </c:xVal>
          <c:yVal>
            <c:numRef>
              <c:f>'評価+a_dist'!$J$33:$AQ$33</c:f>
              <c:numCache>
                <c:formatCode>General</c:formatCode>
                <c:ptCount val="34"/>
                <c:pt idx="0">
                  <c:v>3.1E-2</c:v>
                </c:pt>
                <c:pt idx="1">
                  <c:v>2.3E-2</c:v>
                </c:pt>
                <c:pt idx="2">
                  <c:v>2.9000000000000001E-2</c:v>
                </c:pt>
                <c:pt idx="3">
                  <c:v>4.1000000000000002E-2</c:v>
                </c:pt>
                <c:pt idx="4">
                  <c:v>5.6000000000000001E-2</c:v>
                </c:pt>
                <c:pt idx="5">
                  <c:v>4.2999999999999997E-2</c:v>
                </c:pt>
                <c:pt idx="6">
                  <c:v>3.2000000000000001E-2</c:v>
                </c:pt>
                <c:pt idx="7">
                  <c:v>2.5999999999999999E-2</c:v>
                </c:pt>
                <c:pt idx="8">
                  <c:v>2.1999999999999999E-2</c:v>
                </c:pt>
                <c:pt idx="9">
                  <c:v>2.1000000000000001E-2</c:v>
                </c:pt>
                <c:pt idx="10">
                  <c:v>2.4E-2</c:v>
                </c:pt>
                <c:pt idx="11">
                  <c:v>2.9000000000000001E-2</c:v>
                </c:pt>
                <c:pt idx="12">
                  <c:v>3.9E-2</c:v>
                </c:pt>
                <c:pt idx="13">
                  <c:v>6.7000000000000004E-2</c:v>
                </c:pt>
                <c:pt idx="14">
                  <c:v>5.0999999999999997E-2</c:v>
                </c:pt>
                <c:pt idx="15">
                  <c:v>5.6000000000000001E-2</c:v>
                </c:pt>
                <c:pt idx="16">
                  <c:v>4.9000000000000002E-2</c:v>
                </c:pt>
                <c:pt idx="17">
                  <c:v>4.3999999999999997E-2</c:v>
                </c:pt>
                <c:pt idx="18">
                  <c:v>3.9E-2</c:v>
                </c:pt>
                <c:pt idx="19">
                  <c:v>3.4000000000000002E-2</c:v>
                </c:pt>
                <c:pt idx="20">
                  <c:v>0.03</c:v>
                </c:pt>
                <c:pt idx="21">
                  <c:v>0.02</c:v>
                </c:pt>
                <c:pt idx="22">
                  <c:v>1.7999999999999999E-2</c:v>
                </c:pt>
                <c:pt idx="23">
                  <c:v>1.2E-2</c:v>
                </c:pt>
                <c:pt idx="24">
                  <c:v>1.0999999999999999E-2</c:v>
                </c:pt>
                <c:pt idx="25">
                  <c:v>1.0999999999999999E-2</c:v>
                </c:pt>
                <c:pt idx="26">
                  <c:v>1.0999999999999999E-2</c:v>
                </c:pt>
                <c:pt idx="27">
                  <c:v>0.01</c:v>
                </c:pt>
                <c:pt idx="28">
                  <c:v>1.0999999999999999E-2</c:v>
                </c:pt>
                <c:pt idx="29">
                  <c:v>1.0999999999999999E-2</c:v>
                </c:pt>
                <c:pt idx="30">
                  <c:v>1.2E-2</c:v>
                </c:pt>
                <c:pt idx="31">
                  <c:v>1.4999999999999999E-2</c:v>
                </c:pt>
                <c:pt idx="32">
                  <c:v>2.4E-2</c:v>
                </c:pt>
                <c:pt idx="33">
                  <c:v>5.0999999999999997E-2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32-7F45-B114-839A4F645A4E}"/>
            </c:ext>
          </c:extLst>
        </c:ser>
        <c:ser>
          <c:idx val="1"/>
          <c:order val="1"/>
          <c:tx>
            <c:strRef>
              <c:f>'評価+a_dist'!$I$34</c:f>
              <c:strCache>
                <c:ptCount val="1"/>
                <c:pt idx="0">
                  <c:v>既存関数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'評価+a_dist'!$J$32:$AQ$32</c:f>
              <c:numCache>
                <c:formatCode>General</c:formatCode>
                <c:ptCount val="3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</c:numCache>
            </c:numRef>
          </c:xVal>
          <c:yVal>
            <c:numRef>
              <c:f>'評価+a_dist'!$J$34:$AQ$34</c:f>
              <c:numCache>
                <c:formatCode>General</c:formatCode>
                <c:ptCount val="34"/>
                <c:pt idx="0">
                  <c:v>0.27100000000000002</c:v>
                </c:pt>
                <c:pt idx="1">
                  <c:v>5.1999999999999998E-2</c:v>
                </c:pt>
                <c:pt idx="2">
                  <c:v>5.1999999999999998E-2</c:v>
                </c:pt>
                <c:pt idx="3">
                  <c:v>6.3E-2</c:v>
                </c:pt>
                <c:pt idx="4">
                  <c:v>3.4000000000000002E-2</c:v>
                </c:pt>
                <c:pt idx="5">
                  <c:v>0.03</c:v>
                </c:pt>
                <c:pt idx="6">
                  <c:v>1.7000000000000001E-2</c:v>
                </c:pt>
                <c:pt idx="7">
                  <c:v>1.2999999999999999E-2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1.2E-2</c:v>
                </c:pt>
                <c:pt idx="12">
                  <c:v>1.7000000000000001E-2</c:v>
                </c:pt>
                <c:pt idx="13">
                  <c:v>3.3000000000000002E-2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3.1E-2</c:v>
                </c:pt>
                <c:pt idx="17">
                  <c:v>2.7E-2</c:v>
                </c:pt>
                <c:pt idx="18">
                  <c:v>2.7E-2</c:v>
                </c:pt>
                <c:pt idx="19">
                  <c:v>2.4E-2</c:v>
                </c:pt>
                <c:pt idx="20">
                  <c:v>0.02</c:v>
                </c:pt>
                <c:pt idx="21">
                  <c:v>1.6E-2</c:v>
                </c:pt>
                <c:pt idx="22">
                  <c:v>1.2999999999999999E-2</c:v>
                </c:pt>
                <c:pt idx="23">
                  <c:v>1.0999999999999999E-2</c:v>
                </c:pt>
                <c:pt idx="24">
                  <c:v>8.9999999999999993E-3</c:v>
                </c:pt>
                <c:pt idx="25">
                  <c:v>8.0000000000000002E-3</c:v>
                </c:pt>
                <c:pt idx="26">
                  <c:v>8.9999999999999993E-3</c:v>
                </c:pt>
                <c:pt idx="27">
                  <c:v>8.0000000000000002E-3</c:v>
                </c:pt>
                <c:pt idx="28">
                  <c:v>8.0000000000000002E-3</c:v>
                </c:pt>
                <c:pt idx="29">
                  <c:v>8.0000000000000002E-3</c:v>
                </c:pt>
                <c:pt idx="30">
                  <c:v>8.9999999999999993E-3</c:v>
                </c:pt>
                <c:pt idx="31">
                  <c:v>1.0999999999999999E-2</c:v>
                </c:pt>
                <c:pt idx="32">
                  <c:v>1.7000000000000001E-2</c:v>
                </c:pt>
                <c:pt idx="33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32-7F45-B114-839A4F645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248367"/>
        <c:axId val="71957135"/>
      </c:scatterChart>
      <c:valAx>
        <c:axId val="376248367"/>
        <c:scaling>
          <c:orientation val="minMax"/>
          <c:max val="16.7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車両速度</a:t>
                </a:r>
                <a:r>
                  <a:rPr lang="en-US" altLang="ja-JP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957135"/>
        <c:crosses val="autoZero"/>
        <c:crossBetween val="midCat"/>
        <c:majorUnit val="5"/>
      </c:valAx>
      <c:valAx>
        <c:axId val="7195713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全データ数に対する比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6248367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0726924759405074"/>
          <c:y val="9.3193350831146132E-2"/>
          <c:w val="0.19935039370078739"/>
          <c:h val="0.161436278798483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33333333333334"/>
          <c:y val="5.0925925925925923E-2"/>
          <c:w val="0.81244444444444441"/>
          <c:h val="0.7155544619422572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'評価+a_dist'!$I$36</c:f>
              <c:strCache>
                <c:ptCount val="1"/>
                <c:pt idx="0">
                  <c:v>提案1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'評価+a_dist'!$J$35:$AQ$35</c:f>
              <c:numCache>
                <c:formatCode>General</c:formatCode>
                <c:ptCount val="3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</c:numCache>
            </c:numRef>
          </c:xVal>
          <c:yVal>
            <c:numRef>
              <c:f>'評価+a_dist'!$J$36:$AQ$36</c:f>
              <c:numCache>
                <c:formatCode>General</c:formatCode>
                <c:ptCount val="34"/>
                <c:pt idx="0">
                  <c:v>5.0000000000000001E-3</c:v>
                </c:pt>
                <c:pt idx="1">
                  <c:v>6.0000000000000001E-3</c:v>
                </c:pt>
                <c:pt idx="2">
                  <c:v>6.0000000000000001E-3</c:v>
                </c:pt>
                <c:pt idx="3">
                  <c:v>1.0999999999999999E-2</c:v>
                </c:pt>
                <c:pt idx="4">
                  <c:v>8.9999999999999993E-3</c:v>
                </c:pt>
                <c:pt idx="5">
                  <c:v>8.0000000000000002E-3</c:v>
                </c:pt>
                <c:pt idx="6">
                  <c:v>2.8000000000000001E-2</c:v>
                </c:pt>
                <c:pt idx="7">
                  <c:v>2.5999999999999999E-2</c:v>
                </c:pt>
                <c:pt idx="8">
                  <c:v>1.7999999999999999E-2</c:v>
                </c:pt>
                <c:pt idx="9">
                  <c:v>1.7000000000000001E-2</c:v>
                </c:pt>
                <c:pt idx="10">
                  <c:v>1.7000000000000001E-2</c:v>
                </c:pt>
                <c:pt idx="11">
                  <c:v>2.1000000000000001E-2</c:v>
                </c:pt>
                <c:pt idx="12">
                  <c:v>2.5000000000000001E-2</c:v>
                </c:pt>
                <c:pt idx="13">
                  <c:v>2.5999999999999999E-2</c:v>
                </c:pt>
                <c:pt idx="14">
                  <c:v>2.4E-2</c:v>
                </c:pt>
                <c:pt idx="15">
                  <c:v>2.8000000000000001E-2</c:v>
                </c:pt>
                <c:pt idx="16">
                  <c:v>2.4E-2</c:v>
                </c:pt>
                <c:pt idx="17">
                  <c:v>2.3E-2</c:v>
                </c:pt>
                <c:pt idx="18">
                  <c:v>0.02</c:v>
                </c:pt>
                <c:pt idx="19">
                  <c:v>1.9E-2</c:v>
                </c:pt>
                <c:pt idx="20">
                  <c:v>2.5999999999999999E-2</c:v>
                </c:pt>
                <c:pt idx="21">
                  <c:v>2.5999999999999999E-2</c:v>
                </c:pt>
                <c:pt idx="22">
                  <c:v>2.5000000000000001E-2</c:v>
                </c:pt>
                <c:pt idx="23">
                  <c:v>2.5000000000000001E-2</c:v>
                </c:pt>
                <c:pt idx="24">
                  <c:v>2.4E-2</c:v>
                </c:pt>
                <c:pt idx="25">
                  <c:v>2.8000000000000001E-2</c:v>
                </c:pt>
                <c:pt idx="26">
                  <c:v>2.8000000000000001E-2</c:v>
                </c:pt>
                <c:pt idx="27">
                  <c:v>2.9000000000000001E-2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4.5999999999999999E-2</c:v>
                </c:pt>
                <c:pt idx="32">
                  <c:v>7.0999999999999994E-2</c:v>
                </c:pt>
                <c:pt idx="33">
                  <c:v>0.224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DD-CA49-8E9B-A1F886628352}"/>
            </c:ext>
          </c:extLst>
        </c:ser>
        <c:ser>
          <c:idx val="1"/>
          <c:order val="1"/>
          <c:tx>
            <c:strRef>
              <c:f>'評価+a_dist'!$I$37</c:f>
              <c:strCache>
                <c:ptCount val="1"/>
                <c:pt idx="0">
                  <c:v>既存関数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'評価+a_dist'!$J$35:$AQ$35</c:f>
              <c:numCache>
                <c:formatCode>General</c:formatCode>
                <c:ptCount val="3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</c:numCache>
            </c:numRef>
          </c:xVal>
          <c:yVal>
            <c:numRef>
              <c:f>'評価+a_dist'!$J$37:$AQ$37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0</c:v>
                </c:pt>
                <c:pt idx="14">
                  <c:v>0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2E-3</c:v>
                </c:pt>
                <c:pt idx="22">
                  <c:v>2E-3</c:v>
                </c:pt>
                <c:pt idx="23">
                  <c:v>3.0000000000000001E-3</c:v>
                </c:pt>
                <c:pt idx="24">
                  <c:v>4.0000000000000001E-3</c:v>
                </c:pt>
                <c:pt idx="25">
                  <c:v>3.0000000000000001E-3</c:v>
                </c:pt>
                <c:pt idx="26">
                  <c:v>4.0000000000000001E-3</c:v>
                </c:pt>
                <c:pt idx="27">
                  <c:v>6.0000000000000001E-3</c:v>
                </c:pt>
                <c:pt idx="28">
                  <c:v>1.4E-2</c:v>
                </c:pt>
                <c:pt idx="29">
                  <c:v>2.1000000000000001E-2</c:v>
                </c:pt>
                <c:pt idx="30">
                  <c:v>1.7999999999999999E-2</c:v>
                </c:pt>
                <c:pt idx="31">
                  <c:v>0.02</c:v>
                </c:pt>
                <c:pt idx="32">
                  <c:v>4.4999999999999998E-2</c:v>
                </c:pt>
                <c:pt idx="33">
                  <c:v>0.84799999999999998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DD-CA49-8E9B-A1F886628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828127"/>
        <c:axId val="376178879"/>
      </c:scatterChart>
      <c:valAx>
        <c:axId val="763828127"/>
        <c:scaling>
          <c:orientation val="minMax"/>
          <c:max val="16.7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車両速度</a:t>
                </a:r>
                <a:r>
                  <a:rPr lang="en-US" altLang="ja-JP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6178879"/>
        <c:crosses val="autoZero"/>
        <c:crossBetween val="midCat"/>
      </c:valAx>
      <c:valAx>
        <c:axId val="376178879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全データ数に対する比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3828127"/>
        <c:crosses val="autoZero"/>
        <c:crossBetween val="midCat"/>
        <c:majorUnit val="0.2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7115813648293962"/>
          <c:y val="9.3193350831146105E-2"/>
          <c:w val="0.14935039370078737"/>
          <c:h val="0.142917760279965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33333333333334"/>
          <c:y val="5.0925925925925923E-2"/>
          <c:w val="0.81244444444444441"/>
          <c:h val="0.7155544619422572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'評価+a_dist'!$I$36</c:f>
              <c:strCache>
                <c:ptCount val="1"/>
                <c:pt idx="0">
                  <c:v>提案1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'評価+a_dist'!$J$35:$AQ$35</c:f>
              <c:numCache>
                <c:formatCode>General</c:formatCode>
                <c:ptCount val="3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</c:numCache>
            </c:numRef>
          </c:xVal>
          <c:yVal>
            <c:numRef>
              <c:f>'評価+a_dist'!$J$36:$AQ$36</c:f>
              <c:numCache>
                <c:formatCode>General</c:formatCode>
                <c:ptCount val="34"/>
                <c:pt idx="0">
                  <c:v>5.0000000000000001E-3</c:v>
                </c:pt>
                <c:pt idx="1">
                  <c:v>6.0000000000000001E-3</c:v>
                </c:pt>
                <c:pt idx="2">
                  <c:v>6.0000000000000001E-3</c:v>
                </c:pt>
                <c:pt idx="3">
                  <c:v>1.0999999999999999E-2</c:v>
                </c:pt>
                <c:pt idx="4">
                  <c:v>8.9999999999999993E-3</c:v>
                </c:pt>
                <c:pt idx="5">
                  <c:v>8.0000000000000002E-3</c:v>
                </c:pt>
                <c:pt idx="6">
                  <c:v>2.8000000000000001E-2</c:v>
                </c:pt>
                <c:pt idx="7">
                  <c:v>2.5999999999999999E-2</c:v>
                </c:pt>
                <c:pt idx="8">
                  <c:v>1.7999999999999999E-2</c:v>
                </c:pt>
                <c:pt idx="9">
                  <c:v>1.7000000000000001E-2</c:v>
                </c:pt>
                <c:pt idx="10">
                  <c:v>1.7000000000000001E-2</c:v>
                </c:pt>
                <c:pt idx="11">
                  <c:v>2.1000000000000001E-2</c:v>
                </c:pt>
                <c:pt idx="12">
                  <c:v>2.5000000000000001E-2</c:v>
                </c:pt>
                <c:pt idx="13">
                  <c:v>2.5999999999999999E-2</c:v>
                </c:pt>
                <c:pt idx="14">
                  <c:v>2.4E-2</c:v>
                </c:pt>
                <c:pt idx="15">
                  <c:v>2.8000000000000001E-2</c:v>
                </c:pt>
                <c:pt idx="16">
                  <c:v>2.4E-2</c:v>
                </c:pt>
                <c:pt idx="17">
                  <c:v>2.3E-2</c:v>
                </c:pt>
                <c:pt idx="18">
                  <c:v>0.02</c:v>
                </c:pt>
                <c:pt idx="19">
                  <c:v>1.9E-2</c:v>
                </c:pt>
                <c:pt idx="20">
                  <c:v>2.5999999999999999E-2</c:v>
                </c:pt>
                <c:pt idx="21">
                  <c:v>2.5999999999999999E-2</c:v>
                </c:pt>
                <c:pt idx="22">
                  <c:v>2.5000000000000001E-2</c:v>
                </c:pt>
                <c:pt idx="23">
                  <c:v>2.5000000000000001E-2</c:v>
                </c:pt>
                <c:pt idx="24">
                  <c:v>2.4E-2</c:v>
                </c:pt>
                <c:pt idx="25">
                  <c:v>2.8000000000000001E-2</c:v>
                </c:pt>
                <c:pt idx="26">
                  <c:v>2.8000000000000001E-2</c:v>
                </c:pt>
                <c:pt idx="27">
                  <c:v>2.9000000000000001E-2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4.5999999999999999E-2</c:v>
                </c:pt>
                <c:pt idx="32">
                  <c:v>7.0999999999999994E-2</c:v>
                </c:pt>
                <c:pt idx="33">
                  <c:v>0.224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DD-CA49-8E9B-A1F886628352}"/>
            </c:ext>
          </c:extLst>
        </c:ser>
        <c:ser>
          <c:idx val="1"/>
          <c:order val="1"/>
          <c:tx>
            <c:strRef>
              <c:f>'評価+a_dist'!$I$37</c:f>
              <c:strCache>
                <c:ptCount val="1"/>
                <c:pt idx="0">
                  <c:v>既存関数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'評価+a_dist'!$J$35:$AQ$35</c:f>
              <c:numCache>
                <c:formatCode>General</c:formatCode>
                <c:ptCount val="3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</c:numCache>
            </c:numRef>
          </c:xVal>
          <c:yVal>
            <c:numRef>
              <c:f>'評価+a_dist'!$J$37:$AQ$37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1E-3</c:v>
                </c:pt>
                <c:pt idx="11">
                  <c:v>1E-3</c:v>
                </c:pt>
                <c:pt idx="12">
                  <c:v>1E-3</c:v>
                </c:pt>
                <c:pt idx="13">
                  <c:v>0</c:v>
                </c:pt>
                <c:pt idx="14">
                  <c:v>0</c:v>
                </c:pt>
                <c:pt idx="15">
                  <c:v>1E-3</c:v>
                </c:pt>
                <c:pt idx="16">
                  <c:v>1E-3</c:v>
                </c:pt>
                <c:pt idx="17">
                  <c:v>1E-3</c:v>
                </c:pt>
                <c:pt idx="18">
                  <c:v>1E-3</c:v>
                </c:pt>
                <c:pt idx="19">
                  <c:v>1E-3</c:v>
                </c:pt>
                <c:pt idx="20">
                  <c:v>1E-3</c:v>
                </c:pt>
                <c:pt idx="21">
                  <c:v>2E-3</c:v>
                </c:pt>
                <c:pt idx="22">
                  <c:v>2E-3</c:v>
                </c:pt>
                <c:pt idx="23">
                  <c:v>3.0000000000000001E-3</c:v>
                </c:pt>
                <c:pt idx="24">
                  <c:v>4.0000000000000001E-3</c:v>
                </c:pt>
                <c:pt idx="25">
                  <c:v>3.0000000000000001E-3</c:v>
                </c:pt>
                <c:pt idx="26">
                  <c:v>4.0000000000000001E-3</c:v>
                </c:pt>
                <c:pt idx="27">
                  <c:v>6.0000000000000001E-3</c:v>
                </c:pt>
                <c:pt idx="28">
                  <c:v>1.4E-2</c:v>
                </c:pt>
                <c:pt idx="29">
                  <c:v>2.1000000000000001E-2</c:v>
                </c:pt>
                <c:pt idx="30">
                  <c:v>1.7999999999999999E-2</c:v>
                </c:pt>
                <c:pt idx="31">
                  <c:v>0.02</c:v>
                </c:pt>
                <c:pt idx="32">
                  <c:v>4.4999999999999998E-2</c:v>
                </c:pt>
                <c:pt idx="33">
                  <c:v>0.84799999999999998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DD-CA49-8E9B-A1F886628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828127"/>
        <c:axId val="376178879"/>
      </c:scatterChart>
      <c:valAx>
        <c:axId val="763828127"/>
        <c:scaling>
          <c:orientation val="minMax"/>
          <c:max val="16.7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車両速度</a:t>
                </a:r>
                <a:r>
                  <a:rPr lang="en-US" altLang="ja-JP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6178879"/>
        <c:crosses val="autoZero"/>
        <c:crossBetween val="midCat"/>
      </c:valAx>
      <c:valAx>
        <c:axId val="376178879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全データ数に対する比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3828127"/>
        <c:crosses val="autoZero"/>
        <c:crossBetween val="midCat"/>
        <c:majorUnit val="0.2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7115813648293962"/>
          <c:y val="9.3193350831146105E-2"/>
          <c:w val="0.18546150481189855"/>
          <c:h val="0.15680664916885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533400</xdr:colOff>
      <xdr:row>4</xdr:row>
      <xdr:rowOff>44450</xdr:rowOff>
    </xdr:from>
    <xdr:to>
      <xdr:col>14</xdr:col>
      <xdr:colOff>342900</xdr:colOff>
      <xdr:row>14</xdr:row>
      <xdr:rowOff>247650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67D30E3-0048-39CC-A7AF-814574F26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212090</xdr:colOff>
      <xdr:row>10</xdr:row>
      <xdr:rowOff>148590</xdr:rowOff>
    </xdr:from>
    <xdr:to>
      <xdr:col>15</xdr:col>
      <xdr:colOff>19050</xdr:colOff>
      <xdr:row>21</xdr:row>
      <xdr:rowOff>97790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E1C96DEF-E1F0-3692-A41A-4EB2AC67D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324860</xdr:colOff>
      <xdr:row>8</xdr:row>
      <xdr:rowOff>27224</xdr:rowOff>
    </xdr:from>
    <xdr:to>
      <xdr:col>14</xdr:col>
      <xdr:colOff>121660</xdr:colOff>
      <xdr:row>18</xdr:row>
      <xdr:rowOff>226082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664BED84-8FF8-F418-3360-A0566B654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768350</xdr:colOff>
      <xdr:row>1</xdr:row>
      <xdr:rowOff>206963</xdr:rowOff>
    </xdr:from>
    <xdr:to>
      <xdr:col>13</xdr:col>
      <xdr:colOff>577850</xdr:colOff>
      <xdr:row>12</xdr:row>
      <xdr:rowOff>156163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EC9E697-CAB0-75D8-5DD1-8D5BBB7F4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395613</xdr:colOff>
      <xdr:row>6</xdr:row>
      <xdr:rowOff>143448</xdr:rowOff>
    </xdr:from>
    <xdr:to>
      <xdr:col>19</xdr:col>
      <xdr:colOff>205113</xdr:colOff>
      <xdr:row>17</xdr:row>
      <xdr:rowOff>92649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EB3EB3B-EC90-2A4C-D107-295043725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797269</xdr:colOff>
      <xdr:row>14</xdr:row>
      <xdr:rowOff>36034</xdr:rowOff>
    </xdr:from>
    <xdr:to>
      <xdr:col>13</xdr:col>
      <xdr:colOff>606769</xdr:colOff>
      <xdr:row>24</xdr:row>
      <xdr:rowOff>245354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71CF169-E26C-E692-A641-ACF3D3111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372820</xdr:colOff>
      <xdr:row>21</xdr:row>
      <xdr:rowOff>22727</xdr:rowOff>
    </xdr:from>
    <xdr:to>
      <xdr:col>19</xdr:col>
      <xdr:colOff>182320</xdr:colOff>
      <xdr:row>31</xdr:row>
      <xdr:rowOff>232049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BC91DE9D-6A16-8906-9AD0-62685D316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774700</xdr:colOff>
      <xdr:row>40</xdr:row>
      <xdr:rowOff>31750</xdr:rowOff>
    </xdr:from>
    <xdr:to>
      <xdr:col>18</xdr:col>
      <xdr:colOff>584200</xdr:colOff>
      <xdr:row>50</xdr:row>
      <xdr:rowOff>234950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17A4028-C74D-6BBA-630B-40072E145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317500</xdr:colOff>
      <xdr:row>34</xdr:row>
      <xdr:rowOff>234950</xdr:rowOff>
    </xdr:from>
    <xdr:to>
      <xdr:col>13</xdr:col>
      <xdr:colOff>127000</xdr:colOff>
      <xdr:row>45</xdr:row>
      <xdr:rowOff>184150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89800736-545F-2514-95E2-138A821EE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330200</xdr:colOff>
      <xdr:row>48</xdr:row>
      <xdr:rowOff>247650</xdr:rowOff>
    </xdr:from>
    <xdr:to>
      <xdr:col>13</xdr:col>
      <xdr:colOff>139700</xdr:colOff>
      <xdr:row>59</xdr:row>
      <xdr:rowOff>196850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8A64B551-4D19-FA34-31FB-854154EC5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203200</xdr:colOff>
      <xdr:row>57</xdr:row>
      <xdr:rowOff>69850</xdr:rowOff>
    </xdr:from>
    <xdr:to>
      <xdr:col>19</xdr:col>
      <xdr:colOff>12700</xdr:colOff>
      <xdr:row>68</xdr:row>
      <xdr:rowOff>19050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7B590567-291A-E379-E761-042CE15B8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360219</xdr:colOff>
      <xdr:row>38</xdr:row>
      <xdr:rowOff>6350</xdr:rowOff>
    </xdr:from>
    <xdr:to>
      <xdr:col>16</xdr:col>
      <xdr:colOff>163946</xdr:colOff>
      <xdr:row>48</xdr:row>
      <xdr:rowOff>209550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1FD0273-E646-5DCE-6C33-23699AEA3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692726</xdr:colOff>
      <xdr:row>38</xdr:row>
      <xdr:rowOff>111991</xdr:rowOff>
    </xdr:from>
    <xdr:to>
      <xdr:col>17</xdr:col>
      <xdr:colOff>473363</xdr:colOff>
      <xdr:row>49</xdr:row>
      <xdr:rowOff>61191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C90BF55-6483-AE61-D7F1-8643FF015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357909</xdr:colOff>
      <xdr:row>42</xdr:row>
      <xdr:rowOff>19626</xdr:rowOff>
    </xdr:from>
    <xdr:to>
      <xdr:col>28</xdr:col>
      <xdr:colOff>138546</xdr:colOff>
      <xdr:row>52</xdr:row>
      <xdr:rowOff>222826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3C5DCBD3-2996-ECFB-F16A-3BE9EBBFE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404091</xdr:colOff>
      <xdr:row>39</xdr:row>
      <xdr:rowOff>250536</xdr:rowOff>
    </xdr:from>
    <xdr:to>
      <xdr:col>33</xdr:col>
      <xdr:colOff>184727</xdr:colOff>
      <xdr:row>50</xdr:row>
      <xdr:rowOff>199736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5C0733DB-FB6B-5C36-7EE6-8252CAE7E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473363</xdr:colOff>
      <xdr:row>40</xdr:row>
      <xdr:rowOff>169718</xdr:rowOff>
    </xdr:from>
    <xdr:to>
      <xdr:col>38</xdr:col>
      <xdr:colOff>253999</xdr:colOff>
      <xdr:row>51</xdr:row>
      <xdr:rowOff>118918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2B7E47B2-3FA3-15F9-8A47-0556681BA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438726</xdr:colOff>
      <xdr:row>40</xdr:row>
      <xdr:rowOff>204354</xdr:rowOff>
    </xdr:from>
    <xdr:to>
      <xdr:col>38</xdr:col>
      <xdr:colOff>219362</xdr:colOff>
      <xdr:row>51</xdr:row>
      <xdr:rowOff>153554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327083AC-1FEA-132A-30E8-E0995E186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8CED-0D89-B04A-A1B9-D5B3FA9A2FDE}">
  <dimension ref="A2:AE158"/>
  <sheetViews>
    <sheetView zoomScaleNormal="100" workbookViewId="0">
      <pane xSplit="3" ySplit="3" topLeftCell="D20" activePane="bottomRight" state="frozen"/>
      <selection pane="topRight" activeCell="D1" sqref="D1"/>
      <selection pane="bottomLeft" activeCell="A4" sqref="A4"/>
      <selection pane="bottomRight" activeCell="U136" sqref="U136"/>
    </sheetView>
  </sheetViews>
  <sheetFormatPr baseColWidth="10" defaultRowHeight="20"/>
  <cols>
    <col min="4" max="4" width="3" customWidth="1"/>
    <col min="5" max="7" width="9.85546875" customWidth="1"/>
    <col min="8" max="8" width="3.140625" customWidth="1"/>
    <col min="9" max="11" width="10" customWidth="1"/>
    <col min="12" max="12" width="3.140625" customWidth="1"/>
    <col min="13" max="15" width="9.85546875" customWidth="1"/>
    <col min="16" max="16" width="3.140625" customWidth="1"/>
    <col min="17" max="19" width="10" customWidth="1"/>
    <col min="20" max="20" width="3.140625" customWidth="1"/>
    <col min="21" max="23" width="9.85546875" customWidth="1"/>
    <col min="24" max="24" width="3.5703125" customWidth="1"/>
    <col min="25" max="27" width="10" customWidth="1"/>
  </cols>
  <sheetData>
    <row r="2" spans="1:27">
      <c r="B2" t="s">
        <v>0</v>
      </c>
      <c r="C2" t="s">
        <v>1</v>
      </c>
      <c r="E2" t="s">
        <v>3</v>
      </c>
      <c r="F2" t="s">
        <v>4</v>
      </c>
      <c r="I2" t="s">
        <v>3</v>
      </c>
      <c r="J2" t="s">
        <v>8</v>
      </c>
      <c r="M2" t="s">
        <v>9</v>
      </c>
      <c r="Q2" t="s">
        <v>11</v>
      </c>
      <c r="U2" t="s">
        <v>12</v>
      </c>
      <c r="Y2" t="s">
        <v>13</v>
      </c>
    </row>
    <row r="3" spans="1:27">
      <c r="B3" t="s">
        <v>2</v>
      </c>
      <c r="C3" t="s">
        <v>2</v>
      </c>
      <c r="E3" s="1" t="s">
        <v>5</v>
      </c>
      <c r="F3" s="1" t="s">
        <v>6</v>
      </c>
      <c r="G3" s="1" t="s">
        <v>7</v>
      </c>
      <c r="I3" s="1" t="s">
        <v>5</v>
      </c>
      <c r="J3" s="1" t="s">
        <v>6</v>
      </c>
      <c r="K3" s="1" t="s">
        <v>7</v>
      </c>
      <c r="M3" s="1" t="s">
        <v>10</v>
      </c>
      <c r="N3" s="1" t="s">
        <v>6</v>
      </c>
      <c r="O3" s="1" t="s">
        <v>7</v>
      </c>
      <c r="Q3" s="1" t="s">
        <v>10</v>
      </c>
      <c r="R3" s="1" t="s">
        <v>6</v>
      </c>
      <c r="S3" s="1" t="s">
        <v>7</v>
      </c>
      <c r="U3" s="1" t="s">
        <v>10</v>
      </c>
      <c r="V3" s="1" t="s">
        <v>6</v>
      </c>
      <c r="W3" s="1" t="s">
        <v>7</v>
      </c>
      <c r="Y3" s="1" t="s">
        <v>10</v>
      </c>
      <c r="Z3" s="1" t="s">
        <v>6</v>
      </c>
      <c r="AA3" s="1" t="s">
        <v>7</v>
      </c>
    </row>
    <row r="4" spans="1:27" ht="18" customHeight="1"/>
    <row r="5" spans="1:27" ht="18" customHeight="1">
      <c r="A5" t="s">
        <v>14</v>
      </c>
      <c r="B5">
        <v>500</v>
      </c>
      <c r="C5">
        <v>1500</v>
      </c>
    </row>
    <row r="6" spans="1:27" ht="18" customHeight="1">
      <c r="A6" t="s">
        <v>15</v>
      </c>
      <c r="B6">
        <v>600</v>
      </c>
      <c r="C6">
        <v>1400</v>
      </c>
      <c r="E6">
        <v>13.980700000000001</v>
      </c>
      <c r="F6">
        <v>10.4802</v>
      </c>
      <c r="G6">
        <v>15.9305</v>
      </c>
      <c r="I6">
        <v>13.952999999999999</v>
      </c>
      <c r="J6">
        <v>10.709899999999999</v>
      </c>
      <c r="K6">
        <v>15.6944</v>
      </c>
      <c r="M6">
        <v>13.316000000000001</v>
      </c>
      <c r="N6">
        <v>8.4585000000000008</v>
      </c>
      <c r="O6">
        <v>16.5916</v>
      </c>
      <c r="Q6">
        <v>15.012600000000001</v>
      </c>
      <c r="R6">
        <v>15.136200000000001</v>
      </c>
      <c r="S6">
        <v>14.959199999999999</v>
      </c>
      <c r="U6">
        <v>13.3409</v>
      </c>
      <c r="V6">
        <v>8.4040999999999997</v>
      </c>
      <c r="W6">
        <v>16.670000000000002</v>
      </c>
      <c r="Y6">
        <v>14.4613</v>
      </c>
      <c r="Z6">
        <v>10.962999999999999</v>
      </c>
      <c r="AA6">
        <v>16.434100000000001</v>
      </c>
    </row>
    <row r="7" spans="1:27" ht="18" customHeight="1">
      <c r="A7" t="s">
        <v>16</v>
      </c>
      <c r="B7">
        <v>700</v>
      </c>
      <c r="C7">
        <v>1300</v>
      </c>
      <c r="E7">
        <v>14.339600000000001</v>
      </c>
      <c r="F7">
        <v>11.5207</v>
      </c>
      <c r="G7">
        <v>16.299800000000001</v>
      </c>
      <c r="I7">
        <v>14.4049</v>
      </c>
      <c r="J7">
        <v>11.7791</v>
      </c>
      <c r="K7">
        <v>16.165600000000001</v>
      </c>
      <c r="M7">
        <v>13.4833</v>
      </c>
      <c r="N7">
        <v>9.5427</v>
      </c>
      <c r="O7">
        <v>16.631599999999999</v>
      </c>
      <c r="U7">
        <v>13.434699999999999</v>
      </c>
      <c r="V7">
        <v>9.3850999999999996</v>
      </c>
      <c r="W7">
        <v>16.670000000000002</v>
      </c>
      <c r="Y7">
        <v>14.4596</v>
      </c>
      <c r="Z7">
        <v>11.577500000000001</v>
      </c>
      <c r="AA7">
        <v>16.458500000000001</v>
      </c>
    </row>
    <row r="8" spans="1:27" ht="18" customHeight="1">
      <c r="A8" t="s">
        <v>17</v>
      </c>
      <c r="B8">
        <v>800</v>
      </c>
      <c r="C8">
        <v>1200</v>
      </c>
      <c r="E8">
        <v>14.879799999999999</v>
      </c>
      <c r="F8">
        <v>13.9894</v>
      </c>
      <c r="G8">
        <v>15.499499999999999</v>
      </c>
      <c r="I8">
        <v>14.879799999999999</v>
      </c>
      <c r="J8">
        <v>13.9894</v>
      </c>
      <c r="K8">
        <v>15.499499999999999</v>
      </c>
      <c r="M8">
        <v>14.6327</v>
      </c>
      <c r="N8">
        <v>12.2469</v>
      </c>
      <c r="O8">
        <v>16.471399999999999</v>
      </c>
      <c r="Q8">
        <v>13.9253</v>
      </c>
      <c r="R8">
        <v>13.9872</v>
      </c>
      <c r="S8">
        <v>13.883599999999999</v>
      </c>
      <c r="U8">
        <v>13.2803</v>
      </c>
      <c r="V8">
        <v>9.5541</v>
      </c>
      <c r="W8">
        <v>16.670000000000002</v>
      </c>
      <c r="Y8">
        <v>14.859</v>
      </c>
      <c r="Z8">
        <v>14.4838</v>
      </c>
      <c r="AA8">
        <v>15.120100000000001</v>
      </c>
    </row>
    <row r="9" spans="1:27" ht="18" customHeight="1">
      <c r="B9">
        <v>900</v>
      </c>
      <c r="C9">
        <v>1100</v>
      </c>
      <c r="E9">
        <v>14.353</v>
      </c>
      <c r="F9">
        <v>13.8627</v>
      </c>
      <c r="G9">
        <v>14.7638</v>
      </c>
      <c r="I9">
        <v>14.186</v>
      </c>
      <c r="J9">
        <v>13.345700000000001</v>
      </c>
      <c r="K9">
        <v>14.917999999999999</v>
      </c>
      <c r="M9">
        <v>13.5723</v>
      </c>
      <c r="N9">
        <v>10.8293</v>
      </c>
      <c r="O9">
        <v>16.4697</v>
      </c>
      <c r="U9">
        <v>13.9186</v>
      </c>
      <c r="V9">
        <v>11.193300000000001</v>
      </c>
      <c r="W9">
        <v>16.6526</v>
      </c>
      <c r="Y9">
        <v>13.7034</v>
      </c>
      <c r="Z9">
        <v>12.075100000000001</v>
      </c>
      <c r="AA9">
        <v>15.22</v>
      </c>
    </row>
    <row r="10" spans="1:27" ht="18" customHeight="1">
      <c r="B10">
        <v>1000</v>
      </c>
      <c r="C10">
        <v>1000</v>
      </c>
      <c r="E10">
        <v>13.1447</v>
      </c>
      <c r="F10">
        <v>11.464600000000001</v>
      </c>
      <c r="G10">
        <v>15.290800000000001</v>
      </c>
      <c r="I10">
        <v>13.147600000000001</v>
      </c>
      <c r="J10">
        <v>11.4664</v>
      </c>
      <c r="K10">
        <v>15.295199999999999</v>
      </c>
      <c r="M10">
        <v>13.328200000000001</v>
      </c>
      <c r="N10">
        <v>11.176500000000001</v>
      </c>
      <c r="O10">
        <v>16.125399999999999</v>
      </c>
      <c r="Q10">
        <v>12.354799999999999</v>
      </c>
      <c r="R10">
        <v>13.1778</v>
      </c>
      <c r="S10">
        <v>11.5046</v>
      </c>
      <c r="U10">
        <v>12.989100000000001</v>
      </c>
      <c r="V10">
        <v>10.3566</v>
      </c>
      <c r="W10">
        <v>16.6539</v>
      </c>
      <c r="Y10">
        <v>13.698499999999999</v>
      </c>
      <c r="Z10">
        <v>11.757</v>
      </c>
      <c r="AA10">
        <v>16.226299999999998</v>
      </c>
    </row>
    <row r="11" spans="1:27" ht="18" customHeight="1">
      <c r="B11">
        <v>1100</v>
      </c>
      <c r="C11">
        <v>900</v>
      </c>
      <c r="E11">
        <v>13.1326</v>
      </c>
      <c r="F11">
        <v>11.969900000000001</v>
      </c>
      <c r="G11">
        <v>14.782400000000001</v>
      </c>
      <c r="I11">
        <v>13.266500000000001</v>
      </c>
      <c r="J11">
        <v>11.9245</v>
      </c>
      <c r="K11">
        <v>15.2493</v>
      </c>
      <c r="M11">
        <v>11.8986</v>
      </c>
      <c r="N11">
        <v>9.6880000000000006</v>
      </c>
      <c r="O11">
        <v>15.900700000000001</v>
      </c>
      <c r="U11">
        <v>11.111499999999999</v>
      </c>
      <c r="V11">
        <v>8.2608999999999995</v>
      </c>
      <c r="W11">
        <v>16.670000000000002</v>
      </c>
      <c r="Y11">
        <v>13.842499999999999</v>
      </c>
      <c r="Z11">
        <v>12.511200000000001</v>
      </c>
      <c r="AA11">
        <v>15.8756</v>
      </c>
    </row>
    <row r="12" spans="1:27" ht="18" customHeight="1">
      <c r="B12">
        <v>1200</v>
      </c>
      <c r="C12">
        <v>800</v>
      </c>
      <c r="E12">
        <v>13.533799999999999</v>
      </c>
      <c r="F12">
        <v>12.4747</v>
      </c>
      <c r="G12">
        <v>15.7075</v>
      </c>
      <c r="I12">
        <v>13.2615</v>
      </c>
      <c r="J12">
        <v>12.097799999999999</v>
      </c>
      <c r="K12">
        <v>15.696999999999999</v>
      </c>
      <c r="M12">
        <v>13.7065</v>
      </c>
      <c r="N12">
        <v>12.439299999999999</v>
      </c>
      <c r="O12">
        <v>16.4057</v>
      </c>
      <c r="Q12">
        <v>11.6302</v>
      </c>
      <c r="R12">
        <v>11.0565</v>
      </c>
      <c r="S12">
        <v>12.642300000000001</v>
      </c>
      <c r="U12">
        <v>12.9314</v>
      </c>
      <c r="V12">
        <v>11.290900000000001</v>
      </c>
      <c r="W12">
        <v>16.670000000000002</v>
      </c>
      <c r="Y12">
        <v>13.778700000000001</v>
      </c>
      <c r="Z12">
        <v>12.572100000000001</v>
      </c>
      <c r="AA12">
        <v>16.3491</v>
      </c>
    </row>
    <row r="13" spans="1:27" ht="18" customHeight="1">
      <c r="B13">
        <v>1300</v>
      </c>
      <c r="C13">
        <v>700</v>
      </c>
      <c r="E13">
        <v>12.573399999999999</v>
      </c>
      <c r="F13">
        <v>11.8931</v>
      </c>
      <c r="G13">
        <v>14.1813</v>
      </c>
      <c r="I13">
        <v>12.494</v>
      </c>
      <c r="J13">
        <v>11.809100000000001</v>
      </c>
      <c r="K13">
        <v>14.114800000000001</v>
      </c>
      <c r="M13">
        <v>12.9901</v>
      </c>
      <c r="N13">
        <v>11.6655</v>
      </c>
      <c r="O13">
        <v>16.4344</v>
      </c>
      <c r="U13">
        <v>12.3301</v>
      </c>
      <c r="V13">
        <v>10.7182</v>
      </c>
      <c r="W13">
        <v>16.670000000000002</v>
      </c>
      <c r="Y13">
        <v>13.2334</v>
      </c>
      <c r="Z13">
        <v>12.001300000000001</v>
      </c>
      <c r="AA13">
        <v>16.390599999999999</v>
      </c>
    </row>
    <row r="14" spans="1:27" ht="18" customHeight="1">
      <c r="B14">
        <v>1400</v>
      </c>
      <c r="C14">
        <v>600</v>
      </c>
      <c r="E14">
        <v>14.643700000000001</v>
      </c>
      <c r="F14">
        <v>14.7782</v>
      </c>
      <c r="G14">
        <v>14.2905</v>
      </c>
      <c r="I14">
        <v>14.643700000000001</v>
      </c>
      <c r="J14">
        <v>14.7782</v>
      </c>
      <c r="K14">
        <v>14.2905</v>
      </c>
      <c r="M14">
        <v>14.8161</v>
      </c>
      <c r="N14">
        <v>14.244400000000001</v>
      </c>
      <c r="O14">
        <v>16.485299999999999</v>
      </c>
      <c r="Q14">
        <v>14.527200000000001</v>
      </c>
      <c r="R14">
        <v>14.3391</v>
      </c>
      <c r="S14">
        <v>15.0166</v>
      </c>
      <c r="U14">
        <v>13.8314</v>
      </c>
      <c r="V14">
        <v>12.934100000000001</v>
      </c>
      <c r="W14">
        <v>16.670000000000002</v>
      </c>
      <c r="Y14">
        <v>14.3841</v>
      </c>
      <c r="Z14">
        <v>13.7125</v>
      </c>
      <c r="AA14">
        <v>16.392099999999999</v>
      </c>
    </row>
    <row r="15" spans="1:27" ht="18" customHeight="1">
      <c r="B15">
        <v>1500</v>
      </c>
      <c r="C15">
        <v>500</v>
      </c>
    </row>
    <row r="16" spans="1:27" ht="18" customHeight="1"/>
    <row r="17" spans="1:27" ht="18" customHeight="1">
      <c r="B17">
        <v>1000</v>
      </c>
      <c r="C17">
        <v>1400</v>
      </c>
      <c r="E17">
        <v>11.6044</v>
      </c>
      <c r="F17">
        <v>8.8373000000000008</v>
      </c>
      <c r="G17">
        <v>14.3065</v>
      </c>
      <c r="I17">
        <v>13.004300000000001</v>
      </c>
      <c r="J17">
        <v>10.9689</v>
      </c>
      <c r="K17">
        <v>14.9076</v>
      </c>
      <c r="M17">
        <v>12.271000000000001</v>
      </c>
      <c r="N17">
        <v>8.6384000000000007</v>
      </c>
      <c r="O17">
        <v>16.319500000000001</v>
      </c>
      <c r="Q17">
        <v>9.5235000000000003</v>
      </c>
      <c r="R17">
        <v>11.288</v>
      </c>
      <c r="S17">
        <v>8.3542000000000005</v>
      </c>
      <c r="U17">
        <v>10.6457</v>
      </c>
      <c r="V17">
        <v>6.0438000000000001</v>
      </c>
      <c r="W17">
        <v>16.670000000000002</v>
      </c>
      <c r="Y17">
        <v>12.541600000000001</v>
      </c>
      <c r="Z17">
        <v>9.5652000000000008</v>
      </c>
      <c r="AA17">
        <v>15.429</v>
      </c>
    </row>
    <row r="18" spans="1:27" ht="18" customHeight="1">
      <c r="B18">
        <v>1200</v>
      </c>
      <c r="C18">
        <v>1200</v>
      </c>
      <c r="E18">
        <v>11.203099999999999</v>
      </c>
      <c r="F18">
        <v>9.2243999999999993</v>
      </c>
      <c r="G18">
        <v>14.1014</v>
      </c>
      <c r="I18">
        <v>10.780799999999999</v>
      </c>
      <c r="J18">
        <v>8.5474999999999994</v>
      </c>
      <c r="K18">
        <v>14.029500000000001</v>
      </c>
      <c r="M18">
        <v>10.724299999999999</v>
      </c>
      <c r="N18">
        <v>7.5945999999999998</v>
      </c>
      <c r="O18">
        <v>16.167200000000001</v>
      </c>
      <c r="Q18">
        <v>9.8400999999999996</v>
      </c>
      <c r="R18">
        <v>9.1092999999999993</v>
      </c>
      <c r="S18">
        <v>10.646000000000001</v>
      </c>
      <c r="U18">
        <v>9.1935000000000002</v>
      </c>
      <c r="V18">
        <v>5.3887999999999998</v>
      </c>
      <c r="W18">
        <v>16.670000000000002</v>
      </c>
      <c r="Y18">
        <v>12.397500000000001</v>
      </c>
      <c r="Z18">
        <v>10.8865</v>
      </c>
      <c r="AA18">
        <v>14.453200000000001</v>
      </c>
    </row>
    <row r="19" spans="1:27" ht="18" customHeight="1">
      <c r="B19">
        <v>1400</v>
      </c>
      <c r="C19">
        <v>1000</v>
      </c>
      <c r="E19">
        <v>9.7118000000000002</v>
      </c>
      <c r="F19">
        <v>8.3574999999999999</v>
      </c>
      <c r="G19">
        <v>12.145200000000001</v>
      </c>
      <c r="I19">
        <v>10.104799999999999</v>
      </c>
      <c r="J19">
        <v>8.7159999999999993</v>
      </c>
      <c r="K19">
        <v>12.555300000000001</v>
      </c>
      <c r="M19">
        <v>9.8102999999999998</v>
      </c>
      <c r="N19">
        <v>7.0644</v>
      </c>
      <c r="O19">
        <v>16.0017</v>
      </c>
      <c r="Q19">
        <v>9.0388000000000002</v>
      </c>
      <c r="R19">
        <v>9.9765999999999995</v>
      </c>
      <c r="S19">
        <v>8.0455000000000005</v>
      </c>
      <c r="U19">
        <v>8.9702000000000002</v>
      </c>
      <c r="V19">
        <v>5.9741</v>
      </c>
      <c r="W19">
        <v>16.573</v>
      </c>
      <c r="Y19">
        <v>8.9132999999999996</v>
      </c>
      <c r="Z19">
        <v>6.9763999999999999</v>
      </c>
      <c r="AA19">
        <v>12.216900000000001</v>
      </c>
    </row>
    <row r="20" spans="1:27" ht="18" customHeight="1">
      <c r="B20">
        <v>800</v>
      </c>
      <c r="C20">
        <v>800</v>
      </c>
      <c r="E20">
        <v>15.4299</v>
      </c>
      <c r="F20">
        <v>14.801399999999999</v>
      </c>
      <c r="G20">
        <v>16.091899999999999</v>
      </c>
      <c r="I20">
        <v>15.4316</v>
      </c>
      <c r="J20">
        <v>14.803699999999999</v>
      </c>
      <c r="K20">
        <v>16.093</v>
      </c>
      <c r="M20">
        <v>15.318199999999999</v>
      </c>
      <c r="N20">
        <v>14.223100000000001</v>
      </c>
      <c r="O20">
        <v>16.530899999999999</v>
      </c>
      <c r="Q20">
        <v>15.2888</v>
      </c>
      <c r="R20">
        <v>14.8104</v>
      </c>
      <c r="S20">
        <v>15.7919</v>
      </c>
      <c r="U20">
        <v>13.8413</v>
      </c>
      <c r="V20">
        <v>11.692500000000001</v>
      </c>
      <c r="W20">
        <v>16.670000000000002</v>
      </c>
      <c r="Y20">
        <v>15.481400000000001</v>
      </c>
      <c r="Z20">
        <v>14.470499999999999</v>
      </c>
      <c r="AA20">
        <v>16.6005</v>
      </c>
    </row>
    <row r="21" spans="1:27" ht="18" customHeight="1"/>
    <row r="22" spans="1:27" ht="18" customHeight="1">
      <c r="B22">
        <v>500</v>
      </c>
      <c r="C22">
        <v>1500</v>
      </c>
    </row>
    <row r="23" spans="1:27" ht="18" customHeight="1">
      <c r="A23" t="s">
        <v>18</v>
      </c>
      <c r="B23">
        <v>600</v>
      </c>
      <c r="C23">
        <v>1400</v>
      </c>
      <c r="E23">
        <v>13.479900000000001</v>
      </c>
      <c r="F23">
        <v>9.7996999999999996</v>
      </c>
      <c r="G23">
        <v>15.7887</v>
      </c>
      <c r="I23">
        <v>13.5129</v>
      </c>
      <c r="J23">
        <v>9.7469999999999999</v>
      </c>
      <c r="K23">
        <v>15.7683</v>
      </c>
      <c r="M23">
        <v>12.7934</v>
      </c>
      <c r="N23">
        <v>7.9516</v>
      </c>
      <c r="O23">
        <v>16.563300000000002</v>
      </c>
      <c r="Q23">
        <v>14.8851</v>
      </c>
      <c r="R23">
        <v>15.0801</v>
      </c>
      <c r="S23">
        <v>14.795999999999999</v>
      </c>
      <c r="U23">
        <v>12.8253</v>
      </c>
      <c r="V23">
        <v>7.8875999999999999</v>
      </c>
      <c r="W23">
        <v>16.670000000000002</v>
      </c>
      <c r="Y23">
        <v>14.0992</v>
      </c>
      <c r="Z23">
        <v>10.3804</v>
      </c>
      <c r="AA23">
        <v>16.471800000000002</v>
      </c>
    </row>
    <row r="24" spans="1:27" ht="18" customHeight="1">
      <c r="B24">
        <v>700</v>
      </c>
      <c r="C24">
        <v>1300</v>
      </c>
      <c r="E24">
        <v>13.9321</v>
      </c>
      <c r="F24">
        <v>11.1097</v>
      </c>
      <c r="G24">
        <v>16.287400000000002</v>
      </c>
      <c r="I24">
        <v>14.088200000000001</v>
      </c>
      <c r="J24">
        <v>11.132999999999999</v>
      </c>
      <c r="K24">
        <v>16.441700000000001</v>
      </c>
      <c r="M24">
        <v>12.9946</v>
      </c>
      <c r="N24">
        <v>9.2561999999999998</v>
      </c>
      <c r="O24">
        <v>16.6159</v>
      </c>
      <c r="U24">
        <v>12.931900000000001</v>
      </c>
      <c r="V24">
        <v>9.0729000000000006</v>
      </c>
      <c r="W24">
        <v>16.670000000000002</v>
      </c>
      <c r="Y24">
        <v>14.0883</v>
      </c>
      <c r="Z24">
        <v>11.1754</v>
      </c>
      <c r="AA24">
        <v>16.511700000000001</v>
      </c>
    </row>
    <row r="25" spans="1:27" ht="18" customHeight="1">
      <c r="B25">
        <v>800</v>
      </c>
      <c r="C25">
        <v>1200</v>
      </c>
      <c r="E25">
        <v>14.5335</v>
      </c>
      <c r="F25">
        <v>13.5471</v>
      </c>
      <c r="G25">
        <v>15.2316</v>
      </c>
      <c r="I25">
        <v>14.5335</v>
      </c>
      <c r="J25">
        <v>13.5471</v>
      </c>
      <c r="K25">
        <v>15.2316</v>
      </c>
      <c r="M25">
        <v>14.2334</v>
      </c>
      <c r="N25">
        <v>11.4625</v>
      </c>
      <c r="O25">
        <v>16.458100000000002</v>
      </c>
      <c r="Q25">
        <v>13.360300000000001</v>
      </c>
      <c r="R25">
        <v>13.551</v>
      </c>
      <c r="S25">
        <v>13.231</v>
      </c>
      <c r="U25">
        <v>12.6439</v>
      </c>
      <c r="V25">
        <v>8.5342000000000002</v>
      </c>
      <c r="W25">
        <v>16.670000000000002</v>
      </c>
      <c r="Y25">
        <v>14.507400000000001</v>
      </c>
      <c r="Z25">
        <v>14.1609</v>
      </c>
      <c r="AA25">
        <v>14.752700000000001</v>
      </c>
    </row>
    <row r="26" spans="1:27" ht="18" customHeight="1">
      <c r="B26">
        <v>900</v>
      </c>
      <c r="C26">
        <v>1100</v>
      </c>
      <c r="E26">
        <v>13.9481</v>
      </c>
      <c r="F26">
        <v>13.4636</v>
      </c>
      <c r="G26">
        <v>14.3531</v>
      </c>
      <c r="I26">
        <v>13.735300000000001</v>
      </c>
      <c r="J26">
        <v>12.8187</v>
      </c>
      <c r="K26">
        <v>14.5405</v>
      </c>
      <c r="M26">
        <v>12.9489</v>
      </c>
      <c r="N26">
        <v>9.8557000000000006</v>
      </c>
      <c r="O26">
        <v>16.410799999999998</v>
      </c>
      <c r="U26">
        <v>13.3607</v>
      </c>
      <c r="V26">
        <v>10.2317</v>
      </c>
      <c r="W26">
        <v>16.647500000000001</v>
      </c>
      <c r="Y26">
        <v>13.1204</v>
      </c>
      <c r="Z26">
        <v>11.3337</v>
      </c>
      <c r="AA26">
        <v>14.8263</v>
      </c>
    </row>
    <row r="27" spans="1:27" ht="18" customHeight="1">
      <c r="B27">
        <v>1000</v>
      </c>
      <c r="C27">
        <v>1000</v>
      </c>
      <c r="E27">
        <v>12.579800000000001</v>
      </c>
      <c r="F27">
        <v>10.557499999999999</v>
      </c>
      <c r="G27">
        <v>15.1586</v>
      </c>
      <c r="I27">
        <v>12.583500000000001</v>
      </c>
      <c r="J27">
        <v>10.559699999999999</v>
      </c>
      <c r="K27">
        <v>15.164099999999999</v>
      </c>
      <c r="M27">
        <v>12.8102</v>
      </c>
      <c r="N27">
        <v>10.2006</v>
      </c>
      <c r="O27">
        <v>16.212399999999999</v>
      </c>
      <c r="Q27">
        <v>11.5907</v>
      </c>
      <c r="R27">
        <v>12.665699999999999</v>
      </c>
      <c r="S27">
        <v>10.5411</v>
      </c>
      <c r="U27">
        <v>12.289199999999999</v>
      </c>
      <c r="V27">
        <v>9.2216000000000005</v>
      </c>
      <c r="W27">
        <v>16.6495</v>
      </c>
      <c r="Y27">
        <v>13.1699</v>
      </c>
      <c r="Z27">
        <v>10.921099999999999</v>
      </c>
      <c r="AA27">
        <v>16.107399999999998</v>
      </c>
    </row>
    <row r="28" spans="1:27" ht="18" customHeight="1">
      <c r="B28">
        <v>1100</v>
      </c>
      <c r="C28">
        <v>900</v>
      </c>
      <c r="E28">
        <v>12.673400000000001</v>
      </c>
      <c r="F28">
        <v>11.3073</v>
      </c>
      <c r="G28">
        <v>14.8286</v>
      </c>
      <c r="I28">
        <v>12.832000000000001</v>
      </c>
      <c r="J28">
        <v>11.23</v>
      </c>
      <c r="K28">
        <v>15.5001</v>
      </c>
      <c r="M28">
        <v>10.9854</v>
      </c>
      <c r="N28">
        <v>8.7728000000000002</v>
      </c>
      <c r="O28">
        <v>15.749000000000001</v>
      </c>
      <c r="U28">
        <v>9.9847999999999999</v>
      </c>
      <c r="V28">
        <v>7.1547000000000001</v>
      </c>
      <c r="W28">
        <v>16.670000000000002</v>
      </c>
      <c r="Y28">
        <v>13.3378</v>
      </c>
      <c r="Z28">
        <v>11.9704</v>
      </c>
      <c r="AA28">
        <v>15.732200000000001</v>
      </c>
    </row>
    <row r="29" spans="1:27" ht="18" customHeight="1">
      <c r="B29">
        <v>1200</v>
      </c>
      <c r="C29">
        <v>800</v>
      </c>
      <c r="E29">
        <v>12.8681</v>
      </c>
      <c r="F29">
        <v>11.7501</v>
      </c>
      <c r="G29">
        <v>15.562900000000001</v>
      </c>
      <c r="I29">
        <v>12.5153</v>
      </c>
      <c r="J29">
        <v>11.290800000000001</v>
      </c>
      <c r="K29">
        <v>15.544700000000001</v>
      </c>
      <c r="M29">
        <v>13.0367</v>
      </c>
      <c r="N29">
        <v>11.7624</v>
      </c>
      <c r="O29">
        <v>16.284600000000001</v>
      </c>
      <c r="Q29">
        <v>10.529</v>
      </c>
      <c r="R29">
        <v>10.043699999999999</v>
      </c>
      <c r="S29">
        <v>11.4727</v>
      </c>
      <c r="U29">
        <v>12.0768</v>
      </c>
      <c r="V29">
        <v>10.418900000000001</v>
      </c>
      <c r="W29">
        <v>16.670000000000002</v>
      </c>
      <c r="Y29">
        <v>13.1305</v>
      </c>
      <c r="Z29">
        <v>11.925700000000001</v>
      </c>
      <c r="AA29">
        <v>16.2012</v>
      </c>
    </row>
    <row r="30" spans="1:27" ht="18" customHeight="1">
      <c r="B30">
        <v>1300</v>
      </c>
      <c r="C30">
        <v>700</v>
      </c>
      <c r="E30">
        <v>11.6532</v>
      </c>
      <c r="F30">
        <v>11.0716</v>
      </c>
      <c r="G30">
        <v>13.3123</v>
      </c>
      <c r="I30">
        <v>11.552199999999999</v>
      </c>
      <c r="J30">
        <v>10.9704</v>
      </c>
      <c r="K30">
        <v>13.214399999999999</v>
      </c>
      <c r="M30">
        <v>12.1496</v>
      </c>
      <c r="N30">
        <v>10.875500000000001</v>
      </c>
      <c r="O30">
        <v>16.313099999999999</v>
      </c>
      <c r="U30">
        <v>11.3127</v>
      </c>
      <c r="V30">
        <v>9.7485999999999997</v>
      </c>
      <c r="W30">
        <v>16.670000000000002</v>
      </c>
      <c r="Y30">
        <v>12.454599999999999</v>
      </c>
      <c r="Z30">
        <v>11.272399999999999</v>
      </c>
      <c r="AA30">
        <v>16.2469</v>
      </c>
    </row>
    <row r="31" spans="1:27" ht="18" customHeight="1">
      <c r="B31">
        <v>1400</v>
      </c>
      <c r="C31">
        <v>600</v>
      </c>
      <c r="E31">
        <v>14.1785</v>
      </c>
      <c r="F31">
        <v>14.3819</v>
      </c>
      <c r="G31">
        <v>13.652900000000001</v>
      </c>
      <c r="I31">
        <v>14.1785</v>
      </c>
      <c r="J31">
        <v>14.3819</v>
      </c>
      <c r="K31">
        <v>13.652900000000001</v>
      </c>
      <c r="M31">
        <v>14.3988</v>
      </c>
      <c r="N31">
        <v>13.7089</v>
      </c>
      <c r="O31">
        <v>16.441800000000001</v>
      </c>
      <c r="Q31">
        <v>14.035399999999999</v>
      </c>
      <c r="R31">
        <v>13.8194</v>
      </c>
      <c r="S31">
        <v>14.5869</v>
      </c>
      <c r="U31">
        <v>13.2776</v>
      </c>
      <c r="V31">
        <v>12.2423</v>
      </c>
      <c r="W31">
        <v>16.670000000000002</v>
      </c>
      <c r="Y31">
        <v>13.9648</v>
      </c>
      <c r="Z31">
        <v>13.1959</v>
      </c>
      <c r="AA31">
        <v>16.308900000000001</v>
      </c>
    </row>
    <row r="32" spans="1:27" ht="18" customHeight="1">
      <c r="B32">
        <v>1500</v>
      </c>
      <c r="C32">
        <v>500</v>
      </c>
    </row>
    <row r="33" spans="1:31" ht="18" customHeight="1"/>
    <row r="34" spans="1:31" ht="18" customHeight="1">
      <c r="B34">
        <v>1000</v>
      </c>
      <c r="C34">
        <v>1400</v>
      </c>
      <c r="E34">
        <v>10.902900000000001</v>
      </c>
      <c r="F34">
        <v>7.5483000000000002</v>
      </c>
      <c r="G34">
        <v>14.228899999999999</v>
      </c>
      <c r="I34">
        <v>12.564500000000001</v>
      </c>
      <c r="J34">
        <v>9.9992999999999999</v>
      </c>
      <c r="K34">
        <v>14.9777</v>
      </c>
      <c r="M34">
        <v>11.499599999999999</v>
      </c>
      <c r="N34">
        <v>7.4421999999999997</v>
      </c>
      <c r="O34">
        <v>16.243400000000001</v>
      </c>
      <c r="Q34">
        <v>8.4795999999999996</v>
      </c>
      <c r="R34">
        <v>10.3254</v>
      </c>
      <c r="S34">
        <v>7.3391999999999999</v>
      </c>
      <c r="U34">
        <v>9.5817999999999994</v>
      </c>
      <c r="V34">
        <v>4.5834999999999999</v>
      </c>
      <c r="W34">
        <v>16.670000000000002</v>
      </c>
      <c r="Y34">
        <v>11.826499999999999</v>
      </c>
      <c r="Z34">
        <v>8.3611000000000004</v>
      </c>
      <c r="AA34">
        <v>15.2376</v>
      </c>
    </row>
    <row r="35" spans="1:31" ht="18" customHeight="1">
      <c r="B35">
        <v>1200</v>
      </c>
      <c r="C35">
        <v>1200</v>
      </c>
      <c r="E35">
        <v>10.142099999999999</v>
      </c>
      <c r="F35">
        <v>8.2727000000000004</v>
      </c>
      <c r="G35">
        <v>13.382</v>
      </c>
      <c r="I35">
        <v>9.6259999999999994</v>
      </c>
      <c r="J35">
        <v>7.4820000000000002</v>
      </c>
      <c r="K35">
        <v>13.298500000000001</v>
      </c>
      <c r="M35">
        <v>9.6691000000000003</v>
      </c>
      <c r="N35">
        <v>6.7236000000000002</v>
      </c>
      <c r="O35">
        <v>15.984400000000001</v>
      </c>
      <c r="Q35">
        <v>8.6653000000000002</v>
      </c>
      <c r="R35">
        <v>8.0365000000000002</v>
      </c>
      <c r="S35">
        <v>9.4147999999999996</v>
      </c>
      <c r="U35">
        <v>7.8255999999999997</v>
      </c>
      <c r="V35">
        <v>4.2725999999999997</v>
      </c>
      <c r="W35">
        <v>16.670000000000002</v>
      </c>
      <c r="Y35">
        <v>11.6183</v>
      </c>
      <c r="Z35">
        <v>10.061299999999999</v>
      </c>
      <c r="AA35">
        <v>14.1004</v>
      </c>
    </row>
    <row r="36" spans="1:31" ht="18" customHeight="1">
      <c r="B36">
        <v>1400</v>
      </c>
      <c r="C36">
        <v>1000</v>
      </c>
      <c r="E36">
        <v>8.8406000000000002</v>
      </c>
      <c r="F36">
        <v>7.3026999999999997</v>
      </c>
      <c r="G36">
        <v>11.786300000000001</v>
      </c>
      <c r="I36">
        <v>9.3031000000000006</v>
      </c>
      <c r="J36">
        <v>7.6769999999999996</v>
      </c>
      <c r="K36">
        <v>12.353199999999999</v>
      </c>
      <c r="M36">
        <v>8.657</v>
      </c>
      <c r="N36">
        <v>5.8148999999999997</v>
      </c>
      <c r="O36">
        <v>15.9512</v>
      </c>
      <c r="Q36">
        <v>8.1417000000000002</v>
      </c>
      <c r="R36">
        <v>8.8209</v>
      </c>
      <c r="S36">
        <v>7.4579000000000004</v>
      </c>
      <c r="U36">
        <v>7.7656999999999998</v>
      </c>
      <c r="V36">
        <v>4.7904999999999998</v>
      </c>
      <c r="W36">
        <v>16.537800000000001</v>
      </c>
      <c r="Y36">
        <v>7.9035000000000002</v>
      </c>
      <c r="Z36">
        <v>5.7039</v>
      </c>
      <c r="AA36">
        <v>11.8408</v>
      </c>
    </row>
    <row r="37" spans="1:31" s="2" customFormat="1" ht="18" customHeight="1">
      <c r="B37" s="2">
        <v>800</v>
      </c>
      <c r="C37" s="2">
        <v>800</v>
      </c>
      <c r="E37" s="2">
        <v>15.1945</v>
      </c>
      <c r="F37" s="2">
        <v>14.4872</v>
      </c>
      <c r="G37" s="2">
        <v>15.9849</v>
      </c>
      <c r="I37" s="2">
        <v>15.1967</v>
      </c>
      <c r="J37" s="2">
        <v>14.4901</v>
      </c>
      <c r="K37" s="2">
        <v>15.986499999999999</v>
      </c>
      <c r="M37" s="2">
        <v>15.0509</v>
      </c>
      <c r="N37" s="2">
        <v>13.782</v>
      </c>
      <c r="O37" s="2">
        <v>16.563400000000001</v>
      </c>
      <c r="Q37" s="2">
        <v>15.016</v>
      </c>
      <c r="R37" s="2">
        <v>14.499499999999999</v>
      </c>
      <c r="S37" s="2">
        <v>15.591799999999999</v>
      </c>
      <c r="U37" s="2">
        <v>13.2834</v>
      </c>
      <c r="V37" s="2">
        <v>10.9796</v>
      </c>
      <c r="W37" s="2">
        <v>16.670000000000002</v>
      </c>
      <c r="Y37" s="2">
        <v>15.2591</v>
      </c>
      <c r="Z37" s="2">
        <v>14.087</v>
      </c>
      <c r="AA37" s="2">
        <v>16.655799999999999</v>
      </c>
    </row>
    <row r="38" spans="1:31" ht="18" customHeight="1"/>
    <row r="39" spans="1:31" ht="18" customHeight="1">
      <c r="A39" t="s">
        <v>14</v>
      </c>
      <c r="B39">
        <v>500</v>
      </c>
      <c r="C39">
        <v>1500</v>
      </c>
    </row>
    <row r="40" spans="1:31" ht="18" customHeight="1">
      <c r="A40" t="s">
        <v>19</v>
      </c>
      <c r="B40">
        <v>600</v>
      </c>
      <c r="C40">
        <v>1400</v>
      </c>
      <c r="E40">
        <v>13.4701</v>
      </c>
      <c r="F40">
        <v>9.1384000000000007</v>
      </c>
      <c r="G40">
        <v>16.136199999999999</v>
      </c>
      <c r="I40">
        <v>12.4244</v>
      </c>
      <c r="J40">
        <v>9.3874999999999993</v>
      </c>
      <c r="K40">
        <v>14.068300000000001</v>
      </c>
      <c r="M40">
        <v>13.5769</v>
      </c>
      <c r="N40">
        <v>8.7188999999999997</v>
      </c>
      <c r="O40">
        <v>16.602599999999999</v>
      </c>
      <c r="Q40">
        <v>11.994899999999999</v>
      </c>
      <c r="R40">
        <v>13.774699999999999</v>
      </c>
      <c r="S40">
        <v>11.3482</v>
      </c>
      <c r="U40">
        <v>12.7728</v>
      </c>
      <c r="V40">
        <v>7.2878999999999996</v>
      </c>
      <c r="W40">
        <v>16.670000000000002</v>
      </c>
      <c r="Y40">
        <v>13.617000000000001</v>
      </c>
      <c r="Z40">
        <v>8.8089999999999993</v>
      </c>
      <c r="AA40">
        <v>16.575700000000001</v>
      </c>
      <c r="AC40">
        <v>13.4697</v>
      </c>
      <c r="AD40">
        <v>9.1214999999999993</v>
      </c>
      <c r="AE40">
        <v>16.145399999999999</v>
      </c>
    </row>
    <row r="41" spans="1:31" ht="18" customHeight="1">
      <c r="A41" t="s">
        <v>16</v>
      </c>
      <c r="B41">
        <v>700</v>
      </c>
      <c r="C41">
        <v>1300</v>
      </c>
    </row>
    <row r="42" spans="1:31" ht="18" customHeight="1">
      <c r="A42" t="s">
        <v>17</v>
      </c>
      <c r="B42">
        <v>800</v>
      </c>
      <c r="C42">
        <v>1200</v>
      </c>
      <c r="E42">
        <v>14.1485</v>
      </c>
      <c r="F42">
        <v>12.051399999999999</v>
      </c>
      <c r="G42">
        <v>15.680899999999999</v>
      </c>
      <c r="I42">
        <v>14.125999999999999</v>
      </c>
      <c r="J42">
        <v>12.989699999999999</v>
      </c>
      <c r="K42">
        <v>15.540900000000001</v>
      </c>
      <c r="M42">
        <v>12.957000000000001</v>
      </c>
      <c r="N42">
        <v>8.9644999999999992</v>
      </c>
      <c r="O42">
        <v>16.603300000000001</v>
      </c>
      <c r="Q42">
        <v>12.6724</v>
      </c>
      <c r="R42">
        <v>13.6592</v>
      </c>
      <c r="S42">
        <v>12.041499999999999</v>
      </c>
      <c r="U42">
        <v>11.2956</v>
      </c>
      <c r="V42">
        <v>6.4324000000000003</v>
      </c>
      <c r="W42">
        <v>16.670000000000002</v>
      </c>
      <c r="Y42">
        <v>13.399800000000001</v>
      </c>
      <c r="Z42">
        <v>9.7713999999999999</v>
      </c>
      <c r="AA42">
        <v>16.5778</v>
      </c>
      <c r="AC42">
        <v>14.236499999999999</v>
      </c>
      <c r="AD42">
        <v>12.4999</v>
      </c>
      <c r="AE42">
        <v>15.489599999999999</v>
      </c>
    </row>
    <row r="43" spans="1:31" ht="18" customHeight="1">
      <c r="B43">
        <v>900</v>
      </c>
      <c r="C43">
        <v>1100</v>
      </c>
    </row>
    <row r="44" spans="1:31" ht="18" customHeight="1">
      <c r="B44">
        <v>1000</v>
      </c>
      <c r="C44">
        <v>1000</v>
      </c>
      <c r="E44">
        <v>11.1839</v>
      </c>
      <c r="F44">
        <v>9.0303000000000004</v>
      </c>
      <c r="G44">
        <v>14.2303</v>
      </c>
      <c r="I44">
        <v>10.9635</v>
      </c>
      <c r="J44">
        <v>9.34</v>
      </c>
      <c r="K44">
        <v>13.0487</v>
      </c>
      <c r="M44">
        <v>10.7782</v>
      </c>
      <c r="N44">
        <v>7.4444999999999997</v>
      </c>
      <c r="O44">
        <v>16.063800000000001</v>
      </c>
      <c r="Q44">
        <v>9.6902000000000008</v>
      </c>
      <c r="R44">
        <v>9.5586000000000002</v>
      </c>
      <c r="S44">
        <v>9.8303999999999991</v>
      </c>
      <c r="U44">
        <v>8.7502999999999993</v>
      </c>
      <c r="V44">
        <v>4.8916000000000004</v>
      </c>
      <c r="W44">
        <v>16.626000000000001</v>
      </c>
      <c r="Y44">
        <v>10.437200000000001</v>
      </c>
      <c r="Z44">
        <v>6.9253</v>
      </c>
      <c r="AA44">
        <v>16.347200000000001</v>
      </c>
      <c r="AC44">
        <v>10.973699999999999</v>
      </c>
      <c r="AD44">
        <v>8.8496000000000006</v>
      </c>
      <c r="AE44">
        <v>13.9642</v>
      </c>
    </row>
    <row r="45" spans="1:31" ht="18" customHeight="1">
      <c r="B45">
        <v>1100</v>
      </c>
      <c r="C45">
        <v>900</v>
      </c>
    </row>
    <row r="46" spans="1:31" ht="18" customHeight="1">
      <c r="B46">
        <v>1200</v>
      </c>
      <c r="C46">
        <v>800</v>
      </c>
      <c r="E46">
        <v>8.9654000000000007</v>
      </c>
      <c r="F46">
        <v>7.4340000000000002</v>
      </c>
      <c r="G46">
        <v>12.1897</v>
      </c>
      <c r="I46">
        <v>8.9654000000000007</v>
      </c>
      <c r="J46">
        <v>7.4340000000000002</v>
      </c>
      <c r="K46">
        <v>12.1897</v>
      </c>
      <c r="M46">
        <v>9.6430000000000007</v>
      </c>
      <c r="N46">
        <v>7.1443000000000003</v>
      </c>
      <c r="O46">
        <v>16.273900000000001</v>
      </c>
      <c r="Q46">
        <v>9.1818000000000008</v>
      </c>
      <c r="R46">
        <v>8.0816999999999997</v>
      </c>
      <c r="S46">
        <v>11.189299999999999</v>
      </c>
      <c r="U46">
        <v>6.9260000000000002</v>
      </c>
      <c r="V46">
        <v>4.0377000000000001</v>
      </c>
      <c r="W46">
        <v>16.645900000000001</v>
      </c>
      <c r="Y46">
        <v>8.9463000000000008</v>
      </c>
      <c r="Z46">
        <v>6.3368000000000002</v>
      </c>
      <c r="AA46">
        <v>16.215299999999999</v>
      </c>
      <c r="AC46">
        <v>10.411300000000001</v>
      </c>
      <c r="AD46">
        <v>9.0643999999999991</v>
      </c>
      <c r="AE46">
        <v>13.107699999999999</v>
      </c>
    </row>
    <row r="47" spans="1:31" ht="18" customHeight="1">
      <c r="B47">
        <v>1300</v>
      </c>
      <c r="C47">
        <v>700</v>
      </c>
    </row>
    <row r="48" spans="1:31" ht="18" customHeight="1">
      <c r="B48">
        <v>1400</v>
      </c>
      <c r="C48">
        <v>600</v>
      </c>
      <c r="E48">
        <v>10.397</v>
      </c>
      <c r="F48">
        <v>9.3216999999999999</v>
      </c>
      <c r="G48">
        <v>13.7658</v>
      </c>
      <c r="I48">
        <v>10.397</v>
      </c>
      <c r="J48">
        <v>9.3216999999999999</v>
      </c>
      <c r="K48">
        <v>13.7658</v>
      </c>
      <c r="M48">
        <v>10.3134</v>
      </c>
      <c r="N48">
        <v>8.8417999999999992</v>
      </c>
      <c r="O48">
        <v>15.609500000000001</v>
      </c>
      <c r="Q48">
        <v>10.385</v>
      </c>
      <c r="R48">
        <v>9.5798000000000005</v>
      </c>
      <c r="S48">
        <v>12.7037</v>
      </c>
      <c r="U48">
        <v>7.6138000000000003</v>
      </c>
      <c r="V48">
        <v>5.6433</v>
      </c>
      <c r="W48">
        <v>16.627400000000002</v>
      </c>
      <c r="Y48">
        <v>8.8567</v>
      </c>
      <c r="Z48">
        <v>7.0427999999999997</v>
      </c>
      <c r="AA48">
        <v>16.229900000000001</v>
      </c>
      <c r="AC48">
        <v>10.353999999999999</v>
      </c>
      <c r="AD48">
        <v>9.5105000000000004</v>
      </c>
      <c r="AE48">
        <v>12.739100000000001</v>
      </c>
    </row>
    <row r="49" spans="1:31" ht="18" customHeight="1">
      <c r="B49">
        <v>1500</v>
      </c>
      <c r="C49">
        <v>500</v>
      </c>
    </row>
    <row r="50" spans="1:31" ht="18" customHeight="1"/>
    <row r="51" spans="1:31" ht="18" customHeight="1">
      <c r="B51">
        <v>1000</v>
      </c>
      <c r="C51">
        <v>1400</v>
      </c>
      <c r="E51">
        <v>10.5913</v>
      </c>
      <c r="F51">
        <v>7.5242000000000004</v>
      </c>
      <c r="G51">
        <v>13.843</v>
      </c>
      <c r="I51">
        <v>10.879799999999999</v>
      </c>
      <c r="J51">
        <v>8.6476000000000006</v>
      </c>
      <c r="K51">
        <v>12.9931</v>
      </c>
      <c r="M51">
        <v>9.7720000000000002</v>
      </c>
      <c r="N51">
        <v>4.9865000000000004</v>
      </c>
      <c r="O51">
        <v>16.4834</v>
      </c>
      <c r="Q51">
        <v>9.9406999999999996</v>
      </c>
      <c r="R51">
        <v>10.0954</v>
      </c>
      <c r="S51">
        <v>9.8291000000000004</v>
      </c>
      <c r="U51">
        <v>8.8452000000000002</v>
      </c>
      <c r="V51">
        <v>3.9188999999999998</v>
      </c>
      <c r="W51">
        <v>16.567599999999999</v>
      </c>
      <c r="Y51">
        <v>10.267899999999999</v>
      </c>
      <c r="Z51">
        <v>5.6295999999999999</v>
      </c>
      <c r="AA51">
        <v>16.317699999999999</v>
      </c>
      <c r="AC51">
        <v>10.631600000000001</v>
      </c>
      <c r="AD51">
        <v>7.6035000000000004</v>
      </c>
      <c r="AE51">
        <v>13.842000000000001</v>
      </c>
    </row>
    <row r="52" spans="1:31" ht="18" customHeight="1">
      <c r="B52">
        <v>1200</v>
      </c>
      <c r="C52">
        <v>1200</v>
      </c>
      <c r="E52">
        <v>9.2119999999999997</v>
      </c>
      <c r="F52">
        <v>7.0834999999999999</v>
      </c>
      <c r="G52">
        <v>12.2753</v>
      </c>
      <c r="I52">
        <v>9.2119999999999997</v>
      </c>
      <c r="J52">
        <v>7.0834999999999999</v>
      </c>
      <c r="K52">
        <v>12.2753</v>
      </c>
      <c r="M52">
        <v>7.6597999999999997</v>
      </c>
      <c r="N52">
        <v>3.4773999999999998</v>
      </c>
      <c r="O52">
        <v>16.6678</v>
      </c>
      <c r="Q52">
        <v>9.4803999999999995</v>
      </c>
      <c r="R52">
        <v>8.1677999999999997</v>
      </c>
      <c r="S52">
        <v>11.055300000000001</v>
      </c>
      <c r="U52">
        <v>7.6597999999999997</v>
      </c>
      <c r="V52">
        <v>3.4773999999999998</v>
      </c>
      <c r="W52">
        <v>16.6678</v>
      </c>
      <c r="Y52">
        <v>8.4137000000000004</v>
      </c>
      <c r="Z52">
        <v>4.3509000000000002</v>
      </c>
      <c r="AA52">
        <v>16.493600000000001</v>
      </c>
      <c r="AC52">
        <v>9.2119999999999997</v>
      </c>
      <c r="AD52">
        <v>7.0834999999999999</v>
      </c>
      <c r="AE52">
        <v>12.2753</v>
      </c>
    </row>
    <row r="53" spans="1:31" ht="18" customHeight="1">
      <c r="B53">
        <v>1400</v>
      </c>
      <c r="C53">
        <v>1000</v>
      </c>
      <c r="E53">
        <v>8.9760000000000009</v>
      </c>
      <c r="F53">
        <v>7.6566000000000001</v>
      </c>
      <c r="G53">
        <v>11.093299999999999</v>
      </c>
      <c r="I53">
        <v>9.2751000000000001</v>
      </c>
      <c r="J53">
        <v>7.3110999999999997</v>
      </c>
      <c r="K53">
        <v>12.997999999999999</v>
      </c>
      <c r="M53">
        <v>7.1607000000000003</v>
      </c>
      <c r="N53">
        <v>4.2366999999999999</v>
      </c>
      <c r="O53">
        <v>16.332999999999998</v>
      </c>
      <c r="Q53">
        <v>9.0220000000000002</v>
      </c>
      <c r="R53">
        <v>7.9739000000000004</v>
      </c>
      <c r="S53">
        <v>10.632999999999999</v>
      </c>
      <c r="U53">
        <v>6.9814999999999996</v>
      </c>
      <c r="V53">
        <v>3.4866999999999999</v>
      </c>
      <c r="W53">
        <v>16.597200000000001</v>
      </c>
      <c r="Y53">
        <v>7.6106999999999996</v>
      </c>
      <c r="Z53">
        <v>4.2366999999999999</v>
      </c>
      <c r="AA53">
        <v>16.332999999999998</v>
      </c>
      <c r="AC53">
        <v>9.3041999999999998</v>
      </c>
      <c r="AD53">
        <v>7.8567</v>
      </c>
      <c r="AE53">
        <v>11.897399999999999</v>
      </c>
    </row>
    <row r="54" spans="1:31" ht="18" customHeight="1">
      <c r="B54">
        <v>800</v>
      </c>
      <c r="C54">
        <v>800</v>
      </c>
      <c r="E54">
        <v>14.484500000000001</v>
      </c>
      <c r="F54">
        <v>13.3424</v>
      </c>
      <c r="G54">
        <v>15.7468</v>
      </c>
      <c r="I54">
        <v>14.484500000000001</v>
      </c>
      <c r="J54">
        <v>13.3424</v>
      </c>
      <c r="K54">
        <v>15.7468</v>
      </c>
      <c r="M54">
        <v>13.6023</v>
      </c>
      <c r="N54">
        <v>11.2271</v>
      </c>
      <c r="O54">
        <v>16.465800000000002</v>
      </c>
      <c r="Q54">
        <v>13.404199999999999</v>
      </c>
      <c r="R54">
        <v>14.3619</v>
      </c>
      <c r="S54">
        <v>12.546200000000001</v>
      </c>
      <c r="U54">
        <v>10.615500000000001</v>
      </c>
      <c r="V54">
        <v>7.0049000000000001</v>
      </c>
      <c r="W54">
        <v>16.5214</v>
      </c>
      <c r="Y54">
        <v>11.8062</v>
      </c>
      <c r="Z54">
        <v>8.7140000000000004</v>
      </c>
      <c r="AA54">
        <v>16.1662</v>
      </c>
      <c r="AC54">
        <v>14.484500000000001</v>
      </c>
      <c r="AD54">
        <v>13.3424</v>
      </c>
      <c r="AE54">
        <v>15.7468</v>
      </c>
    </row>
    <row r="55" spans="1:31" ht="18" customHeight="1"/>
    <row r="56" spans="1:31" ht="18" customHeight="1">
      <c r="B56">
        <v>500</v>
      </c>
      <c r="C56">
        <v>1500</v>
      </c>
    </row>
    <row r="57" spans="1:31" ht="18" customHeight="1">
      <c r="A57" t="s">
        <v>18</v>
      </c>
      <c r="B57">
        <v>600</v>
      </c>
      <c r="C57">
        <v>1400</v>
      </c>
      <c r="E57">
        <v>12.8352</v>
      </c>
      <c r="F57">
        <v>8.2722999999999995</v>
      </c>
      <c r="G57">
        <v>16.069600000000001</v>
      </c>
      <c r="I57">
        <v>11.805999999999999</v>
      </c>
      <c r="J57">
        <v>8.2840000000000007</v>
      </c>
      <c r="K57">
        <v>13.9114</v>
      </c>
      <c r="M57">
        <v>13.0284</v>
      </c>
      <c r="N57">
        <v>7.8909000000000002</v>
      </c>
      <c r="O57">
        <v>16.670000000000002</v>
      </c>
      <c r="Q57">
        <v>11.373900000000001</v>
      </c>
      <c r="R57">
        <v>13.3414</v>
      </c>
      <c r="S57">
        <v>10.6564</v>
      </c>
      <c r="U57">
        <v>12.123200000000001</v>
      </c>
      <c r="V57">
        <v>6.6313000000000004</v>
      </c>
      <c r="W57">
        <v>16.670000000000002</v>
      </c>
      <c r="Y57">
        <v>13.0242</v>
      </c>
      <c r="Z57">
        <v>7.8823999999999996</v>
      </c>
      <c r="AA57">
        <v>16.668800000000001</v>
      </c>
      <c r="AC57">
        <v>12.834300000000001</v>
      </c>
      <c r="AD57">
        <v>8.2523</v>
      </c>
      <c r="AE57">
        <v>16.082100000000001</v>
      </c>
    </row>
    <row r="58" spans="1:31" ht="18" customHeight="1">
      <c r="B58">
        <v>700</v>
      </c>
      <c r="C58">
        <v>1300</v>
      </c>
    </row>
    <row r="59" spans="1:31" ht="18" customHeight="1">
      <c r="B59">
        <v>800</v>
      </c>
      <c r="C59">
        <v>1200</v>
      </c>
      <c r="E59">
        <v>13.7561</v>
      </c>
      <c r="F59">
        <v>11.315</v>
      </c>
      <c r="G59">
        <v>15.582700000000001</v>
      </c>
      <c r="I59">
        <v>13.728199999999999</v>
      </c>
      <c r="J59">
        <v>11.4842</v>
      </c>
      <c r="K59">
        <v>15.407299999999999</v>
      </c>
      <c r="M59">
        <v>12.3201</v>
      </c>
      <c r="N59">
        <v>7.8864999999999998</v>
      </c>
      <c r="O59">
        <v>16.669899999999998</v>
      </c>
      <c r="Q59">
        <v>11.9619</v>
      </c>
      <c r="R59">
        <v>13.266</v>
      </c>
      <c r="S59">
        <v>11.135</v>
      </c>
      <c r="U59">
        <v>10.467700000000001</v>
      </c>
      <c r="V59">
        <v>5.4025999999999996</v>
      </c>
      <c r="W59">
        <v>16.670000000000002</v>
      </c>
      <c r="Y59">
        <v>12.851000000000001</v>
      </c>
      <c r="Z59">
        <v>8.7949000000000002</v>
      </c>
      <c r="AA59">
        <v>16.6374</v>
      </c>
      <c r="AC59">
        <v>13.8637</v>
      </c>
      <c r="AD59">
        <v>11.855600000000001</v>
      </c>
      <c r="AE59">
        <v>15.3432</v>
      </c>
    </row>
    <row r="60" spans="1:31" ht="18" customHeight="1">
      <c r="B60">
        <v>900</v>
      </c>
      <c r="C60">
        <v>1100</v>
      </c>
    </row>
    <row r="61" spans="1:31" ht="18" customHeight="1">
      <c r="B61">
        <v>1000</v>
      </c>
      <c r="C61">
        <v>1000</v>
      </c>
      <c r="E61">
        <v>10.4377</v>
      </c>
      <c r="F61">
        <v>7.8635999999999999</v>
      </c>
      <c r="G61">
        <v>14.152900000000001</v>
      </c>
      <c r="I61">
        <v>10.176399999999999</v>
      </c>
      <c r="J61">
        <v>8.2012</v>
      </c>
      <c r="K61">
        <v>12.7065</v>
      </c>
      <c r="M61">
        <v>9.8663000000000007</v>
      </c>
      <c r="N61">
        <v>6.1414999999999997</v>
      </c>
      <c r="O61">
        <v>16.055700000000002</v>
      </c>
      <c r="Q61">
        <v>8.6552000000000007</v>
      </c>
      <c r="R61">
        <v>8.4009999999999998</v>
      </c>
      <c r="S61">
        <v>8.9146999999999998</v>
      </c>
      <c r="U61">
        <v>7.7519999999999998</v>
      </c>
      <c r="V61">
        <v>3.7749000000000001</v>
      </c>
      <c r="W61">
        <v>16.6172</v>
      </c>
      <c r="Y61">
        <v>9.4702000000000002</v>
      </c>
      <c r="Z61">
        <v>5.5838000000000001</v>
      </c>
      <c r="AA61">
        <v>16.4161</v>
      </c>
      <c r="AC61">
        <v>10.1814</v>
      </c>
      <c r="AD61">
        <v>7.6441999999999997</v>
      </c>
      <c r="AE61">
        <v>13.8216</v>
      </c>
    </row>
    <row r="62" spans="1:31" ht="18" customHeight="1">
      <c r="B62">
        <v>1100</v>
      </c>
      <c r="C62">
        <v>900</v>
      </c>
    </row>
    <row r="63" spans="1:31" ht="18" customHeight="1">
      <c r="B63">
        <v>1200</v>
      </c>
      <c r="C63">
        <v>800</v>
      </c>
      <c r="E63">
        <v>7.8056999999999999</v>
      </c>
      <c r="F63">
        <v>6.3094999999999999</v>
      </c>
      <c r="G63">
        <v>11.3741</v>
      </c>
      <c r="I63">
        <v>7.8056999999999999</v>
      </c>
      <c r="J63">
        <v>6.3094999999999999</v>
      </c>
      <c r="K63">
        <v>11.3741</v>
      </c>
      <c r="M63">
        <v>8.3450000000000006</v>
      </c>
      <c r="N63">
        <v>5.9069000000000003</v>
      </c>
      <c r="O63">
        <v>16.392299999999999</v>
      </c>
      <c r="Q63">
        <v>8.0830000000000002</v>
      </c>
      <c r="R63">
        <v>7.0224000000000002</v>
      </c>
      <c r="S63">
        <v>10.1913</v>
      </c>
      <c r="U63">
        <v>5.5244999999999997</v>
      </c>
      <c r="V63">
        <v>2.9643999999999999</v>
      </c>
      <c r="W63">
        <v>16.634499999999999</v>
      </c>
      <c r="Y63">
        <v>7.5589000000000004</v>
      </c>
      <c r="Z63">
        <v>5.0186000000000002</v>
      </c>
      <c r="AA63">
        <v>16.4297</v>
      </c>
      <c r="AC63">
        <v>9.3856000000000002</v>
      </c>
      <c r="AD63">
        <v>8.0314999999999994</v>
      </c>
      <c r="AE63">
        <v>12.446999999999999</v>
      </c>
    </row>
    <row r="64" spans="1:31" ht="18" customHeight="1">
      <c r="B64">
        <v>1300</v>
      </c>
      <c r="C64">
        <v>700</v>
      </c>
    </row>
    <row r="65" spans="1:31" ht="18" customHeight="1">
      <c r="B65">
        <v>1400</v>
      </c>
      <c r="C65">
        <v>600</v>
      </c>
      <c r="E65">
        <v>9.5556999999999999</v>
      </c>
      <c r="F65">
        <v>8.3467000000000002</v>
      </c>
      <c r="G65">
        <v>13.4472</v>
      </c>
      <c r="I65">
        <v>9.5556999999999999</v>
      </c>
      <c r="J65">
        <v>8.3467000000000002</v>
      </c>
      <c r="K65">
        <v>13.4472</v>
      </c>
      <c r="M65">
        <v>9.4196000000000009</v>
      </c>
      <c r="N65">
        <v>7.8403</v>
      </c>
      <c r="O65">
        <v>15.474600000000001</v>
      </c>
      <c r="Q65">
        <v>9.5455000000000005</v>
      </c>
      <c r="R65">
        <v>8.6403999999999996</v>
      </c>
      <c r="S65">
        <v>12.171200000000001</v>
      </c>
      <c r="U65">
        <v>6.4623999999999997</v>
      </c>
      <c r="V65">
        <v>4.4665999999999997</v>
      </c>
      <c r="W65">
        <v>16.6145</v>
      </c>
      <c r="Y65">
        <v>7.7176</v>
      </c>
      <c r="Z65">
        <v>5.7960000000000003</v>
      </c>
      <c r="AA65">
        <v>16.2742</v>
      </c>
      <c r="AC65">
        <v>9.4832000000000001</v>
      </c>
      <c r="AD65">
        <v>8.5230999999999995</v>
      </c>
      <c r="AE65">
        <v>12.2082</v>
      </c>
    </row>
    <row r="66" spans="1:31" ht="18" customHeight="1">
      <c r="B66">
        <v>1500</v>
      </c>
      <c r="C66">
        <v>500</v>
      </c>
    </row>
    <row r="67" spans="1:31" ht="18" customHeight="1"/>
    <row r="68" spans="1:31" ht="18" customHeight="1">
      <c r="B68">
        <v>1000</v>
      </c>
      <c r="C68">
        <v>1400</v>
      </c>
      <c r="E68">
        <v>9.76</v>
      </c>
      <c r="F68">
        <v>6.1687000000000003</v>
      </c>
      <c r="G68">
        <v>13.684699999999999</v>
      </c>
      <c r="I68">
        <v>10.114000000000001</v>
      </c>
      <c r="J68">
        <v>7.4443000000000001</v>
      </c>
      <c r="K68">
        <v>12.654500000000001</v>
      </c>
      <c r="M68">
        <v>8.7599</v>
      </c>
      <c r="N68">
        <v>3.7122999999999999</v>
      </c>
      <c r="O68">
        <v>16.4937</v>
      </c>
      <c r="Q68">
        <v>9.0739999999999998</v>
      </c>
      <c r="R68">
        <v>9.0833999999999993</v>
      </c>
      <c r="S68">
        <v>9.0676000000000005</v>
      </c>
      <c r="U68">
        <v>7.8242000000000003</v>
      </c>
      <c r="V68">
        <v>2.7946</v>
      </c>
      <c r="W68">
        <v>16.5396</v>
      </c>
      <c r="Y68">
        <v>9.2797999999999998</v>
      </c>
      <c r="Z68">
        <v>4.1961000000000004</v>
      </c>
      <c r="AA68">
        <v>16.430800000000001</v>
      </c>
      <c r="AC68">
        <v>9.8093000000000004</v>
      </c>
      <c r="AD68">
        <v>6.2641999999999998</v>
      </c>
      <c r="AE68">
        <v>13.683400000000001</v>
      </c>
    </row>
    <row r="69" spans="1:31" ht="18" customHeight="1">
      <c r="B69">
        <v>1200</v>
      </c>
      <c r="C69">
        <v>1200</v>
      </c>
      <c r="E69">
        <v>8.0818999999999992</v>
      </c>
      <c r="F69">
        <v>5.9367999999999999</v>
      </c>
      <c r="G69">
        <v>11.6349</v>
      </c>
      <c r="I69">
        <v>8.0818999999999992</v>
      </c>
      <c r="J69">
        <v>5.9367999999999999</v>
      </c>
      <c r="K69">
        <v>11.6349</v>
      </c>
      <c r="M69">
        <v>6.1596000000000002</v>
      </c>
      <c r="N69">
        <v>2.3527999999999998</v>
      </c>
      <c r="O69">
        <v>16.666699999999999</v>
      </c>
      <c r="Q69">
        <v>8.4123999999999999</v>
      </c>
      <c r="R69">
        <v>7.1082999999999998</v>
      </c>
      <c r="S69">
        <v>10.131</v>
      </c>
      <c r="U69">
        <v>6.1596000000000002</v>
      </c>
      <c r="V69">
        <v>2.3527999999999998</v>
      </c>
      <c r="W69">
        <v>16.666699999999999</v>
      </c>
      <c r="Y69">
        <v>6.9172000000000002</v>
      </c>
      <c r="Z69">
        <v>3.0628000000000002</v>
      </c>
      <c r="AA69">
        <v>16.665500000000002</v>
      </c>
      <c r="AC69">
        <v>8.0818999999999992</v>
      </c>
      <c r="AD69">
        <v>5.9367999999999999</v>
      </c>
      <c r="AE69">
        <v>11.6349</v>
      </c>
    </row>
    <row r="70" spans="1:31" ht="18" customHeight="1">
      <c r="B70">
        <v>1400</v>
      </c>
      <c r="C70">
        <v>1000</v>
      </c>
      <c r="E70">
        <v>7.8498000000000001</v>
      </c>
      <c r="F70">
        <v>6.5086000000000004</v>
      </c>
      <c r="G70">
        <v>10.0794</v>
      </c>
      <c r="I70">
        <v>8.1877999999999993</v>
      </c>
      <c r="J70">
        <v>6.1543999999999999</v>
      </c>
      <c r="K70">
        <v>12.3447</v>
      </c>
      <c r="M70">
        <v>6.2206000000000001</v>
      </c>
      <c r="N70">
        <v>2.8466999999999998</v>
      </c>
      <c r="O70">
        <v>16.424099999999999</v>
      </c>
      <c r="Q70">
        <v>7.9218999999999999</v>
      </c>
      <c r="R70">
        <v>6.8821000000000003</v>
      </c>
      <c r="S70">
        <v>9.5610999999999997</v>
      </c>
      <c r="U70">
        <v>5.5655000000000001</v>
      </c>
      <c r="V70">
        <v>2.1688999999999998</v>
      </c>
      <c r="W70">
        <v>16.570699999999999</v>
      </c>
      <c r="Y70">
        <v>6.2206000000000001</v>
      </c>
      <c r="Z70">
        <v>2.8466999999999998</v>
      </c>
      <c r="AA70">
        <v>16.424099999999999</v>
      </c>
      <c r="AC70">
        <v>8.2287999999999997</v>
      </c>
      <c r="AD70">
        <v>6.7820999999999998</v>
      </c>
      <c r="AE70">
        <v>10.9849</v>
      </c>
    </row>
    <row r="71" spans="1:31" ht="18" customHeight="1">
      <c r="B71">
        <v>800</v>
      </c>
      <c r="C71">
        <v>800</v>
      </c>
      <c r="E71">
        <v>14.1624</v>
      </c>
      <c r="F71">
        <v>12.861499999999999</v>
      </c>
      <c r="G71">
        <v>15.694000000000001</v>
      </c>
      <c r="I71">
        <v>14.1624</v>
      </c>
      <c r="J71">
        <v>12.861499999999999</v>
      </c>
      <c r="K71">
        <v>15.694000000000001</v>
      </c>
      <c r="M71">
        <v>13.058400000000001</v>
      </c>
      <c r="N71">
        <v>10.3264</v>
      </c>
      <c r="O71">
        <v>16.643799999999999</v>
      </c>
      <c r="Q71">
        <v>12.8324</v>
      </c>
      <c r="R71">
        <v>14.1036</v>
      </c>
      <c r="S71">
        <v>11.686999999999999</v>
      </c>
      <c r="U71">
        <v>9.6472999999999995</v>
      </c>
      <c r="V71">
        <v>6.0183</v>
      </c>
      <c r="W71">
        <v>16.473199999999999</v>
      </c>
      <c r="Y71">
        <v>10.9209</v>
      </c>
      <c r="Z71">
        <v>7.6230000000000002</v>
      </c>
      <c r="AA71">
        <v>16.126799999999999</v>
      </c>
      <c r="AC71">
        <v>14.1624</v>
      </c>
      <c r="AD71">
        <v>12.861499999999999</v>
      </c>
      <c r="AE71">
        <v>15.694000000000001</v>
      </c>
    </row>
    <row r="72" spans="1:31" ht="18" customHeight="1"/>
    <row r="73" spans="1:31" ht="18" customHeight="1">
      <c r="B73">
        <v>500</v>
      </c>
      <c r="C73">
        <v>1500</v>
      </c>
    </row>
    <row r="74" spans="1:31" ht="18" customHeight="1">
      <c r="A74" t="s">
        <v>20</v>
      </c>
      <c r="B74">
        <v>600</v>
      </c>
      <c r="C74">
        <v>1400</v>
      </c>
      <c r="E74">
        <v>11.7004</v>
      </c>
      <c r="F74">
        <v>7.0076999999999998</v>
      </c>
      <c r="G74">
        <v>15.621</v>
      </c>
      <c r="I74">
        <v>11.245200000000001</v>
      </c>
      <c r="J74">
        <v>7.2865000000000002</v>
      </c>
      <c r="K74">
        <v>14.336499999999999</v>
      </c>
      <c r="M74">
        <v>12.0083</v>
      </c>
      <c r="N74">
        <v>6.4284999999999997</v>
      </c>
      <c r="O74">
        <v>16.670000000000002</v>
      </c>
      <c r="Q74">
        <v>10.1309</v>
      </c>
      <c r="R74">
        <v>12.157400000000001</v>
      </c>
      <c r="S74">
        <v>9.3124000000000002</v>
      </c>
      <c r="U74">
        <v>11.291</v>
      </c>
      <c r="V74">
        <v>5.5331000000000001</v>
      </c>
      <c r="W74">
        <v>16.670000000000002</v>
      </c>
      <c r="Y74">
        <v>12.0083</v>
      </c>
      <c r="Z74">
        <v>6.4284999999999997</v>
      </c>
      <c r="AA74">
        <v>16.670000000000002</v>
      </c>
      <c r="AC74">
        <v>11.6988</v>
      </c>
      <c r="AD74">
        <v>6.9779</v>
      </c>
      <c r="AE74">
        <v>15.642899999999999</v>
      </c>
    </row>
    <row r="75" spans="1:31" ht="18" customHeight="1">
      <c r="B75">
        <v>700</v>
      </c>
      <c r="C75">
        <v>1300</v>
      </c>
    </row>
    <row r="76" spans="1:31" ht="18" customHeight="1">
      <c r="B76">
        <v>800</v>
      </c>
      <c r="C76">
        <v>1200</v>
      </c>
      <c r="E76">
        <v>12.3592</v>
      </c>
      <c r="F76">
        <v>8.8973999999999993</v>
      </c>
      <c r="G76">
        <v>15.1258</v>
      </c>
      <c r="I76">
        <v>12.313499999999999</v>
      </c>
      <c r="J76">
        <v>9.1640999999999995</v>
      </c>
      <c r="K76">
        <v>14.830399999999999</v>
      </c>
      <c r="M76">
        <v>10.6927</v>
      </c>
      <c r="N76">
        <v>5.3205</v>
      </c>
      <c r="O76">
        <v>16.670000000000002</v>
      </c>
      <c r="Q76">
        <v>9.6410999999999998</v>
      </c>
      <c r="R76">
        <v>11.856999999999999</v>
      </c>
      <c r="S76">
        <v>8.2850999999999999</v>
      </c>
      <c r="U76">
        <v>8.9974000000000007</v>
      </c>
      <c r="V76">
        <v>3.5733999999999999</v>
      </c>
      <c r="W76">
        <v>16.670000000000002</v>
      </c>
      <c r="Y76">
        <v>11.5001</v>
      </c>
      <c r="Z76">
        <v>6.4798</v>
      </c>
      <c r="AA76">
        <v>16.6676</v>
      </c>
      <c r="AC76">
        <v>12.525</v>
      </c>
      <c r="AD76">
        <v>9.7040000000000006</v>
      </c>
      <c r="AE76">
        <v>14.7247</v>
      </c>
    </row>
    <row r="77" spans="1:31" ht="18" customHeight="1">
      <c r="B77">
        <v>900</v>
      </c>
      <c r="C77">
        <v>1100</v>
      </c>
    </row>
    <row r="78" spans="1:31" ht="18" customHeight="1">
      <c r="B78">
        <v>1000</v>
      </c>
      <c r="C78">
        <v>1000</v>
      </c>
      <c r="E78">
        <v>9.2957999999999998</v>
      </c>
      <c r="F78">
        <v>6.1726999999999999</v>
      </c>
      <c r="G78">
        <v>13.5695</v>
      </c>
      <c r="I78">
        <v>8.9070999999999998</v>
      </c>
      <c r="J78">
        <v>6.6295000000000002</v>
      </c>
      <c r="K78">
        <v>11.493</v>
      </c>
      <c r="M78">
        <v>8.8064</v>
      </c>
      <c r="N78">
        <v>3.9317000000000002</v>
      </c>
      <c r="O78">
        <v>16.6492</v>
      </c>
      <c r="Q78">
        <v>6.742</v>
      </c>
      <c r="R78">
        <v>6.0171999999999999</v>
      </c>
      <c r="S78">
        <v>7.4119999999999999</v>
      </c>
      <c r="U78">
        <v>7.0571999999999999</v>
      </c>
      <c r="V78">
        <v>2.391</v>
      </c>
      <c r="W78">
        <v>16.670000000000002</v>
      </c>
      <c r="Y78">
        <v>8.3775999999999993</v>
      </c>
      <c r="Z78">
        <v>3.4708000000000001</v>
      </c>
      <c r="AA78">
        <v>16.669499999999999</v>
      </c>
      <c r="AC78">
        <v>8.8930000000000007</v>
      </c>
      <c r="AD78">
        <v>5.8175999999999997</v>
      </c>
      <c r="AE78">
        <v>13.0633</v>
      </c>
    </row>
    <row r="79" spans="1:31" ht="18" customHeight="1">
      <c r="B79">
        <v>1100</v>
      </c>
      <c r="C79">
        <v>900</v>
      </c>
    </row>
    <row r="80" spans="1:31" ht="18" customHeight="1">
      <c r="B80">
        <v>1200</v>
      </c>
      <c r="C80">
        <v>800</v>
      </c>
      <c r="E80">
        <v>6.6986999999999997</v>
      </c>
      <c r="F80">
        <v>5.1725000000000003</v>
      </c>
      <c r="G80">
        <v>11.9856</v>
      </c>
      <c r="I80">
        <v>6.6986999999999997</v>
      </c>
      <c r="J80">
        <v>5.1725000000000003</v>
      </c>
      <c r="K80">
        <v>11.9856</v>
      </c>
      <c r="M80">
        <v>6.2752999999999997</v>
      </c>
      <c r="N80">
        <v>4.2381000000000002</v>
      </c>
      <c r="O80">
        <v>16.566700000000001</v>
      </c>
      <c r="Q80">
        <v>7.2938999999999998</v>
      </c>
      <c r="R80">
        <v>5.5910000000000002</v>
      </c>
      <c r="S80">
        <v>12.045</v>
      </c>
      <c r="U80">
        <v>3.8372000000000002</v>
      </c>
      <c r="V80">
        <v>1.774</v>
      </c>
      <c r="W80">
        <v>16.670000000000002</v>
      </c>
      <c r="Y80">
        <v>5.4749999999999996</v>
      </c>
      <c r="Z80">
        <v>3.4392999999999998</v>
      </c>
      <c r="AA80">
        <v>16.576499999999999</v>
      </c>
      <c r="AC80">
        <v>8.4307999999999996</v>
      </c>
      <c r="AD80">
        <v>6.8392999999999997</v>
      </c>
      <c r="AE80">
        <v>13.663500000000001</v>
      </c>
    </row>
    <row r="81" spans="1:31" ht="18" customHeight="1">
      <c r="B81">
        <v>1300</v>
      </c>
      <c r="C81">
        <v>700</v>
      </c>
    </row>
    <row r="82" spans="1:31" ht="18" customHeight="1">
      <c r="B82">
        <v>1400</v>
      </c>
      <c r="C82">
        <v>600</v>
      </c>
      <c r="E82">
        <v>8.0488</v>
      </c>
      <c r="F82">
        <v>6.5641999999999996</v>
      </c>
      <c r="G82">
        <v>14.7773</v>
      </c>
      <c r="I82">
        <v>8.0488</v>
      </c>
      <c r="J82">
        <v>6.5641999999999996</v>
      </c>
      <c r="K82">
        <v>14.7773</v>
      </c>
      <c r="M82">
        <v>7.5170000000000003</v>
      </c>
      <c r="N82">
        <v>5.7016999999999998</v>
      </c>
      <c r="O82">
        <v>15.983599999999999</v>
      </c>
      <c r="Q82">
        <v>8.2818000000000005</v>
      </c>
      <c r="R82">
        <v>6.8977000000000004</v>
      </c>
      <c r="S82">
        <v>13.340400000000001</v>
      </c>
      <c r="U82">
        <v>4.3917000000000002</v>
      </c>
      <c r="V82">
        <v>2.5222000000000002</v>
      </c>
      <c r="W82">
        <v>16.554300000000001</v>
      </c>
      <c r="Y82">
        <v>5.5735999999999999</v>
      </c>
      <c r="Z82">
        <v>3.7515999999999998</v>
      </c>
      <c r="AA82">
        <v>16.2531</v>
      </c>
      <c r="AC82">
        <v>7.9786999999999999</v>
      </c>
      <c r="AD82">
        <v>6.6776999999999997</v>
      </c>
      <c r="AE82">
        <v>12.5867</v>
      </c>
    </row>
    <row r="83" spans="1:31" ht="18" customHeight="1">
      <c r="B83">
        <v>1500</v>
      </c>
      <c r="C83">
        <v>500</v>
      </c>
    </row>
    <row r="84" spans="1:31" ht="18" customHeight="1"/>
    <row r="85" spans="1:31" ht="18" customHeight="1">
      <c r="B85">
        <v>1000</v>
      </c>
      <c r="C85">
        <v>1400</v>
      </c>
      <c r="E85">
        <v>8.4204000000000008</v>
      </c>
      <c r="F85">
        <v>4.5732999999999997</v>
      </c>
      <c r="G85">
        <v>12.782400000000001</v>
      </c>
      <c r="I85">
        <v>9.0352999999999994</v>
      </c>
      <c r="J85">
        <v>6.2674000000000003</v>
      </c>
      <c r="K85">
        <v>11.579000000000001</v>
      </c>
      <c r="M85">
        <v>7.8334000000000001</v>
      </c>
      <c r="N85">
        <v>2.4594</v>
      </c>
      <c r="O85">
        <v>16.534700000000001</v>
      </c>
      <c r="Q85">
        <v>8.3023000000000007</v>
      </c>
      <c r="R85">
        <v>7.5602</v>
      </c>
      <c r="S85">
        <v>8.8325999999999993</v>
      </c>
      <c r="U85">
        <v>7.1192000000000002</v>
      </c>
      <c r="V85">
        <v>1.8744000000000001</v>
      </c>
      <c r="W85">
        <v>16.5289</v>
      </c>
      <c r="Y85">
        <v>8.2142999999999997</v>
      </c>
      <c r="Z85">
        <v>2.7953999999999999</v>
      </c>
      <c r="AA85">
        <v>16.526399999999999</v>
      </c>
      <c r="AC85">
        <v>8.5014000000000003</v>
      </c>
      <c r="AD85">
        <v>4.7275999999999998</v>
      </c>
      <c r="AE85">
        <v>12.780200000000001</v>
      </c>
    </row>
    <row r="86" spans="1:31" ht="18" customHeight="1">
      <c r="B86">
        <v>1200</v>
      </c>
      <c r="C86">
        <v>1200</v>
      </c>
      <c r="E86">
        <v>6.9291</v>
      </c>
      <c r="F86">
        <v>4.9385000000000003</v>
      </c>
      <c r="G86">
        <v>10.7935</v>
      </c>
      <c r="I86">
        <v>6.9291</v>
      </c>
      <c r="J86">
        <v>4.9385000000000003</v>
      </c>
      <c r="K86">
        <v>10.7935</v>
      </c>
      <c r="M86">
        <v>4.9036</v>
      </c>
      <c r="N86">
        <v>1.246</v>
      </c>
      <c r="O86">
        <v>16.663799999999998</v>
      </c>
      <c r="Q86">
        <v>7.5959000000000003</v>
      </c>
      <c r="R86">
        <v>5.7717999999999998</v>
      </c>
      <c r="S86">
        <v>10.3749</v>
      </c>
      <c r="U86">
        <v>4.9036</v>
      </c>
      <c r="V86">
        <v>1.246</v>
      </c>
      <c r="W86">
        <v>16.663799999999998</v>
      </c>
      <c r="Y86">
        <v>5.3560999999999996</v>
      </c>
      <c r="Z86">
        <v>1.6996</v>
      </c>
      <c r="AA86">
        <v>16.661999999999999</v>
      </c>
      <c r="AC86">
        <v>6.9291</v>
      </c>
      <c r="AD86">
        <v>4.9385000000000003</v>
      </c>
      <c r="AE86">
        <v>10.7935</v>
      </c>
    </row>
    <row r="87" spans="1:31" ht="18" customHeight="1">
      <c r="B87">
        <v>1400</v>
      </c>
      <c r="C87">
        <v>1000</v>
      </c>
      <c r="E87">
        <v>6.3784999999999998</v>
      </c>
      <c r="F87">
        <v>4.4493999999999998</v>
      </c>
      <c r="G87">
        <v>10.3863</v>
      </c>
      <c r="I87">
        <v>6.6082999999999998</v>
      </c>
      <c r="J87">
        <v>4.6565000000000003</v>
      </c>
      <c r="K87">
        <v>11.950699999999999</v>
      </c>
      <c r="M87">
        <v>4.2141000000000002</v>
      </c>
      <c r="N87">
        <v>1.1651</v>
      </c>
      <c r="O87">
        <v>16.413599999999999</v>
      </c>
      <c r="Q87">
        <v>6.8456999999999999</v>
      </c>
      <c r="R87">
        <v>5.0712000000000002</v>
      </c>
      <c r="S87">
        <v>10.216100000000001</v>
      </c>
      <c r="U87">
        <v>3.9365999999999999</v>
      </c>
      <c r="V87">
        <v>0.85460000000000003</v>
      </c>
      <c r="W87">
        <v>16.458300000000001</v>
      </c>
      <c r="Y87">
        <v>4.2141000000000002</v>
      </c>
      <c r="Z87">
        <v>1.1651</v>
      </c>
      <c r="AA87">
        <v>16.413599999999999</v>
      </c>
      <c r="AC87">
        <v>6.7575000000000003</v>
      </c>
      <c r="AD87">
        <v>5.5420999999999996</v>
      </c>
      <c r="AE87">
        <v>9.8186</v>
      </c>
    </row>
    <row r="88" spans="1:31" s="2" customFormat="1" ht="18" customHeight="1">
      <c r="B88" s="2">
        <v>800</v>
      </c>
      <c r="C88" s="2">
        <v>800</v>
      </c>
      <c r="E88" s="2">
        <v>12.8263</v>
      </c>
      <c r="F88" s="2">
        <v>11.1858</v>
      </c>
      <c r="G88" s="2">
        <v>14.9688</v>
      </c>
      <c r="I88" s="2">
        <v>12.8263</v>
      </c>
      <c r="J88" s="2">
        <v>11.1858</v>
      </c>
      <c r="K88" s="2">
        <v>14.9688</v>
      </c>
      <c r="M88" s="2">
        <v>11.0633</v>
      </c>
      <c r="N88" s="2">
        <v>7.4711999999999996</v>
      </c>
      <c r="O88" s="2">
        <v>16.670000000000002</v>
      </c>
      <c r="Q88" s="2">
        <v>10.845000000000001</v>
      </c>
      <c r="R88" s="2">
        <v>13.065099999999999</v>
      </c>
      <c r="S88" s="2">
        <v>8.9856999999999996</v>
      </c>
      <c r="U88" s="2">
        <v>8.1098999999999997</v>
      </c>
      <c r="V88" s="2">
        <v>4.2636000000000003</v>
      </c>
      <c r="W88" s="2">
        <v>16.515899999999998</v>
      </c>
      <c r="Y88" s="2">
        <v>9.3808000000000007</v>
      </c>
      <c r="Z88" s="2">
        <v>5.8174000000000001</v>
      </c>
      <c r="AA88" s="2">
        <v>15.888199999999999</v>
      </c>
      <c r="AC88" s="2">
        <v>12.8263</v>
      </c>
      <c r="AD88" s="2">
        <v>11.1858</v>
      </c>
      <c r="AE88" s="2">
        <v>14.9688</v>
      </c>
    </row>
    <row r="89" spans="1:31" ht="18" customHeight="1"/>
    <row r="90" spans="1:31" ht="18" customHeight="1">
      <c r="A90" t="s">
        <v>14</v>
      </c>
      <c r="B90">
        <v>500</v>
      </c>
      <c r="C90">
        <v>1500</v>
      </c>
    </row>
    <row r="91" spans="1:31" ht="18" customHeight="1">
      <c r="A91" t="s">
        <v>21</v>
      </c>
      <c r="B91" s="4">
        <v>600</v>
      </c>
      <c r="C91" s="4">
        <v>1400</v>
      </c>
      <c r="E91">
        <v>12.4846</v>
      </c>
      <c r="F91">
        <v>8.1221999999999994</v>
      </c>
      <c r="G91">
        <v>15.357200000000001</v>
      </c>
      <c r="I91">
        <v>11.470800000000001</v>
      </c>
      <c r="J91">
        <v>7.69</v>
      </c>
      <c r="K91">
        <v>14.050599999999999</v>
      </c>
      <c r="M91">
        <v>11.2583</v>
      </c>
      <c r="N91">
        <v>4.9497999999999998</v>
      </c>
      <c r="O91">
        <v>16.670000000000002</v>
      </c>
      <c r="Q91">
        <v>11.6454</v>
      </c>
      <c r="R91">
        <v>11.5474</v>
      </c>
      <c r="S91">
        <v>11.6892</v>
      </c>
      <c r="U91">
        <v>11.2583</v>
      </c>
      <c r="V91">
        <v>4.9497999999999998</v>
      </c>
      <c r="W91">
        <v>16.670000000000002</v>
      </c>
      <c r="Y91">
        <v>11.2583</v>
      </c>
      <c r="Z91">
        <v>4.9497999999999998</v>
      </c>
      <c r="AA91">
        <v>16.670000000000002</v>
      </c>
      <c r="AC91">
        <v>11.7934</v>
      </c>
      <c r="AD91">
        <v>6.9336000000000002</v>
      </c>
      <c r="AE91">
        <v>15.4392</v>
      </c>
    </row>
    <row r="92" spans="1:31" ht="18" customHeight="1">
      <c r="A92" t="s">
        <v>16</v>
      </c>
      <c r="B92">
        <v>700</v>
      </c>
      <c r="C92">
        <v>1300</v>
      </c>
    </row>
    <row r="93" spans="1:31" ht="18" customHeight="1">
      <c r="A93" t="s">
        <v>17</v>
      </c>
      <c r="B93">
        <v>800</v>
      </c>
      <c r="C93">
        <v>1200</v>
      </c>
      <c r="E93">
        <v>10.93</v>
      </c>
      <c r="F93">
        <v>7.2496999999999998</v>
      </c>
      <c r="G93">
        <v>14.704700000000001</v>
      </c>
    </row>
    <row r="94" spans="1:31" ht="18" customHeight="1">
      <c r="B94">
        <v>900</v>
      </c>
      <c r="C94">
        <v>1100</v>
      </c>
    </row>
    <row r="95" spans="1:31" ht="18" customHeight="1">
      <c r="B95" s="4">
        <v>1000</v>
      </c>
      <c r="C95" s="4">
        <v>1000</v>
      </c>
      <c r="E95">
        <v>10.6915</v>
      </c>
      <c r="F95">
        <v>8.5108999999999995</v>
      </c>
      <c r="G95">
        <v>13.8812</v>
      </c>
      <c r="I95">
        <v>10.720700000000001</v>
      </c>
      <c r="J95">
        <v>8.7318999999999996</v>
      </c>
      <c r="K95">
        <v>13.5036</v>
      </c>
      <c r="M95">
        <v>8.7278000000000002</v>
      </c>
      <c r="N95">
        <v>4.8734999999999999</v>
      </c>
      <c r="O95">
        <v>16.5869</v>
      </c>
      <c r="Q95">
        <v>10.6196</v>
      </c>
      <c r="R95">
        <v>9.7603000000000009</v>
      </c>
      <c r="S95">
        <v>11.698499999999999</v>
      </c>
      <c r="U95">
        <v>8.7278000000000002</v>
      </c>
      <c r="V95">
        <v>4.8734999999999999</v>
      </c>
      <c r="W95">
        <v>16.5869</v>
      </c>
      <c r="Y95">
        <v>8.7278000000000002</v>
      </c>
      <c r="Z95">
        <v>4.8734999999999999</v>
      </c>
      <c r="AA95">
        <v>16.5869</v>
      </c>
      <c r="AC95">
        <v>10.648300000000001</v>
      </c>
      <c r="AD95">
        <v>8.4489000000000001</v>
      </c>
      <c r="AE95">
        <v>13.864100000000001</v>
      </c>
    </row>
    <row r="96" spans="1:31" ht="18" customHeight="1">
      <c r="B96">
        <v>1100</v>
      </c>
      <c r="C96">
        <v>900</v>
      </c>
    </row>
    <row r="97" spans="1:31" ht="18" customHeight="1">
      <c r="B97">
        <v>1200</v>
      </c>
      <c r="C97">
        <v>800</v>
      </c>
    </row>
    <row r="98" spans="1:31" ht="18" customHeight="1">
      <c r="B98">
        <v>1300</v>
      </c>
      <c r="C98">
        <v>700</v>
      </c>
    </row>
    <row r="99" spans="1:31" ht="18" customHeight="1">
      <c r="B99" s="4">
        <v>1400</v>
      </c>
      <c r="C99" s="4">
        <v>600</v>
      </c>
      <c r="E99">
        <v>10.2371</v>
      </c>
      <c r="F99">
        <v>8.9535</v>
      </c>
      <c r="G99">
        <v>14.7707</v>
      </c>
      <c r="I99">
        <v>10.2371</v>
      </c>
      <c r="J99">
        <v>8.9535</v>
      </c>
      <c r="K99">
        <v>14.7707</v>
      </c>
      <c r="M99">
        <v>9.1526999999999994</v>
      </c>
      <c r="N99">
        <v>7.4187000000000003</v>
      </c>
      <c r="O99">
        <v>16.176100000000002</v>
      </c>
      <c r="Q99">
        <v>10.2371</v>
      </c>
      <c r="R99">
        <v>8.9535</v>
      </c>
      <c r="S99">
        <v>14.7707</v>
      </c>
      <c r="U99">
        <v>7.5819999999999999</v>
      </c>
      <c r="V99">
        <v>5.6228999999999996</v>
      </c>
      <c r="W99">
        <v>16.510899999999999</v>
      </c>
      <c r="Y99">
        <v>7.8224999999999998</v>
      </c>
      <c r="Z99">
        <v>5.8909000000000002</v>
      </c>
      <c r="AA99">
        <v>16.424199999999999</v>
      </c>
      <c r="AC99">
        <v>10.2371</v>
      </c>
      <c r="AD99">
        <v>8.9535</v>
      </c>
      <c r="AE99">
        <v>14.7707</v>
      </c>
    </row>
    <row r="100" spans="1:31" ht="18" customHeight="1">
      <c r="B100">
        <v>1500</v>
      </c>
      <c r="C100">
        <v>500</v>
      </c>
    </row>
    <row r="101" spans="1:31" ht="18" customHeight="1"/>
    <row r="102" spans="1:31" ht="18" customHeight="1">
      <c r="B102" s="4">
        <v>1200</v>
      </c>
      <c r="C102" s="4">
        <v>1200</v>
      </c>
      <c r="E102">
        <v>8.9859000000000009</v>
      </c>
      <c r="F102">
        <v>6.5979999999999999</v>
      </c>
      <c r="G102">
        <v>12.7491</v>
      </c>
      <c r="I102">
        <v>9</v>
      </c>
      <c r="J102">
        <v>6.5796999999999999</v>
      </c>
      <c r="K102">
        <v>12.8142</v>
      </c>
      <c r="M102">
        <v>7.6529999999999996</v>
      </c>
      <c r="N102">
        <v>3.4626999999999999</v>
      </c>
      <c r="O102">
        <v>16.667100000000001</v>
      </c>
      <c r="Q102">
        <v>9.5691000000000006</v>
      </c>
      <c r="R102">
        <v>8.7124000000000006</v>
      </c>
      <c r="S102">
        <v>10.766500000000001</v>
      </c>
      <c r="U102">
        <v>7.6529999999999996</v>
      </c>
      <c r="V102">
        <v>3.4626999999999999</v>
      </c>
      <c r="W102">
        <v>16.667100000000001</v>
      </c>
      <c r="Y102">
        <v>7.6529999999999996</v>
      </c>
      <c r="Z102">
        <v>3.4626999999999999</v>
      </c>
      <c r="AA102">
        <v>16.667100000000001</v>
      </c>
      <c r="AC102">
        <v>8.9859000000000009</v>
      </c>
      <c r="AD102">
        <v>6.5979999999999999</v>
      </c>
      <c r="AE102">
        <v>12.7491</v>
      </c>
    </row>
    <row r="103" spans="1:31" ht="18" customHeight="1"/>
    <row r="104" spans="1:31" ht="18" customHeight="1">
      <c r="B104">
        <v>500</v>
      </c>
      <c r="C104">
        <v>1500</v>
      </c>
    </row>
    <row r="105" spans="1:31" ht="18" customHeight="1">
      <c r="A105" t="s">
        <v>18</v>
      </c>
      <c r="B105">
        <v>600</v>
      </c>
      <c r="C105">
        <v>1400</v>
      </c>
      <c r="E105">
        <v>11.794600000000001</v>
      </c>
      <c r="F105">
        <v>7.6067999999999998</v>
      </c>
      <c r="G105">
        <v>14.927199999999999</v>
      </c>
      <c r="I105">
        <v>10.5345</v>
      </c>
      <c r="J105">
        <v>7.1256000000000004</v>
      </c>
      <c r="K105">
        <v>13.192500000000001</v>
      </c>
      <c r="M105">
        <v>10.301600000000001</v>
      </c>
      <c r="N105">
        <v>4.1086</v>
      </c>
      <c r="O105">
        <v>16.670000000000002</v>
      </c>
      <c r="Q105">
        <v>10.946199999999999</v>
      </c>
      <c r="R105">
        <v>11.506</v>
      </c>
      <c r="S105">
        <v>10.686500000000001</v>
      </c>
      <c r="U105">
        <v>10.301600000000001</v>
      </c>
      <c r="V105">
        <v>4.1086</v>
      </c>
      <c r="W105">
        <v>16.670000000000002</v>
      </c>
      <c r="Y105">
        <v>10.301600000000001</v>
      </c>
      <c r="Z105">
        <v>4.1086</v>
      </c>
      <c r="AA105">
        <v>16.670000000000002</v>
      </c>
      <c r="AC105">
        <v>10.9374</v>
      </c>
      <c r="AD105">
        <v>6.2878999999999996</v>
      </c>
      <c r="AE105">
        <v>15.0131</v>
      </c>
    </row>
    <row r="106" spans="1:31" ht="18" customHeight="1">
      <c r="B106">
        <v>700</v>
      </c>
      <c r="C106">
        <v>1300</v>
      </c>
    </row>
    <row r="107" spans="1:31" ht="18" customHeight="1">
      <c r="B107">
        <v>800</v>
      </c>
      <c r="C107">
        <v>1200</v>
      </c>
      <c r="E107">
        <v>10.153700000000001</v>
      </c>
      <c r="F107">
        <v>6.3802000000000003</v>
      </c>
      <c r="G107">
        <v>14.333399999999999</v>
      </c>
    </row>
    <row r="108" spans="1:31" ht="18" customHeight="1">
      <c r="B108">
        <v>900</v>
      </c>
      <c r="C108">
        <v>1100</v>
      </c>
    </row>
    <row r="109" spans="1:31" ht="18" customHeight="1">
      <c r="B109">
        <v>1000</v>
      </c>
      <c r="C109">
        <v>1000</v>
      </c>
      <c r="E109">
        <v>9.9611000000000001</v>
      </c>
      <c r="F109">
        <v>7.5880999999999998</v>
      </c>
      <c r="G109">
        <v>13.494</v>
      </c>
      <c r="I109">
        <v>9.9977</v>
      </c>
      <c r="J109">
        <v>7.8388999999999998</v>
      </c>
      <c r="K109">
        <v>13.0412</v>
      </c>
      <c r="M109">
        <v>7.7344999999999997</v>
      </c>
      <c r="N109">
        <v>3.7681</v>
      </c>
      <c r="O109">
        <v>16.564399999999999</v>
      </c>
      <c r="Q109">
        <v>9.8709000000000007</v>
      </c>
      <c r="R109">
        <v>9.0561000000000007</v>
      </c>
      <c r="S109">
        <v>10.8765</v>
      </c>
      <c r="U109">
        <v>7.7344999999999997</v>
      </c>
      <c r="V109">
        <v>3.7684000000000002</v>
      </c>
      <c r="W109">
        <v>16.564399999999999</v>
      </c>
      <c r="Y109">
        <v>7.7344999999999997</v>
      </c>
      <c r="Z109">
        <v>3.7684000000000002</v>
      </c>
      <c r="AA109">
        <v>16.564399999999999</v>
      </c>
      <c r="AC109">
        <v>9.9087999999999994</v>
      </c>
      <c r="AD109">
        <v>7.5133999999999999</v>
      </c>
      <c r="AE109">
        <v>13.4735</v>
      </c>
    </row>
    <row r="110" spans="1:31" ht="18" customHeight="1">
      <c r="B110">
        <v>1100</v>
      </c>
      <c r="C110">
        <v>900</v>
      </c>
    </row>
    <row r="111" spans="1:31" ht="18" customHeight="1">
      <c r="B111">
        <v>1200</v>
      </c>
      <c r="C111">
        <v>800</v>
      </c>
    </row>
    <row r="112" spans="1:31" ht="18" customHeight="1">
      <c r="B112">
        <v>1300</v>
      </c>
      <c r="C112">
        <v>700</v>
      </c>
    </row>
    <row r="113" spans="1:31" ht="18" customHeight="1">
      <c r="B113">
        <v>1400</v>
      </c>
      <c r="C113">
        <v>600</v>
      </c>
      <c r="E113">
        <v>9.5150000000000006</v>
      </c>
      <c r="F113">
        <v>8.2188999999999997</v>
      </c>
      <c r="G113">
        <v>14.3095</v>
      </c>
      <c r="I113">
        <v>9.5150000000000006</v>
      </c>
      <c r="J113">
        <v>8.2188999999999997</v>
      </c>
      <c r="K113">
        <v>14.3095</v>
      </c>
      <c r="M113">
        <v>8.2200000000000006</v>
      </c>
      <c r="N113">
        <v>6.4297000000000004</v>
      </c>
      <c r="O113">
        <v>16.078399999999998</v>
      </c>
      <c r="Q113">
        <v>9.5150000000000006</v>
      </c>
      <c r="R113">
        <v>8.2188999999999997</v>
      </c>
      <c r="S113">
        <v>14.3095</v>
      </c>
      <c r="U113">
        <v>6.4551999999999996</v>
      </c>
      <c r="V113">
        <v>4.4756</v>
      </c>
      <c r="W113">
        <v>16.463000000000001</v>
      </c>
      <c r="Y113">
        <v>6.6920000000000002</v>
      </c>
      <c r="Z113">
        <v>4.7190000000000003</v>
      </c>
      <c r="AA113">
        <v>16.3993</v>
      </c>
      <c r="AC113">
        <v>9.5150000000000006</v>
      </c>
      <c r="AD113">
        <v>8.2188999999999997</v>
      </c>
      <c r="AE113">
        <v>14.3095</v>
      </c>
    </row>
    <row r="114" spans="1:31" ht="18" customHeight="1">
      <c r="B114">
        <v>1500</v>
      </c>
      <c r="C114">
        <v>500</v>
      </c>
    </row>
    <row r="115" spans="1:31" ht="18" customHeight="1"/>
    <row r="116" spans="1:31" ht="18" customHeight="1">
      <c r="B116">
        <v>1200</v>
      </c>
      <c r="C116">
        <v>1200</v>
      </c>
      <c r="E116">
        <v>7.7275999999999998</v>
      </c>
      <c r="F116">
        <v>5.6326000000000001</v>
      </c>
      <c r="G116">
        <v>11.5921</v>
      </c>
      <c r="I116">
        <v>7.7450000000000001</v>
      </c>
      <c r="J116">
        <v>5.6113999999999997</v>
      </c>
      <c r="K116">
        <v>11.6806</v>
      </c>
      <c r="M116">
        <v>6.1497999999999999</v>
      </c>
      <c r="N116">
        <v>2.3344999999999998</v>
      </c>
      <c r="O116">
        <v>16.665800000000001</v>
      </c>
      <c r="Q116">
        <v>8.6234000000000002</v>
      </c>
      <c r="R116">
        <v>7.8978999999999999</v>
      </c>
      <c r="S116">
        <v>9.5442</v>
      </c>
      <c r="U116">
        <v>6.1497999999999999</v>
      </c>
      <c r="V116">
        <v>2.3344999999999998</v>
      </c>
      <c r="W116">
        <v>16.665800000000001</v>
      </c>
      <c r="Y116">
        <v>6.1497999999999999</v>
      </c>
      <c r="Z116">
        <v>2.3344999999999998</v>
      </c>
      <c r="AA116">
        <v>16.665800000000001</v>
      </c>
      <c r="AC116">
        <v>7.7275999999999998</v>
      </c>
      <c r="AD116">
        <v>5.6326000000000001</v>
      </c>
      <c r="AE116">
        <v>11.5921</v>
      </c>
    </row>
    <row r="117" spans="1:31" ht="18" customHeight="1"/>
    <row r="118" spans="1:31" ht="18" customHeight="1">
      <c r="B118">
        <v>500</v>
      </c>
      <c r="C118">
        <v>1500</v>
      </c>
    </row>
    <row r="119" spans="1:31" ht="18" customHeight="1">
      <c r="A119" t="s">
        <v>20</v>
      </c>
      <c r="B119">
        <v>600</v>
      </c>
      <c r="C119">
        <v>1400</v>
      </c>
      <c r="E119">
        <v>11.6088</v>
      </c>
      <c r="F119">
        <v>7.9151999999999996</v>
      </c>
      <c r="G119">
        <v>14.3695</v>
      </c>
      <c r="I119">
        <v>9.4260000000000002</v>
      </c>
      <c r="J119">
        <v>6.7914000000000003</v>
      </c>
      <c r="K119">
        <v>11.549899999999999</v>
      </c>
      <c r="M119">
        <v>9.4113000000000007</v>
      </c>
      <c r="N119">
        <v>3.3725999999999998</v>
      </c>
      <c r="O119">
        <v>16.670000000000002</v>
      </c>
      <c r="Q119">
        <v>10.4719</v>
      </c>
      <c r="R119">
        <v>11.6059</v>
      </c>
      <c r="S119">
        <v>9.9189000000000007</v>
      </c>
      <c r="U119">
        <v>9.4113000000000007</v>
      </c>
      <c r="V119">
        <v>3.3725999999999998</v>
      </c>
      <c r="W119">
        <v>16.670000000000002</v>
      </c>
      <c r="Y119">
        <v>9.4113000000000007</v>
      </c>
      <c r="Z119">
        <v>3.3725999999999998</v>
      </c>
      <c r="AA119">
        <v>16.670000000000002</v>
      </c>
      <c r="AC119">
        <v>10.208399999999999</v>
      </c>
      <c r="AD119">
        <v>5.8266</v>
      </c>
      <c r="AE119">
        <v>14.454700000000001</v>
      </c>
    </row>
    <row r="120" spans="1:31" ht="18" customHeight="1">
      <c r="B120">
        <v>700</v>
      </c>
      <c r="C120">
        <v>1300</v>
      </c>
    </row>
    <row r="121" spans="1:31" ht="18" customHeight="1">
      <c r="B121">
        <v>800</v>
      </c>
      <c r="C121">
        <v>1200</v>
      </c>
      <c r="E121">
        <v>8.8412000000000006</v>
      </c>
      <c r="F121">
        <v>5.1760999999999999</v>
      </c>
      <c r="G121">
        <v>13.1943</v>
      </c>
    </row>
    <row r="122" spans="1:31" ht="18" customHeight="1">
      <c r="B122">
        <v>900</v>
      </c>
      <c r="C122">
        <v>1100</v>
      </c>
    </row>
    <row r="123" spans="1:31" ht="18" customHeight="1">
      <c r="B123">
        <v>1000</v>
      </c>
      <c r="C123">
        <v>1000</v>
      </c>
      <c r="E123">
        <v>9.1498000000000008</v>
      </c>
      <c r="F123">
        <v>6.0815999999999999</v>
      </c>
      <c r="G123">
        <v>13.185600000000001</v>
      </c>
      <c r="I123">
        <v>9.2125000000000004</v>
      </c>
      <c r="J123">
        <v>6.4634999999999998</v>
      </c>
      <c r="K123">
        <v>12.5261</v>
      </c>
      <c r="M123">
        <v>7.0681000000000003</v>
      </c>
      <c r="N123">
        <v>2.4117000000000002</v>
      </c>
      <c r="O123">
        <v>16.647600000000001</v>
      </c>
      <c r="Q123">
        <v>8.9131</v>
      </c>
      <c r="R123">
        <v>8.2713000000000001</v>
      </c>
      <c r="S123">
        <v>9.5606000000000009</v>
      </c>
      <c r="U123">
        <v>7.0681000000000003</v>
      </c>
      <c r="V123">
        <v>2.4117000000000002</v>
      </c>
      <c r="W123">
        <v>16.647600000000001</v>
      </c>
      <c r="Y123">
        <v>7.0681000000000003</v>
      </c>
      <c r="Z123">
        <v>2.4117000000000002</v>
      </c>
      <c r="AA123">
        <v>16.647600000000001</v>
      </c>
      <c r="AC123">
        <v>9.0656999999999996</v>
      </c>
      <c r="AD123">
        <v>5.9551999999999996</v>
      </c>
      <c r="AE123">
        <v>13.1549</v>
      </c>
    </row>
    <row r="124" spans="1:31" ht="18" customHeight="1">
      <c r="B124">
        <v>1100</v>
      </c>
      <c r="C124">
        <v>900</v>
      </c>
    </row>
    <row r="125" spans="1:31" ht="18" customHeight="1">
      <c r="B125">
        <v>1200</v>
      </c>
      <c r="C125">
        <v>800</v>
      </c>
    </row>
    <row r="126" spans="1:31" ht="18" customHeight="1">
      <c r="B126">
        <v>1300</v>
      </c>
      <c r="C126">
        <v>700</v>
      </c>
    </row>
    <row r="127" spans="1:31" ht="18" customHeight="1">
      <c r="B127">
        <v>1400</v>
      </c>
      <c r="C127">
        <v>600</v>
      </c>
      <c r="E127">
        <v>8.1716999999999995</v>
      </c>
      <c r="F127">
        <v>6.6942000000000004</v>
      </c>
      <c r="G127">
        <v>14.271699999999999</v>
      </c>
      <c r="I127">
        <v>8.1716999999999995</v>
      </c>
      <c r="J127">
        <v>6.6942000000000004</v>
      </c>
      <c r="K127">
        <v>14.271699999999999</v>
      </c>
      <c r="M127">
        <v>6.0595999999999997</v>
      </c>
      <c r="N127">
        <v>4.2828999999999997</v>
      </c>
      <c r="O127">
        <v>16.177600000000002</v>
      </c>
      <c r="Q127">
        <v>8.1716999999999995</v>
      </c>
      <c r="R127">
        <v>6.6942000000000004</v>
      </c>
      <c r="S127">
        <v>14.271699999999999</v>
      </c>
      <c r="U127">
        <v>4.6014999999999997</v>
      </c>
      <c r="V127">
        <v>2.6852</v>
      </c>
      <c r="W127">
        <v>16.5657</v>
      </c>
      <c r="Y127">
        <v>4.7573999999999996</v>
      </c>
      <c r="Z127">
        <v>2.9148999999999998</v>
      </c>
      <c r="AA127">
        <v>16.2286</v>
      </c>
      <c r="AC127">
        <v>8.1716999999999995</v>
      </c>
      <c r="AD127">
        <v>6.6942000000000004</v>
      </c>
      <c r="AE127">
        <v>14.271699999999999</v>
      </c>
    </row>
    <row r="128" spans="1:31" ht="18" customHeight="1">
      <c r="B128">
        <v>1500</v>
      </c>
      <c r="C128">
        <v>500</v>
      </c>
    </row>
    <row r="129" spans="1:31" ht="18" customHeight="1"/>
    <row r="130" spans="1:31" ht="18" customHeight="1">
      <c r="B130">
        <v>1200</v>
      </c>
      <c r="C130">
        <v>1200</v>
      </c>
      <c r="E130">
        <v>6.6818999999999997</v>
      </c>
      <c r="F130">
        <v>4.7737999999999996</v>
      </c>
      <c r="G130">
        <v>10.404299999999999</v>
      </c>
      <c r="I130">
        <v>6.7115</v>
      </c>
      <c r="J130">
        <v>4.7382</v>
      </c>
      <c r="K130">
        <v>10.561199999999999</v>
      </c>
      <c r="M130">
        <v>4.9149000000000003</v>
      </c>
      <c r="N130">
        <v>1.2542</v>
      </c>
      <c r="O130">
        <v>16.661999999999999</v>
      </c>
      <c r="Q130">
        <v>8.0225000000000009</v>
      </c>
      <c r="R130">
        <v>6.6479999999999997</v>
      </c>
      <c r="S130">
        <v>9.9079999999999995</v>
      </c>
      <c r="U130">
        <v>4.9149000000000003</v>
      </c>
      <c r="V130">
        <v>1.2542</v>
      </c>
      <c r="W130">
        <v>16.661999999999999</v>
      </c>
      <c r="Y130">
        <v>4.9149000000000003</v>
      </c>
      <c r="Z130">
        <v>1.2542</v>
      </c>
      <c r="AA130">
        <v>16.661999999999999</v>
      </c>
      <c r="AC130">
        <v>6.6818999999999997</v>
      </c>
      <c r="AD130">
        <v>4.7737999999999996</v>
      </c>
      <c r="AE130">
        <v>10.404299999999999</v>
      </c>
    </row>
    <row r="131" spans="1:31" s="2" customFormat="1"/>
    <row r="134" spans="1:31">
      <c r="A134" t="s">
        <v>14</v>
      </c>
      <c r="B134">
        <v>600</v>
      </c>
      <c r="C134">
        <v>1400</v>
      </c>
      <c r="E134">
        <v>14.0733</v>
      </c>
      <c r="F134">
        <v>10.413</v>
      </c>
      <c r="G134">
        <v>16.114899999999999</v>
      </c>
      <c r="I134">
        <v>13.8775</v>
      </c>
      <c r="J134">
        <v>10.723800000000001</v>
      </c>
      <c r="K134">
        <v>15.6366</v>
      </c>
      <c r="M134">
        <v>13.224</v>
      </c>
      <c r="N134">
        <v>8.3427000000000007</v>
      </c>
      <c r="O134">
        <v>16.506499999999999</v>
      </c>
      <c r="Q134">
        <v>14.747999999999999</v>
      </c>
      <c r="R134">
        <v>14.4276</v>
      </c>
      <c r="S134">
        <v>14.885199999999999</v>
      </c>
      <c r="U134">
        <v>12.857799999999999</v>
      </c>
      <c r="V134">
        <v>7.4032</v>
      </c>
      <c r="W134">
        <v>16.670000000000002</v>
      </c>
      <c r="Y134">
        <v>14.1479</v>
      </c>
      <c r="Z134">
        <v>10.555400000000001</v>
      </c>
      <c r="AA134">
        <v>16.2362</v>
      </c>
      <c r="AC134">
        <v>14.101100000000001</v>
      </c>
      <c r="AD134">
        <v>10.7669</v>
      </c>
      <c r="AE134">
        <v>15.958500000000001</v>
      </c>
    </row>
    <row r="135" spans="1:31">
      <c r="A135" t="s">
        <v>52</v>
      </c>
    </row>
    <row r="136" spans="1:31">
      <c r="A136" t="s">
        <v>16</v>
      </c>
      <c r="B136">
        <v>1000</v>
      </c>
      <c r="C136">
        <v>1000</v>
      </c>
      <c r="E136">
        <v>11.766500000000001</v>
      </c>
      <c r="F136">
        <v>9.6722000000000001</v>
      </c>
      <c r="G136">
        <v>14.3835</v>
      </c>
      <c r="I136">
        <v>11.428100000000001</v>
      </c>
      <c r="J136">
        <v>9.9672000000000001</v>
      </c>
      <c r="K136">
        <v>13.224399999999999</v>
      </c>
      <c r="M136">
        <v>12.915100000000001</v>
      </c>
      <c r="N136">
        <v>10.5665</v>
      </c>
      <c r="O136">
        <v>16.138500000000001</v>
      </c>
      <c r="Q136">
        <v>10.9808</v>
      </c>
      <c r="R136">
        <v>10.692299999999999</v>
      </c>
      <c r="S136">
        <v>11.315899999999999</v>
      </c>
      <c r="U136">
        <v>11.9488</v>
      </c>
      <c r="V136">
        <v>8.8323999999999998</v>
      </c>
      <c r="W136">
        <v>16.670000000000002</v>
      </c>
      <c r="Y136">
        <v>13.964</v>
      </c>
      <c r="Z136">
        <v>12.482200000000001</v>
      </c>
      <c r="AA136">
        <v>15.7197</v>
      </c>
      <c r="AC136">
        <v>11.766500000000001</v>
      </c>
      <c r="AD136">
        <v>9.6722000000000001</v>
      </c>
      <c r="AE136">
        <v>14.3835</v>
      </c>
    </row>
    <row r="137" spans="1:31">
      <c r="A137" t="s">
        <v>17</v>
      </c>
    </row>
    <row r="138" spans="1:31">
      <c r="B138">
        <v>1400</v>
      </c>
      <c r="C138">
        <v>600</v>
      </c>
      <c r="E138">
        <v>13.9633</v>
      </c>
      <c r="F138">
        <v>14.0045</v>
      </c>
      <c r="G138">
        <v>13.8492</v>
      </c>
      <c r="I138">
        <v>13.7013</v>
      </c>
      <c r="J138">
        <v>13.7622</v>
      </c>
      <c r="K138">
        <v>13.5328</v>
      </c>
      <c r="M138">
        <v>13.689299999999999</v>
      </c>
      <c r="N138">
        <v>12.942</v>
      </c>
      <c r="O138">
        <v>15.9343</v>
      </c>
      <c r="Q138">
        <v>11.4786</v>
      </c>
      <c r="R138">
        <v>11.3081</v>
      </c>
      <c r="S138">
        <v>11.9192</v>
      </c>
      <c r="U138">
        <v>13.2745</v>
      </c>
      <c r="V138">
        <v>12.244899999999999</v>
      </c>
      <c r="W138">
        <v>16.670000000000002</v>
      </c>
      <c r="Y138">
        <v>13.923</v>
      </c>
      <c r="Z138">
        <v>13.4495</v>
      </c>
      <c r="AA138">
        <v>15.2637</v>
      </c>
      <c r="AC138">
        <v>13.2064</v>
      </c>
      <c r="AD138">
        <v>12.965400000000001</v>
      </c>
      <c r="AE138">
        <v>13.838800000000001</v>
      </c>
    </row>
    <row r="140" spans="1:31">
      <c r="B140">
        <v>1200</v>
      </c>
      <c r="C140">
        <v>1200</v>
      </c>
      <c r="E140">
        <v>8.6509</v>
      </c>
      <c r="F140">
        <v>6.4619999999999997</v>
      </c>
      <c r="G140">
        <v>11.8444</v>
      </c>
      <c r="I140">
        <v>8.6066000000000003</v>
      </c>
      <c r="J140">
        <v>6.3951000000000002</v>
      </c>
      <c r="K140">
        <v>11.762</v>
      </c>
      <c r="M140">
        <v>10.6431</v>
      </c>
      <c r="N140">
        <v>7.4349999999999996</v>
      </c>
      <c r="O140">
        <v>16.104900000000001</v>
      </c>
      <c r="Q140">
        <v>8.8379999999999992</v>
      </c>
      <c r="R140">
        <v>9.2703000000000007</v>
      </c>
      <c r="S140">
        <v>8.4544999999999995</v>
      </c>
      <c r="U140">
        <v>7.6582999999999997</v>
      </c>
      <c r="V140">
        <v>3.4693000000000001</v>
      </c>
      <c r="W140">
        <v>16.668099999999999</v>
      </c>
      <c r="Y140">
        <v>10.688800000000001</v>
      </c>
      <c r="Z140">
        <v>7.5472999999999999</v>
      </c>
      <c r="AA140">
        <v>15.8855</v>
      </c>
    </row>
    <row r="143" spans="1:31">
      <c r="A143" t="s">
        <v>18</v>
      </c>
      <c r="B143">
        <v>600</v>
      </c>
      <c r="C143">
        <v>1400</v>
      </c>
      <c r="E143">
        <v>13.610300000000001</v>
      </c>
      <c r="F143">
        <v>9.7360000000000007</v>
      </c>
      <c r="G143">
        <v>16.0427</v>
      </c>
      <c r="I143">
        <v>13.356999999999999</v>
      </c>
      <c r="J143">
        <v>10.109299999999999</v>
      </c>
      <c r="K143">
        <v>15.396000000000001</v>
      </c>
      <c r="M143">
        <v>12.680199999999999</v>
      </c>
      <c r="N143">
        <v>7.8202999999999996</v>
      </c>
      <c r="O143">
        <v>16.448</v>
      </c>
      <c r="Q143">
        <v>14.565300000000001</v>
      </c>
      <c r="R143">
        <v>14.162699999999999</v>
      </c>
      <c r="S143">
        <v>14.7469</v>
      </c>
      <c r="U143">
        <v>12.219900000000001</v>
      </c>
      <c r="V143">
        <v>6.7397999999999998</v>
      </c>
      <c r="W143">
        <v>16.670000000000002</v>
      </c>
      <c r="Y143">
        <v>13.704000000000001</v>
      </c>
      <c r="Z143">
        <v>9.9236000000000004</v>
      </c>
      <c r="AA143">
        <v>16.2059</v>
      </c>
      <c r="AC143">
        <v>13.6457</v>
      </c>
      <c r="AD143">
        <v>10.159700000000001</v>
      </c>
      <c r="AE143">
        <v>15.831099999999999</v>
      </c>
    </row>
    <row r="145" spans="1:31">
      <c r="B145">
        <v>1000</v>
      </c>
      <c r="C145">
        <v>1000</v>
      </c>
      <c r="E145">
        <v>10.8725</v>
      </c>
      <c r="F145">
        <v>8.4184000000000001</v>
      </c>
      <c r="G145">
        <v>13.914400000000001</v>
      </c>
      <c r="I145">
        <v>10.4579</v>
      </c>
      <c r="J145">
        <v>8.7814999999999994</v>
      </c>
      <c r="K145">
        <v>12.494899999999999</v>
      </c>
      <c r="M145">
        <v>12.3019</v>
      </c>
      <c r="N145">
        <v>9.5409000000000006</v>
      </c>
      <c r="O145">
        <v>16.150600000000001</v>
      </c>
      <c r="Q145">
        <v>9.9444999999999997</v>
      </c>
      <c r="R145">
        <v>9.6709999999999994</v>
      </c>
      <c r="S145">
        <v>10.254799999999999</v>
      </c>
      <c r="U145">
        <v>11.085100000000001</v>
      </c>
      <c r="V145">
        <v>7.5423999999999998</v>
      </c>
      <c r="W145">
        <v>16.670000000000002</v>
      </c>
      <c r="Y145">
        <v>13.5197</v>
      </c>
      <c r="Z145">
        <v>11.775700000000001</v>
      </c>
      <c r="AA145">
        <v>15.537699999999999</v>
      </c>
      <c r="AC145">
        <v>10.8725</v>
      </c>
      <c r="AD145">
        <v>8.4184000000000001</v>
      </c>
      <c r="AE145">
        <v>13.914400000000001</v>
      </c>
    </row>
    <row r="147" spans="1:31">
      <c r="B147">
        <v>1400</v>
      </c>
      <c r="C147">
        <v>600</v>
      </c>
      <c r="E147">
        <v>13.491400000000001</v>
      </c>
      <c r="F147">
        <v>13.6014</v>
      </c>
      <c r="G147">
        <v>13.187900000000001</v>
      </c>
      <c r="I147">
        <v>13.1571</v>
      </c>
      <c r="J147">
        <v>13.292</v>
      </c>
      <c r="K147">
        <v>12.7845</v>
      </c>
      <c r="M147">
        <v>13.155099999999999</v>
      </c>
      <c r="N147">
        <v>12.3187</v>
      </c>
      <c r="O147">
        <v>15.719799999999999</v>
      </c>
      <c r="Q147">
        <v>10.585000000000001</v>
      </c>
      <c r="R147">
        <v>10.2577</v>
      </c>
      <c r="S147">
        <v>11.416</v>
      </c>
      <c r="U147">
        <v>12.656000000000001</v>
      </c>
      <c r="V147">
        <v>11.4932</v>
      </c>
      <c r="W147">
        <v>16.670000000000002</v>
      </c>
      <c r="Y147">
        <v>13.4411</v>
      </c>
      <c r="Z147">
        <v>12.897600000000001</v>
      </c>
      <c r="AA147">
        <v>14.9857</v>
      </c>
      <c r="AC147">
        <v>12.5634</v>
      </c>
      <c r="AD147">
        <v>12.2902</v>
      </c>
      <c r="AE147">
        <v>13.269299999999999</v>
      </c>
    </row>
    <row r="149" spans="1:31">
      <c r="B149">
        <v>1200</v>
      </c>
      <c r="C149">
        <v>1200</v>
      </c>
      <c r="E149">
        <v>7.7339000000000002</v>
      </c>
      <c r="F149">
        <v>5.4038000000000004</v>
      </c>
      <c r="G149">
        <v>11.608599999999999</v>
      </c>
      <c r="I149">
        <v>7.6927000000000003</v>
      </c>
      <c r="J149">
        <v>5.3291000000000004</v>
      </c>
      <c r="K149">
        <v>11.5078</v>
      </c>
      <c r="M149">
        <v>9.6334</v>
      </c>
      <c r="N149">
        <v>6.5541999999999998</v>
      </c>
      <c r="O149">
        <v>16.0471</v>
      </c>
      <c r="Q149">
        <v>8.0419</v>
      </c>
      <c r="R149">
        <v>8.2452000000000005</v>
      </c>
      <c r="S149">
        <v>7.8590999999999998</v>
      </c>
      <c r="U149">
        <v>6.1561000000000003</v>
      </c>
      <c r="V149">
        <v>2.3418000000000001</v>
      </c>
      <c r="W149">
        <v>16.667300000000001</v>
      </c>
      <c r="Y149">
        <v>9.8506</v>
      </c>
      <c r="Z149">
        <v>6.6069000000000004</v>
      </c>
      <c r="AA149">
        <v>16.361699999999999</v>
      </c>
    </row>
    <row r="152" spans="1:31">
      <c r="A152" t="s">
        <v>20</v>
      </c>
      <c r="B152">
        <v>600</v>
      </c>
      <c r="C152">
        <v>1400</v>
      </c>
      <c r="E152">
        <v>12.7552</v>
      </c>
      <c r="F152">
        <v>8.6156000000000006</v>
      </c>
      <c r="G152">
        <v>15.6067</v>
      </c>
      <c r="I152">
        <v>12.337999999999999</v>
      </c>
      <c r="J152">
        <v>9.1969999999999992</v>
      </c>
      <c r="K152">
        <v>14.5017</v>
      </c>
      <c r="M152">
        <v>11.9915</v>
      </c>
      <c r="N152">
        <v>6.8811</v>
      </c>
      <c r="O152">
        <v>16.3155</v>
      </c>
      <c r="Q152">
        <v>13.7401</v>
      </c>
      <c r="R152">
        <v>13.261100000000001</v>
      </c>
      <c r="S152">
        <v>13.988799999999999</v>
      </c>
      <c r="U152">
        <v>11.2281</v>
      </c>
      <c r="V152">
        <v>5.2554999999999996</v>
      </c>
      <c r="W152">
        <v>16.670000000000002</v>
      </c>
      <c r="Y152">
        <v>12.8973</v>
      </c>
      <c r="Z152">
        <v>8.9502000000000006</v>
      </c>
      <c r="AA152">
        <v>15.8614</v>
      </c>
      <c r="AC152">
        <v>12.807499999999999</v>
      </c>
      <c r="AD152">
        <v>9.2751999999999999</v>
      </c>
      <c r="AE152">
        <v>15.2357</v>
      </c>
    </row>
    <row r="154" spans="1:31">
      <c r="B154">
        <v>1000</v>
      </c>
      <c r="C154">
        <v>1000</v>
      </c>
      <c r="E154">
        <v>9.8721999999999994</v>
      </c>
      <c r="F154">
        <v>5.9669999999999996</v>
      </c>
      <c r="G154">
        <v>14.042400000000001</v>
      </c>
      <c r="I154">
        <v>9.2344000000000008</v>
      </c>
      <c r="J154">
        <v>6.5621999999999998</v>
      </c>
      <c r="K154">
        <v>12.005100000000001</v>
      </c>
      <c r="M154">
        <v>11.5555</v>
      </c>
      <c r="N154">
        <v>7.9</v>
      </c>
      <c r="O154">
        <v>16.028400000000001</v>
      </c>
      <c r="Q154">
        <v>9.0762</v>
      </c>
      <c r="R154">
        <v>9.1184999999999992</v>
      </c>
      <c r="S154">
        <v>9.0372000000000003</v>
      </c>
      <c r="U154">
        <v>10.0824</v>
      </c>
      <c r="V154">
        <v>5.4180000000000001</v>
      </c>
      <c r="W154">
        <v>16.670000000000002</v>
      </c>
      <c r="Y154">
        <v>13.0594</v>
      </c>
      <c r="Z154">
        <v>10.5223</v>
      </c>
      <c r="AA154">
        <v>15.398</v>
      </c>
      <c r="AC154">
        <v>9.8721999999999994</v>
      </c>
      <c r="AD154">
        <v>5.9669999999999996</v>
      </c>
      <c r="AE154">
        <v>14.042400000000001</v>
      </c>
    </row>
    <row r="156" spans="1:31">
      <c r="B156">
        <v>1400</v>
      </c>
      <c r="C156">
        <v>600</v>
      </c>
      <c r="E156">
        <v>12.049799999999999</v>
      </c>
      <c r="F156">
        <v>12.302899999999999</v>
      </c>
      <c r="G156">
        <v>11.2965</v>
      </c>
      <c r="I156">
        <v>11.4453</v>
      </c>
      <c r="J156">
        <v>11.7547</v>
      </c>
      <c r="K156">
        <v>10.523</v>
      </c>
      <c r="M156">
        <v>11.656499999999999</v>
      </c>
      <c r="N156">
        <v>10.7248</v>
      </c>
      <c r="O156">
        <v>14.9734</v>
      </c>
      <c r="Q156">
        <v>9.4017999999999997</v>
      </c>
      <c r="R156">
        <v>8.8108000000000004</v>
      </c>
      <c r="S156">
        <v>10.969099999999999</v>
      </c>
      <c r="U156">
        <v>11.4902</v>
      </c>
      <c r="V156">
        <v>10.261900000000001</v>
      </c>
      <c r="W156">
        <v>16.670000000000002</v>
      </c>
      <c r="Y156">
        <v>11.964499999999999</v>
      </c>
      <c r="Z156">
        <v>11.083600000000001</v>
      </c>
      <c r="AA156">
        <v>14.734500000000001</v>
      </c>
      <c r="AC156">
        <v>11.417400000000001</v>
      </c>
      <c r="AD156">
        <v>10.5253</v>
      </c>
      <c r="AE156">
        <v>13.764799999999999</v>
      </c>
    </row>
    <row r="158" spans="1:31">
      <c r="B158">
        <v>1200</v>
      </c>
      <c r="C158">
        <v>1200</v>
      </c>
      <c r="E158">
        <v>6.5959000000000003</v>
      </c>
      <c r="F158">
        <v>4.4531000000000001</v>
      </c>
      <c r="G158">
        <v>11.167</v>
      </c>
      <c r="I158">
        <v>6.6753999999999998</v>
      </c>
      <c r="J158">
        <v>4.4135</v>
      </c>
      <c r="K158">
        <v>11.2837</v>
      </c>
      <c r="M158">
        <v>8.8285</v>
      </c>
      <c r="N158">
        <v>5.5763999999999996</v>
      </c>
      <c r="O158">
        <v>16.3508</v>
      </c>
      <c r="Q158">
        <v>7.6679000000000004</v>
      </c>
      <c r="R158">
        <v>6.4886999999999997</v>
      </c>
      <c r="S158">
        <v>8.8584999999999994</v>
      </c>
      <c r="U158">
        <v>4.9185999999999996</v>
      </c>
      <c r="V158">
        <v>1.2569999999999999</v>
      </c>
      <c r="W158">
        <v>16.664899999999999</v>
      </c>
      <c r="Y158">
        <v>8.8500999999999994</v>
      </c>
      <c r="Z158">
        <v>5.5297999999999998</v>
      </c>
      <c r="AA158">
        <v>16.670000000000002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B0BD-FFF3-F54F-B646-64F30F43FA39}">
  <dimension ref="A2:AE158"/>
  <sheetViews>
    <sheetView tabSelected="1" workbookViewId="0">
      <pane xSplit="3" ySplit="3" topLeftCell="D23" activePane="bottomRight" state="frozen"/>
      <selection pane="topRight" activeCell="D1" sqref="D1"/>
      <selection pane="bottomLeft" activeCell="A4" sqref="A4"/>
      <selection pane="bottomRight" activeCell="Q54" sqref="Q54"/>
    </sheetView>
  </sheetViews>
  <sheetFormatPr baseColWidth="10" defaultRowHeight="20"/>
  <cols>
    <col min="4" max="4" width="3" customWidth="1"/>
    <col min="5" max="7" width="9.85546875" customWidth="1"/>
    <col min="8" max="8" width="3.140625" customWidth="1"/>
    <col min="9" max="11" width="10" customWidth="1"/>
    <col min="12" max="12" width="3.140625" customWidth="1"/>
    <col min="13" max="15" width="9.85546875" customWidth="1"/>
    <col min="16" max="16" width="3.140625" customWidth="1"/>
    <col min="17" max="19" width="10" customWidth="1"/>
    <col min="20" max="20" width="3.140625" customWidth="1"/>
    <col min="21" max="23" width="9.85546875" customWidth="1"/>
    <col min="24" max="24" width="3.5703125" customWidth="1"/>
    <col min="25" max="27" width="10" customWidth="1"/>
  </cols>
  <sheetData>
    <row r="2" spans="1:27">
      <c r="B2" t="s">
        <v>0</v>
      </c>
      <c r="C2" t="s">
        <v>1</v>
      </c>
      <c r="E2" t="s">
        <v>3</v>
      </c>
      <c r="F2" t="s">
        <v>4</v>
      </c>
      <c r="I2" t="s">
        <v>3</v>
      </c>
      <c r="J2" t="s">
        <v>8</v>
      </c>
      <c r="M2" t="s">
        <v>9</v>
      </c>
      <c r="Q2" t="s">
        <v>11</v>
      </c>
      <c r="U2" t="s">
        <v>12</v>
      </c>
      <c r="Y2" t="s">
        <v>13</v>
      </c>
    </row>
    <row r="3" spans="1:27">
      <c r="B3" t="s">
        <v>2</v>
      </c>
      <c r="C3" t="s">
        <v>2</v>
      </c>
      <c r="E3" s="1" t="s">
        <v>5</v>
      </c>
      <c r="F3" s="1" t="s">
        <v>6</v>
      </c>
      <c r="G3" s="1" t="s">
        <v>7</v>
      </c>
      <c r="I3" s="1" t="s">
        <v>5</v>
      </c>
      <c r="J3" s="1" t="s">
        <v>6</v>
      </c>
      <c r="K3" s="1" t="s">
        <v>7</v>
      </c>
      <c r="M3" s="1" t="s">
        <v>10</v>
      </c>
      <c r="N3" s="1" t="s">
        <v>6</v>
      </c>
      <c r="O3" s="1" t="s">
        <v>7</v>
      </c>
      <c r="Q3" s="1" t="s">
        <v>10</v>
      </c>
      <c r="R3" s="1" t="s">
        <v>6</v>
      </c>
      <c r="S3" s="1" t="s">
        <v>7</v>
      </c>
      <c r="U3" s="1" t="s">
        <v>10</v>
      </c>
      <c r="V3" s="1" t="s">
        <v>6</v>
      </c>
      <c r="W3" s="1" t="s">
        <v>7</v>
      </c>
      <c r="Y3" s="1" t="s">
        <v>10</v>
      </c>
      <c r="Z3" s="1" t="s">
        <v>6</v>
      </c>
      <c r="AA3" s="1" t="s">
        <v>7</v>
      </c>
    </row>
    <row r="4" spans="1:27" ht="18" customHeight="1"/>
    <row r="5" spans="1:27" ht="18" customHeight="1">
      <c r="A5" t="s">
        <v>14</v>
      </c>
      <c r="B5">
        <v>500</v>
      </c>
      <c r="C5">
        <v>1500</v>
      </c>
    </row>
    <row r="6" spans="1:27" ht="18" customHeight="1">
      <c r="A6" t="s">
        <v>15</v>
      </c>
      <c r="B6">
        <v>600</v>
      </c>
      <c r="C6">
        <v>1400</v>
      </c>
      <c r="E6">
        <v>14.166600000000001</v>
      </c>
      <c r="F6">
        <v>10.4359</v>
      </c>
      <c r="G6">
        <v>16.2895</v>
      </c>
      <c r="I6">
        <v>14.320499999999999</v>
      </c>
      <c r="J6">
        <v>10.9704</v>
      </c>
      <c r="K6">
        <v>16.138999999999999</v>
      </c>
      <c r="M6">
        <v>14.0191</v>
      </c>
      <c r="N6">
        <v>9.8530999999999995</v>
      </c>
      <c r="O6">
        <v>16.512599999999999</v>
      </c>
      <c r="Q6">
        <v>13.312900000000001</v>
      </c>
      <c r="R6">
        <v>15.391500000000001</v>
      </c>
      <c r="S6">
        <v>12.5396</v>
      </c>
      <c r="U6">
        <v>13.150499999999999</v>
      </c>
      <c r="V6">
        <v>7.9884000000000004</v>
      </c>
      <c r="W6">
        <v>16.670000000000002</v>
      </c>
      <c r="Y6">
        <v>13.7254</v>
      </c>
      <c r="Z6">
        <v>14.770099999999999</v>
      </c>
      <c r="AA6">
        <v>13.3162</v>
      </c>
    </row>
    <row r="7" spans="1:27" ht="18" customHeight="1">
      <c r="A7" t="s">
        <v>16</v>
      </c>
      <c r="B7">
        <v>700</v>
      </c>
      <c r="C7">
        <v>1300</v>
      </c>
    </row>
    <row r="8" spans="1:27" ht="18" customHeight="1">
      <c r="A8" t="s">
        <v>17</v>
      </c>
      <c r="B8">
        <v>800</v>
      </c>
      <c r="C8">
        <v>1200</v>
      </c>
      <c r="E8">
        <v>14.9901</v>
      </c>
      <c r="F8">
        <v>13.468</v>
      </c>
      <c r="G8">
        <v>16.210999999999999</v>
      </c>
      <c r="I8">
        <v>14.391400000000001</v>
      </c>
      <c r="J8">
        <v>13.5174</v>
      </c>
      <c r="K8">
        <v>15.045500000000001</v>
      </c>
      <c r="M8">
        <v>14.8239</v>
      </c>
      <c r="N8">
        <v>12.7501</v>
      </c>
      <c r="O8">
        <v>16.553899999999999</v>
      </c>
      <c r="Q8">
        <v>13.280099999999999</v>
      </c>
      <c r="R8">
        <v>14.4199</v>
      </c>
      <c r="S8">
        <v>12.4885</v>
      </c>
      <c r="U8">
        <v>13.045299999999999</v>
      </c>
      <c r="V8">
        <v>9.4700000000000006</v>
      </c>
      <c r="W8">
        <v>16.670000000000002</v>
      </c>
      <c r="Y8">
        <v>15.5214</v>
      </c>
      <c r="Z8">
        <v>14.856299999999999</v>
      </c>
      <c r="AA8">
        <v>16.002700000000001</v>
      </c>
    </row>
    <row r="9" spans="1:27" ht="18" customHeight="1">
      <c r="B9">
        <v>900</v>
      </c>
      <c r="C9">
        <v>1100</v>
      </c>
    </row>
    <row r="10" spans="1:27" ht="18" customHeight="1">
      <c r="B10">
        <v>1000</v>
      </c>
      <c r="C10">
        <v>1000</v>
      </c>
      <c r="E10">
        <v>13.1419</v>
      </c>
      <c r="F10">
        <v>12.09</v>
      </c>
      <c r="G10">
        <v>14.3004</v>
      </c>
      <c r="I10">
        <v>12.872999999999999</v>
      </c>
      <c r="J10">
        <v>11.718400000000001</v>
      </c>
      <c r="K10">
        <v>14.144399999999999</v>
      </c>
      <c r="M10" s="1">
        <v>13.1357</v>
      </c>
      <c r="N10" s="1">
        <v>11.4564</v>
      </c>
      <c r="O10" s="1">
        <v>15.02</v>
      </c>
      <c r="Q10" s="1">
        <v>12.597</v>
      </c>
      <c r="R10" s="1">
        <v>12.8719</v>
      </c>
      <c r="S10" s="1">
        <v>12.327199999999999</v>
      </c>
      <c r="U10" s="1">
        <v>11.3217</v>
      </c>
      <c r="V10" s="1">
        <v>7.9661</v>
      </c>
      <c r="W10" s="1">
        <v>16.670000000000002</v>
      </c>
      <c r="Y10" s="1">
        <v>13.4411</v>
      </c>
      <c r="Z10" s="1">
        <v>11.9498</v>
      </c>
      <c r="AA10" s="1">
        <v>15.1425</v>
      </c>
    </row>
    <row r="11" spans="1:27" ht="18" customHeight="1">
      <c r="B11">
        <v>1100</v>
      </c>
      <c r="C11">
        <v>900</v>
      </c>
    </row>
    <row r="12" spans="1:27" ht="18" customHeight="1">
      <c r="B12">
        <v>1200</v>
      </c>
      <c r="C12">
        <v>800</v>
      </c>
      <c r="E12">
        <v>11.388299999999999</v>
      </c>
      <c r="F12">
        <v>10.1153</v>
      </c>
      <c r="G12">
        <v>13.871499999999999</v>
      </c>
      <c r="I12">
        <v>11.4443</v>
      </c>
      <c r="J12">
        <v>10.277200000000001</v>
      </c>
      <c r="K12">
        <v>13.735200000000001</v>
      </c>
      <c r="M12" s="1">
        <v>11.7288</v>
      </c>
      <c r="N12" s="1">
        <v>9.9786999999999999</v>
      </c>
      <c r="O12" s="1">
        <v>15.3841</v>
      </c>
      <c r="Q12" s="1">
        <v>10.7125</v>
      </c>
      <c r="R12" s="1">
        <v>10.478</v>
      </c>
      <c r="S12" s="1">
        <v>11.1204</v>
      </c>
      <c r="U12" s="1">
        <v>10.684900000000001</v>
      </c>
      <c r="V12" s="1">
        <v>8.2118000000000002</v>
      </c>
      <c r="W12" s="1">
        <v>16.670000000000002</v>
      </c>
      <c r="Y12" s="1">
        <v>13.9818</v>
      </c>
      <c r="Z12" s="1">
        <v>12.6904</v>
      </c>
      <c r="AA12" s="1">
        <v>16.434899999999999</v>
      </c>
    </row>
    <row r="13" spans="1:27" ht="18" customHeight="1">
      <c r="B13">
        <v>1300</v>
      </c>
      <c r="C13">
        <v>700</v>
      </c>
    </row>
    <row r="14" spans="1:27" ht="18" customHeight="1">
      <c r="B14">
        <v>1400</v>
      </c>
      <c r="C14">
        <v>600</v>
      </c>
      <c r="E14">
        <v>14.0421</v>
      </c>
      <c r="F14">
        <v>13.654999999999999</v>
      </c>
      <c r="G14">
        <v>15.1709</v>
      </c>
      <c r="I14">
        <v>14.053699999999999</v>
      </c>
      <c r="J14">
        <v>13.6165</v>
      </c>
      <c r="K14">
        <v>15.3302</v>
      </c>
      <c r="M14">
        <v>13.753399999999999</v>
      </c>
      <c r="N14">
        <v>12.9107</v>
      </c>
      <c r="O14">
        <v>16.2441</v>
      </c>
      <c r="Q14">
        <v>12.3773</v>
      </c>
      <c r="R14">
        <v>13.013999999999999</v>
      </c>
      <c r="S14">
        <v>10.870200000000001</v>
      </c>
      <c r="U14">
        <v>13.3812</v>
      </c>
      <c r="V14">
        <v>12.337300000000001</v>
      </c>
      <c r="W14">
        <v>16.670000000000002</v>
      </c>
      <c r="Y14">
        <v>13.6152</v>
      </c>
      <c r="Z14">
        <v>12.7003</v>
      </c>
      <c r="AA14">
        <v>16.458200000000001</v>
      </c>
    </row>
    <row r="15" spans="1:27" ht="18" customHeight="1">
      <c r="B15">
        <v>1500</v>
      </c>
      <c r="C15">
        <v>500</v>
      </c>
    </row>
    <row r="16" spans="1:27" ht="18" customHeight="1"/>
    <row r="17" spans="1:27" ht="18" customHeight="1">
      <c r="B17">
        <v>1000</v>
      </c>
      <c r="C17">
        <v>1400</v>
      </c>
      <c r="E17">
        <v>12.7493</v>
      </c>
      <c r="F17">
        <v>10.423</v>
      </c>
      <c r="G17">
        <v>14.932399999999999</v>
      </c>
      <c r="I17">
        <v>12.7279</v>
      </c>
      <c r="J17">
        <v>11.3878</v>
      </c>
      <c r="K17">
        <v>13.811999999999999</v>
      </c>
      <c r="M17">
        <v>12.119199999999999</v>
      </c>
      <c r="N17">
        <v>8.6335999999999995</v>
      </c>
      <c r="O17">
        <v>15.9701</v>
      </c>
      <c r="Q17">
        <v>11.4801</v>
      </c>
      <c r="R17">
        <v>12.5657</v>
      </c>
      <c r="S17">
        <v>10.7271</v>
      </c>
      <c r="U17">
        <v>11.4336</v>
      </c>
      <c r="V17">
        <v>7.0507</v>
      </c>
      <c r="W17">
        <v>16.670000000000002</v>
      </c>
      <c r="Y17">
        <v>13.6069</v>
      </c>
      <c r="Z17">
        <v>11.0456</v>
      </c>
      <c r="AA17">
        <v>15.943099999999999</v>
      </c>
    </row>
    <row r="18" spans="1:27" ht="18" customHeight="1">
      <c r="B18">
        <v>1200</v>
      </c>
      <c r="C18">
        <v>1200</v>
      </c>
      <c r="E18">
        <v>11.3454</v>
      </c>
      <c r="F18">
        <v>10.879200000000001</v>
      </c>
      <c r="G18">
        <v>11.821199999999999</v>
      </c>
      <c r="I18">
        <v>11.3454</v>
      </c>
      <c r="J18">
        <v>10.879200000000001</v>
      </c>
      <c r="K18">
        <v>11.821199999999999</v>
      </c>
      <c r="M18">
        <v>12.867599999999999</v>
      </c>
      <c r="N18">
        <v>10.363</v>
      </c>
      <c r="O18">
        <v>16.1692</v>
      </c>
      <c r="Q18">
        <v>10.9604</v>
      </c>
      <c r="R18">
        <v>13.0512</v>
      </c>
      <c r="S18">
        <v>9.2394999999999996</v>
      </c>
      <c r="U18">
        <v>9.6326000000000001</v>
      </c>
      <c r="V18">
        <v>5.7077</v>
      </c>
      <c r="W18">
        <v>16.670000000000002</v>
      </c>
      <c r="Y18">
        <v>13.543699999999999</v>
      </c>
      <c r="Z18">
        <v>11.4689</v>
      </c>
      <c r="AA18">
        <v>16.116399999999999</v>
      </c>
    </row>
    <row r="19" spans="1:27" ht="18" customHeight="1">
      <c r="B19">
        <v>1400</v>
      </c>
      <c r="C19">
        <v>1000</v>
      </c>
      <c r="E19">
        <v>10.469099999999999</v>
      </c>
      <c r="F19">
        <v>9.1065000000000005</v>
      </c>
      <c r="G19">
        <v>12.917999999999999</v>
      </c>
      <c r="I19">
        <v>9.4792000000000005</v>
      </c>
      <c r="J19">
        <v>8.9497999999999998</v>
      </c>
      <c r="K19">
        <v>10.293799999999999</v>
      </c>
      <c r="M19">
        <v>11.7318</v>
      </c>
      <c r="N19">
        <v>9.9062000000000001</v>
      </c>
      <c r="O19">
        <v>15.3864</v>
      </c>
      <c r="Q19">
        <v>8.7582000000000004</v>
      </c>
      <c r="R19">
        <v>8.7843999999999998</v>
      </c>
      <c r="S19">
        <v>8.7207000000000008</v>
      </c>
      <c r="U19">
        <v>10.006600000000001</v>
      </c>
      <c r="V19">
        <v>7.2686000000000002</v>
      </c>
      <c r="W19">
        <v>16.670000000000002</v>
      </c>
      <c r="Y19">
        <v>11.779</v>
      </c>
      <c r="Z19">
        <v>9.9027999999999992</v>
      </c>
      <c r="AA19">
        <v>15.6425</v>
      </c>
    </row>
    <row r="20" spans="1:27" ht="18" customHeight="1">
      <c r="B20">
        <v>800</v>
      </c>
      <c r="C20">
        <v>800</v>
      </c>
      <c r="E20">
        <v>14.7547</v>
      </c>
      <c r="F20">
        <v>14.645200000000001</v>
      </c>
      <c r="G20">
        <v>14.864100000000001</v>
      </c>
      <c r="I20">
        <v>14.742900000000001</v>
      </c>
      <c r="J20">
        <v>14.633599999999999</v>
      </c>
      <c r="K20">
        <v>14.8522</v>
      </c>
      <c r="M20">
        <v>15.206799999999999</v>
      </c>
      <c r="N20">
        <v>13.9285</v>
      </c>
      <c r="O20">
        <v>16.670000000000002</v>
      </c>
      <c r="Q20">
        <v>14.3626</v>
      </c>
      <c r="R20">
        <v>14.8675</v>
      </c>
      <c r="S20">
        <v>13.863300000000001</v>
      </c>
      <c r="U20">
        <v>14.4558</v>
      </c>
      <c r="V20">
        <v>12.658099999999999</v>
      </c>
      <c r="W20">
        <v>16.670000000000002</v>
      </c>
      <c r="Y20">
        <v>15.5282</v>
      </c>
      <c r="Z20">
        <v>14.699199999999999</v>
      </c>
      <c r="AA20">
        <v>16.432500000000001</v>
      </c>
    </row>
    <row r="21" spans="1:27" ht="18" customHeight="1"/>
    <row r="22" spans="1:27" ht="18" customHeight="1">
      <c r="B22">
        <v>500</v>
      </c>
      <c r="C22">
        <v>1500</v>
      </c>
    </row>
    <row r="23" spans="1:27" ht="18" customHeight="1">
      <c r="A23" t="s">
        <v>18</v>
      </c>
      <c r="B23">
        <v>600</v>
      </c>
      <c r="C23">
        <v>1400</v>
      </c>
      <c r="E23">
        <v>13.5777</v>
      </c>
      <c r="F23">
        <v>8.8672000000000004</v>
      </c>
      <c r="G23">
        <v>16.198799999999999</v>
      </c>
      <c r="I23">
        <v>13.769600000000001</v>
      </c>
      <c r="J23">
        <v>9.4893000000000001</v>
      </c>
      <c r="K23">
        <v>16.011399999999998</v>
      </c>
      <c r="M23">
        <v>13.3972</v>
      </c>
      <c r="N23">
        <v>8.2045999999999992</v>
      </c>
      <c r="O23">
        <v>16.479099999999999</v>
      </c>
      <c r="Q23">
        <v>12.524100000000001</v>
      </c>
      <c r="R23">
        <v>15.182499999999999</v>
      </c>
      <c r="S23">
        <v>11.6746</v>
      </c>
      <c r="U23">
        <v>12.3375</v>
      </c>
      <c r="V23">
        <v>6.1372999999999998</v>
      </c>
      <c r="W23">
        <v>16.670000000000002</v>
      </c>
      <c r="Y23">
        <v>13.0259</v>
      </c>
      <c r="Z23">
        <v>14.3148</v>
      </c>
      <c r="AA23">
        <v>12.586</v>
      </c>
    </row>
    <row r="24" spans="1:27" ht="18" customHeight="1">
      <c r="B24">
        <v>700</v>
      </c>
      <c r="C24">
        <v>1300</v>
      </c>
    </row>
    <row r="25" spans="1:27" ht="18" customHeight="1">
      <c r="B25">
        <v>800</v>
      </c>
      <c r="C25">
        <v>1200</v>
      </c>
      <c r="E25">
        <v>14.6661</v>
      </c>
      <c r="F25">
        <v>12.455399999999999</v>
      </c>
      <c r="G25">
        <v>16.163699999999999</v>
      </c>
      <c r="I25">
        <v>13.9323</v>
      </c>
      <c r="J25">
        <v>12.4963</v>
      </c>
      <c r="K25">
        <v>14.8264</v>
      </c>
      <c r="M25">
        <v>14.463100000000001</v>
      </c>
      <c r="N25">
        <v>11.522600000000001</v>
      </c>
      <c r="O25">
        <v>16.561199999999999</v>
      </c>
      <c r="Q25">
        <v>12.585900000000001</v>
      </c>
      <c r="R25">
        <v>13.735200000000001</v>
      </c>
      <c r="S25">
        <v>11.930199999999999</v>
      </c>
      <c r="U25">
        <v>11.172599999999999</v>
      </c>
      <c r="V25">
        <v>7.8994999999999997</v>
      </c>
      <c r="W25">
        <v>16.670000000000002</v>
      </c>
      <c r="Y25">
        <v>15.322800000000001</v>
      </c>
      <c r="Z25">
        <v>14.303599999999999</v>
      </c>
      <c r="AA25">
        <v>15.924799999999999</v>
      </c>
    </row>
    <row r="26" spans="1:27" ht="18" customHeight="1">
      <c r="B26">
        <v>900</v>
      </c>
      <c r="C26">
        <v>1100</v>
      </c>
    </row>
    <row r="27" spans="1:27" ht="18" customHeight="1">
      <c r="B27">
        <v>1000</v>
      </c>
      <c r="C27">
        <v>1000</v>
      </c>
      <c r="E27">
        <v>12.4185</v>
      </c>
      <c r="F27">
        <v>10.999499999999999</v>
      </c>
      <c r="G27">
        <v>13.886900000000001</v>
      </c>
      <c r="I27">
        <v>12.0906</v>
      </c>
      <c r="J27">
        <v>10.5329</v>
      </c>
      <c r="K27">
        <v>13.7027</v>
      </c>
      <c r="M27" s="1">
        <v>12.409000000000001</v>
      </c>
      <c r="N27" s="1">
        <v>10.208399999999999</v>
      </c>
      <c r="O27" s="1">
        <v>14.738899999999999</v>
      </c>
      <c r="Q27" s="1">
        <v>11.782999999999999</v>
      </c>
      <c r="R27" s="1">
        <v>11.962999999999999</v>
      </c>
      <c r="S27" s="1">
        <v>11.620699999999999</v>
      </c>
      <c r="U27" s="1">
        <v>10.4366</v>
      </c>
      <c r="V27" s="1">
        <v>6.5744999999999996</v>
      </c>
      <c r="W27" s="1">
        <v>16.670000000000002</v>
      </c>
      <c r="Y27" s="1">
        <v>12.7849</v>
      </c>
      <c r="Z27" s="1">
        <v>10.8474</v>
      </c>
      <c r="AA27" s="1">
        <v>14.8934</v>
      </c>
    </row>
    <row r="28" spans="1:27" ht="18" customHeight="1">
      <c r="B28">
        <v>1100</v>
      </c>
      <c r="C28">
        <v>900</v>
      </c>
    </row>
    <row r="29" spans="1:27" ht="18" customHeight="1">
      <c r="B29">
        <v>1200</v>
      </c>
      <c r="C29">
        <v>800</v>
      </c>
      <c r="E29">
        <v>10.3256</v>
      </c>
      <c r="F29">
        <v>8.8140999999999998</v>
      </c>
      <c r="G29">
        <v>13.3177</v>
      </c>
      <c r="I29">
        <v>10.3916</v>
      </c>
      <c r="J29">
        <v>9.0115999999999996</v>
      </c>
      <c r="K29">
        <v>13.144399999999999</v>
      </c>
      <c r="M29" s="1">
        <v>10.742000000000001</v>
      </c>
      <c r="N29" s="1">
        <v>8.6821000000000002</v>
      </c>
      <c r="O29" s="1">
        <v>15.1791</v>
      </c>
      <c r="Q29" s="1">
        <v>9.4907000000000004</v>
      </c>
      <c r="R29" s="1">
        <v>9.1882999999999999</v>
      </c>
      <c r="S29" s="1">
        <v>10.010899999999999</v>
      </c>
      <c r="U29" s="1">
        <v>9.7020999999999997</v>
      </c>
      <c r="V29" s="1">
        <v>6.9927999999999999</v>
      </c>
      <c r="W29" s="1">
        <v>16.670000000000002</v>
      </c>
      <c r="Y29" s="1">
        <v>13.42</v>
      </c>
      <c r="Z29" s="1">
        <v>11.8773</v>
      </c>
      <c r="AA29" s="1">
        <v>16.3796</v>
      </c>
    </row>
    <row r="30" spans="1:27" ht="18" customHeight="1">
      <c r="B30">
        <v>1300</v>
      </c>
      <c r="C30">
        <v>700</v>
      </c>
    </row>
    <row r="31" spans="1:27" ht="18" customHeight="1">
      <c r="B31">
        <v>1400</v>
      </c>
      <c r="C31">
        <v>600</v>
      </c>
      <c r="E31">
        <v>13.5566</v>
      </c>
      <c r="F31">
        <v>13.1112</v>
      </c>
      <c r="G31">
        <v>14.8582</v>
      </c>
      <c r="I31">
        <v>13.5722</v>
      </c>
      <c r="J31">
        <v>13.0627</v>
      </c>
      <c r="K31">
        <v>15.063700000000001</v>
      </c>
      <c r="M31">
        <v>13.186199999999999</v>
      </c>
      <c r="N31">
        <v>12.1585</v>
      </c>
      <c r="O31">
        <v>16.242100000000001</v>
      </c>
      <c r="Q31">
        <v>11.4923</v>
      </c>
      <c r="R31">
        <v>12.2958</v>
      </c>
      <c r="S31">
        <v>9.6836000000000002</v>
      </c>
      <c r="U31">
        <v>12.9369</v>
      </c>
      <c r="V31">
        <v>11.7746</v>
      </c>
      <c r="W31">
        <v>16.670000000000002</v>
      </c>
      <c r="Y31">
        <v>13.048</v>
      </c>
      <c r="Z31">
        <v>11.988</v>
      </c>
      <c r="AA31">
        <v>16.408100000000001</v>
      </c>
    </row>
    <row r="32" spans="1:27" ht="18" customHeight="1">
      <c r="B32">
        <v>1500</v>
      </c>
      <c r="C32">
        <v>500</v>
      </c>
    </row>
    <row r="33" spans="1:31" ht="18" customHeight="1"/>
    <row r="34" spans="1:31" ht="18" customHeight="1">
      <c r="B34">
        <v>1000</v>
      </c>
      <c r="C34">
        <v>1400</v>
      </c>
      <c r="E34">
        <v>11.9818</v>
      </c>
      <c r="F34">
        <v>9.1966000000000001</v>
      </c>
      <c r="G34">
        <v>14.651400000000001</v>
      </c>
      <c r="I34">
        <v>11.9557</v>
      </c>
      <c r="J34">
        <v>10.280099999999999</v>
      </c>
      <c r="K34">
        <v>13.291</v>
      </c>
      <c r="M34">
        <v>11.3515</v>
      </c>
      <c r="N34">
        <v>7.5434999999999999</v>
      </c>
      <c r="O34">
        <v>15.7826</v>
      </c>
      <c r="Q34">
        <v>10.457599999999999</v>
      </c>
      <c r="R34">
        <v>11.707599999999999</v>
      </c>
      <c r="S34">
        <v>9.6334999999999997</v>
      </c>
      <c r="U34">
        <v>10.535</v>
      </c>
      <c r="V34">
        <v>5.7394999999999996</v>
      </c>
      <c r="W34">
        <v>16.670000000000002</v>
      </c>
      <c r="Y34">
        <v>13.023099999999999</v>
      </c>
      <c r="Z34">
        <v>9.8933999999999997</v>
      </c>
      <c r="AA34">
        <v>15.920500000000001</v>
      </c>
    </row>
    <row r="35" spans="1:31" ht="18" customHeight="1">
      <c r="B35">
        <v>1200</v>
      </c>
      <c r="C35">
        <v>1200</v>
      </c>
      <c r="E35">
        <v>10.330299999999999</v>
      </c>
      <c r="F35">
        <v>9.6176999999999992</v>
      </c>
      <c r="G35">
        <v>11.020200000000001</v>
      </c>
      <c r="I35">
        <v>10.330299999999999</v>
      </c>
      <c r="J35">
        <v>9.6176999999999992</v>
      </c>
      <c r="K35">
        <v>11.020200000000001</v>
      </c>
      <c r="M35">
        <v>12.117900000000001</v>
      </c>
      <c r="N35">
        <v>9.0580999999999996</v>
      </c>
      <c r="O35">
        <v>16.157800000000002</v>
      </c>
      <c r="Q35">
        <v>9.8800000000000008</v>
      </c>
      <c r="R35">
        <v>12.227499999999999</v>
      </c>
      <c r="S35">
        <v>8.1295000000000002</v>
      </c>
      <c r="U35">
        <v>8.5670999999999999</v>
      </c>
      <c r="V35">
        <v>4.2992999999999997</v>
      </c>
      <c r="W35">
        <v>16.670000000000002</v>
      </c>
      <c r="Y35">
        <v>12.933199999999999</v>
      </c>
      <c r="Z35">
        <v>10.351900000000001</v>
      </c>
      <c r="AA35">
        <v>16.093</v>
      </c>
    </row>
    <row r="36" spans="1:31" ht="18" customHeight="1">
      <c r="B36">
        <v>1400</v>
      </c>
      <c r="C36">
        <v>1000</v>
      </c>
      <c r="E36">
        <v>9.3849</v>
      </c>
      <c r="F36">
        <v>7.8297999999999996</v>
      </c>
      <c r="G36">
        <v>12.2544</v>
      </c>
      <c r="I36">
        <v>8.2386999999999997</v>
      </c>
      <c r="J36">
        <v>7.6143999999999998</v>
      </c>
      <c r="K36">
        <v>9.1912000000000003</v>
      </c>
      <c r="M36">
        <v>10.8459</v>
      </c>
      <c r="N36">
        <v>8.7767999999999997</v>
      </c>
      <c r="O36">
        <v>15.2331</v>
      </c>
      <c r="Q36">
        <v>7.3959999999999999</v>
      </c>
      <c r="R36">
        <v>7.3636999999999997</v>
      </c>
      <c r="S36">
        <v>7.4413</v>
      </c>
      <c r="U36">
        <v>8.8543000000000003</v>
      </c>
      <c r="V36">
        <v>5.9463999999999997</v>
      </c>
      <c r="W36">
        <v>16.670000000000002</v>
      </c>
      <c r="Y36">
        <v>10.9063</v>
      </c>
      <c r="Z36">
        <v>8.7873000000000001</v>
      </c>
      <c r="AA36">
        <v>15.5632</v>
      </c>
    </row>
    <row r="37" spans="1:31" s="2" customFormat="1" ht="18" customHeight="1">
      <c r="B37" s="2">
        <v>800</v>
      </c>
      <c r="C37" s="2">
        <v>800</v>
      </c>
      <c r="E37" s="2">
        <v>14.267099999999999</v>
      </c>
      <c r="F37" s="2">
        <v>13.8665</v>
      </c>
      <c r="G37" s="2">
        <v>14.595599999999999</v>
      </c>
      <c r="I37" s="2">
        <v>14.2522</v>
      </c>
      <c r="J37" s="2">
        <v>13.850199999999999</v>
      </c>
      <c r="K37" s="2">
        <v>14.581899999999999</v>
      </c>
      <c r="M37" s="2">
        <v>14.8256</v>
      </c>
      <c r="N37" s="2">
        <v>12.923500000000001</v>
      </c>
      <c r="O37" s="2">
        <v>16.670000000000002</v>
      </c>
      <c r="Q37" s="2">
        <v>13.7753</v>
      </c>
      <c r="R37" s="2">
        <v>14.176299999999999</v>
      </c>
      <c r="S37" s="2">
        <v>13.450200000000001</v>
      </c>
      <c r="U37" s="2">
        <v>13.9008</v>
      </c>
      <c r="V37" s="2">
        <v>11.3156</v>
      </c>
      <c r="W37" s="2">
        <v>16.670000000000002</v>
      </c>
      <c r="Y37" s="2">
        <v>15.2296</v>
      </c>
      <c r="Z37" s="2">
        <v>13.9506</v>
      </c>
      <c r="AA37" s="2">
        <v>16.393799999999999</v>
      </c>
    </row>
    <row r="38" spans="1:31" ht="18" customHeight="1"/>
    <row r="39" spans="1:31" ht="18" customHeight="1">
      <c r="A39" t="s">
        <v>14</v>
      </c>
      <c r="B39">
        <v>500</v>
      </c>
      <c r="C39">
        <v>1500</v>
      </c>
    </row>
    <row r="40" spans="1:31" ht="18" customHeight="1">
      <c r="A40" t="s">
        <v>19</v>
      </c>
      <c r="B40">
        <v>600</v>
      </c>
      <c r="C40">
        <v>1400</v>
      </c>
      <c r="E40">
        <v>14.398400000000001</v>
      </c>
      <c r="F40">
        <v>11.2399</v>
      </c>
      <c r="G40">
        <v>16.037800000000001</v>
      </c>
      <c r="I40">
        <v>14.398400000000001</v>
      </c>
      <c r="J40">
        <v>11.2399</v>
      </c>
      <c r="K40">
        <v>16.037800000000001</v>
      </c>
      <c r="M40">
        <v>11.866099999999999</v>
      </c>
      <c r="N40">
        <v>5.9128999999999996</v>
      </c>
      <c r="O40">
        <v>16.670000000000002</v>
      </c>
      <c r="Q40">
        <v>12.7173</v>
      </c>
      <c r="R40">
        <v>14.2921</v>
      </c>
      <c r="S40">
        <v>12.1089</v>
      </c>
      <c r="U40">
        <v>11.866099999999999</v>
      </c>
      <c r="V40">
        <v>5.9128999999999996</v>
      </c>
      <c r="W40">
        <v>16.670000000000002</v>
      </c>
      <c r="Y40">
        <v>13.0215</v>
      </c>
      <c r="Z40">
        <v>7.7986000000000004</v>
      </c>
      <c r="AA40">
        <v>16.556619999999999</v>
      </c>
      <c r="AC40">
        <v>14.0814</v>
      </c>
      <c r="AD40">
        <v>10.1882</v>
      </c>
      <c r="AE40">
        <v>16.250499999999999</v>
      </c>
    </row>
    <row r="41" spans="1:31" ht="18" customHeight="1">
      <c r="A41" t="s">
        <v>16</v>
      </c>
      <c r="B41">
        <v>700</v>
      </c>
      <c r="C41">
        <v>1300</v>
      </c>
    </row>
    <row r="42" spans="1:31" ht="18" customHeight="1">
      <c r="A42" t="s">
        <v>17</v>
      </c>
      <c r="B42">
        <v>800</v>
      </c>
      <c r="C42">
        <v>1200</v>
      </c>
      <c r="E42">
        <v>12.27</v>
      </c>
      <c r="F42">
        <v>9.8374000000000006</v>
      </c>
      <c r="G42">
        <v>14.449199999999999</v>
      </c>
      <c r="I42">
        <v>12.130100000000001</v>
      </c>
      <c r="J42">
        <v>9.9361999999999995</v>
      </c>
      <c r="K42">
        <v>14.0449</v>
      </c>
      <c r="M42">
        <v>13.638199999999999</v>
      </c>
      <c r="N42">
        <v>10.552</v>
      </c>
      <c r="O42">
        <v>16.4756</v>
      </c>
      <c r="Q42">
        <v>10.5161</v>
      </c>
      <c r="R42">
        <v>12.7879</v>
      </c>
      <c r="S42">
        <v>9.0541</v>
      </c>
      <c r="U42">
        <v>10.832100000000001</v>
      </c>
      <c r="V42">
        <v>6.2907000000000002</v>
      </c>
      <c r="W42">
        <v>16.651399999999999</v>
      </c>
      <c r="Y42">
        <v>11.8565</v>
      </c>
      <c r="Z42">
        <v>7.83</v>
      </c>
      <c r="AA42">
        <v>16.303799999999999</v>
      </c>
      <c r="AC42">
        <v>12.27</v>
      </c>
      <c r="AD42">
        <v>9.8374000000000006</v>
      </c>
      <c r="AE42">
        <v>14.449199999999999</v>
      </c>
    </row>
    <row r="43" spans="1:31" ht="18" customHeight="1">
      <c r="B43">
        <v>900</v>
      </c>
      <c r="C43">
        <v>1100</v>
      </c>
    </row>
    <row r="44" spans="1:31" ht="18" customHeight="1">
      <c r="B44">
        <v>1000</v>
      </c>
      <c r="C44">
        <v>1000</v>
      </c>
      <c r="E44">
        <v>12.6874</v>
      </c>
      <c r="F44">
        <v>10.7624</v>
      </c>
      <c r="G44">
        <v>15.132099999999999</v>
      </c>
      <c r="I44">
        <v>12.236800000000001</v>
      </c>
      <c r="J44">
        <v>10.361499999999999</v>
      </c>
      <c r="K44">
        <v>14.5662</v>
      </c>
      <c r="M44">
        <v>11.6234</v>
      </c>
      <c r="N44">
        <v>8.3356999999999992</v>
      </c>
      <c r="O44">
        <v>16.6052</v>
      </c>
      <c r="Q44">
        <v>12.257899999999999</v>
      </c>
      <c r="R44">
        <v>12.156000000000001</v>
      </c>
      <c r="S44">
        <v>12.3606</v>
      </c>
      <c r="U44">
        <v>11.043799999999999</v>
      </c>
      <c r="V44">
        <v>7.5644</v>
      </c>
      <c r="W44">
        <v>16.6266</v>
      </c>
      <c r="Y44">
        <v>11.6234</v>
      </c>
      <c r="Z44">
        <v>8.3356999999999992</v>
      </c>
      <c r="AA44">
        <v>16.6052</v>
      </c>
      <c r="AC44">
        <v>12.6874</v>
      </c>
      <c r="AD44">
        <v>10.7624</v>
      </c>
      <c r="AE44">
        <v>15.132099999999999</v>
      </c>
    </row>
    <row r="45" spans="1:31" ht="18" customHeight="1">
      <c r="B45">
        <v>1100</v>
      </c>
      <c r="C45">
        <v>900</v>
      </c>
    </row>
    <row r="46" spans="1:31" ht="18" customHeight="1">
      <c r="B46">
        <v>1200</v>
      </c>
      <c r="C46">
        <v>800</v>
      </c>
      <c r="E46">
        <v>9.9168000000000003</v>
      </c>
      <c r="F46">
        <v>8.3142999999999994</v>
      </c>
      <c r="G46">
        <v>13.3499</v>
      </c>
      <c r="I46">
        <v>10.1717</v>
      </c>
      <c r="J46">
        <v>8.8186999999999998</v>
      </c>
      <c r="K46">
        <v>13.098599999999999</v>
      </c>
      <c r="M46">
        <v>9.1454000000000004</v>
      </c>
      <c r="N46">
        <v>6.4093999999999998</v>
      </c>
      <c r="O46">
        <v>16.1907</v>
      </c>
      <c r="Q46">
        <v>10.111499999999999</v>
      </c>
      <c r="R46">
        <v>8.6724999999999994</v>
      </c>
      <c r="S46">
        <v>13.109</v>
      </c>
      <c r="U46">
        <v>9.3262</v>
      </c>
      <c r="V46">
        <v>6.5603999999999996</v>
      </c>
      <c r="W46">
        <v>16.550599999999999</v>
      </c>
      <c r="Y46">
        <v>9.3262</v>
      </c>
      <c r="Z46">
        <v>6.5603999999999996</v>
      </c>
      <c r="AA46">
        <v>16.550599999999999</v>
      </c>
      <c r="AC46">
        <v>9.9168000000000003</v>
      </c>
      <c r="AD46">
        <v>8.3142999999999994</v>
      </c>
      <c r="AE46">
        <v>13.3499</v>
      </c>
    </row>
    <row r="47" spans="1:31" ht="18" customHeight="1">
      <c r="B47">
        <v>1300</v>
      </c>
      <c r="C47">
        <v>700</v>
      </c>
    </row>
    <row r="48" spans="1:31" ht="18" customHeight="1">
      <c r="B48">
        <v>1400</v>
      </c>
      <c r="C48">
        <v>600</v>
      </c>
      <c r="E48">
        <v>8.9374000000000002</v>
      </c>
      <c r="F48">
        <v>7.6741000000000001</v>
      </c>
      <c r="G48">
        <v>13.4215</v>
      </c>
      <c r="I48">
        <v>8.9374000000000002</v>
      </c>
      <c r="J48">
        <v>7.6741000000000001</v>
      </c>
      <c r="K48">
        <v>13.4215</v>
      </c>
      <c r="M48">
        <v>8.1456999999999997</v>
      </c>
      <c r="N48">
        <v>6.1436999999999999</v>
      </c>
      <c r="O48">
        <v>16.556699999999999</v>
      </c>
      <c r="Q48">
        <v>8.9440000000000008</v>
      </c>
      <c r="R48">
        <v>7.7740999999999998</v>
      </c>
      <c r="S48">
        <v>13.179399999999999</v>
      </c>
      <c r="U48">
        <v>8.2695000000000007</v>
      </c>
      <c r="V48">
        <v>6.3266999999999998</v>
      </c>
      <c r="W48">
        <v>16.617699999999999</v>
      </c>
      <c r="Y48">
        <v>8.2695000000000007</v>
      </c>
      <c r="Z48">
        <v>6.3266999999999998</v>
      </c>
      <c r="AA48">
        <v>16.617699999999999</v>
      </c>
      <c r="AC48">
        <v>8.9440000000000008</v>
      </c>
      <c r="AD48">
        <v>7.7740999999999998</v>
      </c>
      <c r="AE48">
        <v>13.179399999999999</v>
      </c>
    </row>
    <row r="49" spans="1:31" ht="18" customHeight="1">
      <c r="B49">
        <v>1500</v>
      </c>
      <c r="C49">
        <v>500</v>
      </c>
    </row>
    <row r="50" spans="1:31" ht="18" customHeight="1"/>
    <row r="51" spans="1:31" ht="18" customHeight="1">
      <c r="B51">
        <v>1000</v>
      </c>
      <c r="C51">
        <v>1400</v>
      </c>
      <c r="E51">
        <v>9.9670000000000005</v>
      </c>
      <c r="F51">
        <v>7.4561000000000002</v>
      </c>
      <c r="G51">
        <v>12.5853</v>
      </c>
      <c r="I51">
        <v>10.731299999999999</v>
      </c>
      <c r="J51">
        <v>8.3483000000000001</v>
      </c>
      <c r="K51">
        <v>12.990500000000001</v>
      </c>
      <c r="M51">
        <v>9.6740999999999993</v>
      </c>
      <c r="N51">
        <v>4.7515999999999998</v>
      </c>
      <c r="O51">
        <v>16.611799999999999</v>
      </c>
      <c r="Q51">
        <v>9.2378999999999998</v>
      </c>
      <c r="R51">
        <v>9.3615999999999993</v>
      </c>
      <c r="S51">
        <v>9.1411999999999995</v>
      </c>
      <c r="U51">
        <v>9.1753</v>
      </c>
      <c r="V51">
        <v>4.1723999999999997</v>
      </c>
      <c r="W51">
        <v>16.670000000000002</v>
      </c>
      <c r="Y51">
        <v>9.6740999999999993</v>
      </c>
      <c r="Z51">
        <v>4.7515999999999998</v>
      </c>
      <c r="AA51">
        <v>16.611799999999999</v>
      </c>
      <c r="AC51">
        <v>7.5679999999999996</v>
      </c>
      <c r="AD51">
        <v>5.4051999999999998</v>
      </c>
      <c r="AE51">
        <v>9.6874000000000002</v>
      </c>
    </row>
    <row r="52" spans="1:31" ht="18" customHeight="1">
      <c r="B52">
        <v>1200</v>
      </c>
      <c r="C52">
        <v>1200</v>
      </c>
      <c r="E52">
        <v>9.7162000000000006</v>
      </c>
      <c r="F52">
        <v>6.4093999999999998</v>
      </c>
      <c r="G52">
        <v>15.026899999999999</v>
      </c>
      <c r="I52">
        <v>9.3526000000000007</v>
      </c>
      <c r="J52">
        <v>8.0490999999999993</v>
      </c>
      <c r="K52">
        <v>10.885199999999999</v>
      </c>
      <c r="M52">
        <v>10.0182</v>
      </c>
      <c r="N52">
        <v>6.1421000000000001</v>
      </c>
      <c r="O52">
        <v>16.538599999999999</v>
      </c>
      <c r="Q52">
        <v>9.7438000000000002</v>
      </c>
      <c r="R52">
        <v>8.8717000000000006</v>
      </c>
      <c r="S52">
        <v>10.7455</v>
      </c>
      <c r="U52">
        <v>9.5424000000000007</v>
      </c>
      <c r="V52">
        <v>5.4957000000000003</v>
      </c>
      <c r="W52">
        <v>16.670000000000002</v>
      </c>
      <c r="Y52">
        <v>10.0182</v>
      </c>
      <c r="Z52">
        <v>6.1421000000000001</v>
      </c>
      <c r="AA52">
        <v>16.538599999999999</v>
      </c>
      <c r="AC52">
        <v>9.7368000000000006</v>
      </c>
      <c r="AD52">
        <v>6.4520999999999997</v>
      </c>
      <c r="AE52">
        <v>15.0067</v>
      </c>
    </row>
    <row r="53" spans="1:31" ht="18" customHeight="1">
      <c r="B53">
        <v>1400</v>
      </c>
      <c r="C53">
        <v>1000</v>
      </c>
      <c r="E53">
        <v>9.0190000000000001</v>
      </c>
      <c r="F53">
        <v>6.7754000000000003</v>
      </c>
      <c r="G53">
        <v>13.8056</v>
      </c>
      <c r="I53">
        <v>9.0843000000000007</v>
      </c>
      <c r="J53">
        <v>6.4759000000000002</v>
      </c>
      <c r="K53">
        <v>15.1424</v>
      </c>
      <c r="M53">
        <v>8.0393000000000008</v>
      </c>
      <c r="N53">
        <v>4.8373999999999997</v>
      </c>
      <c r="O53">
        <v>16.6629</v>
      </c>
      <c r="Q53">
        <v>8.9705999999999992</v>
      </c>
      <c r="R53">
        <v>6.7845000000000004</v>
      </c>
      <c r="S53">
        <v>13.634499999999999</v>
      </c>
      <c r="U53">
        <v>8.0393000000000008</v>
      </c>
      <c r="V53">
        <v>4.8373999999999997</v>
      </c>
      <c r="W53">
        <v>16.6629</v>
      </c>
      <c r="Y53">
        <v>8.0393000000000008</v>
      </c>
      <c r="Z53">
        <v>4.8373999999999997</v>
      </c>
      <c r="AA53">
        <v>16.6219</v>
      </c>
      <c r="AC53">
        <v>9.0190000000000001</v>
      </c>
      <c r="AD53">
        <v>6.7754000000000003</v>
      </c>
      <c r="AE53">
        <v>13.8056</v>
      </c>
    </row>
    <row r="54" spans="1:31" ht="18" customHeight="1">
      <c r="B54">
        <v>800</v>
      </c>
      <c r="C54">
        <v>800</v>
      </c>
      <c r="E54">
        <v>12.584199999999999</v>
      </c>
      <c r="F54">
        <v>10.776999999999999</v>
      </c>
      <c r="G54">
        <v>14.952</v>
      </c>
      <c r="I54">
        <v>12.251799999999999</v>
      </c>
      <c r="J54">
        <v>10.6533</v>
      </c>
      <c r="K54">
        <v>14.192299999999999</v>
      </c>
      <c r="M54">
        <v>11.5566</v>
      </c>
      <c r="N54">
        <v>8.4048999999999996</v>
      </c>
      <c r="O54">
        <v>16.495899999999999</v>
      </c>
      <c r="Q54">
        <v>11.490500000000001</v>
      </c>
      <c r="R54">
        <v>12.050800000000001</v>
      </c>
      <c r="S54">
        <v>10.9071</v>
      </c>
      <c r="U54">
        <v>11.3566</v>
      </c>
      <c r="V54">
        <v>8.1225000000000005</v>
      </c>
      <c r="W54">
        <v>16.648499999999999</v>
      </c>
      <c r="Y54">
        <v>11.3566</v>
      </c>
      <c r="Z54">
        <v>8.1225000000000005</v>
      </c>
      <c r="AA54">
        <v>16.648499999999999</v>
      </c>
      <c r="AC54">
        <v>12.4278</v>
      </c>
      <c r="AD54">
        <v>10.424300000000001</v>
      </c>
      <c r="AE54">
        <v>15.1404</v>
      </c>
    </row>
    <row r="55" spans="1:31" ht="18" customHeight="1"/>
    <row r="56" spans="1:31" ht="18" customHeight="1">
      <c r="B56">
        <v>500</v>
      </c>
      <c r="C56">
        <v>1500</v>
      </c>
    </row>
    <row r="57" spans="1:31" ht="18" customHeight="1">
      <c r="A57" t="s">
        <v>18</v>
      </c>
      <c r="B57">
        <v>600</v>
      </c>
      <c r="C57">
        <v>1400</v>
      </c>
      <c r="E57">
        <v>13.934699999999999</v>
      </c>
      <c r="F57">
        <v>9.8500999999999994</v>
      </c>
      <c r="G57">
        <v>15.9537</v>
      </c>
      <c r="I57">
        <v>13.934699999999999</v>
      </c>
      <c r="J57">
        <v>9.8500999999999994</v>
      </c>
      <c r="K57">
        <v>15.9537</v>
      </c>
      <c r="M57">
        <v>10.867699999999999</v>
      </c>
      <c r="N57">
        <v>4.0987999999999998</v>
      </c>
      <c r="O57">
        <v>16.670000000000002</v>
      </c>
      <c r="Q57">
        <v>11.8635</v>
      </c>
      <c r="R57">
        <v>13.770799999999999</v>
      </c>
      <c r="S57">
        <v>11.218500000000001</v>
      </c>
      <c r="U57">
        <v>10.867699999999999</v>
      </c>
      <c r="V57">
        <v>4.0987999999999998</v>
      </c>
      <c r="W57">
        <v>16.670000000000002</v>
      </c>
      <c r="Y57">
        <v>12.2499</v>
      </c>
      <c r="Z57">
        <v>5.9607000000000001</v>
      </c>
      <c r="AA57">
        <v>16.604700000000001</v>
      </c>
      <c r="AC57">
        <v>13.5389</v>
      </c>
      <c r="AD57">
        <v>8.5914999999999999</v>
      </c>
      <c r="AE57">
        <v>16.2195</v>
      </c>
    </row>
    <row r="58" spans="1:31" ht="18" customHeight="1">
      <c r="B58">
        <v>700</v>
      </c>
      <c r="C58">
        <v>1300</v>
      </c>
    </row>
    <row r="59" spans="1:31" ht="18" customHeight="1">
      <c r="B59">
        <v>800</v>
      </c>
      <c r="C59">
        <v>1200</v>
      </c>
      <c r="E59">
        <v>11.595599999999999</v>
      </c>
      <c r="F59">
        <v>8.2931000000000008</v>
      </c>
      <c r="G59">
        <v>14.2127</v>
      </c>
      <c r="I59">
        <v>11.434699999999999</v>
      </c>
      <c r="J59">
        <v>8.4117999999999995</v>
      </c>
      <c r="K59">
        <v>13.758699999999999</v>
      </c>
      <c r="M59">
        <v>13.1921</v>
      </c>
      <c r="N59">
        <v>9.1141000000000005</v>
      </c>
      <c r="O59">
        <v>16.485399999999998</v>
      </c>
      <c r="Q59">
        <v>9.5404999999999998</v>
      </c>
      <c r="R59">
        <v>11.960800000000001</v>
      </c>
      <c r="S59">
        <v>8.2532999999999994</v>
      </c>
      <c r="U59">
        <v>9.9292999999999996</v>
      </c>
      <c r="V59">
        <v>4.4480000000000004</v>
      </c>
      <c r="W59">
        <v>16.648399999999999</v>
      </c>
      <c r="Y59">
        <v>11.0945</v>
      </c>
      <c r="Z59">
        <v>6.0568</v>
      </c>
      <c r="AA59">
        <v>16.2469</v>
      </c>
      <c r="AC59">
        <v>11.595599999999999</v>
      </c>
      <c r="AD59">
        <v>8.2931000000000008</v>
      </c>
      <c r="AE59">
        <v>14.2127</v>
      </c>
    </row>
    <row r="60" spans="1:31" ht="18" customHeight="1">
      <c r="B60">
        <v>900</v>
      </c>
      <c r="C60">
        <v>1100</v>
      </c>
    </row>
    <row r="61" spans="1:31" ht="18" customHeight="1">
      <c r="B61">
        <v>1000</v>
      </c>
      <c r="C61">
        <v>1000</v>
      </c>
      <c r="E61">
        <v>12.100899999999999</v>
      </c>
      <c r="F61">
        <v>9.8773999999999997</v>
      </c>
      <c r="G61">
        <v>14.8278</v>
      </c>
      <c r="I61">
        <v>11.569599999999999</v>
      </c>
      <c r="J61">
        <v>9.3960000000000008</v>
      </c>
      <c r="K61">
        <v>14.167199999999999</v>
      </c>
      <c r="M61">
        <v>10.8401</v>
      </c>
      <c r="N61">
        <v>7.0579000000000001</v>
      </c>
      <c r="O61">
        <v>16.5914</v>
      </c>
      <c r="Q61">
        <v>11.6013</v>
      </c>
      <c r="R61">
        <v>11.549799999999999</v>
      </c>
      <c r="S61">
        <v>11.649100000000001</v>
      </c>
      <c r="U61">
        <v>10.172800000000001</v>
      </c>
      <c r="V61">
        <v>6.2165999999999997</v>
      </c>
      <c r="W61">
        <v>16.6173</v>
      </c>
      <c r="Y61">
        <v>10.8401</v>
      </c>
      <c r="Z61">
        <v>7.0579000000000001</v>
      </c>
      <c r="AA61">
        <v>16.5914</v>
      </c>
      <c r="AC61">
        <v>12.100899999999999</v>
      </c>
      <c r="AD61">
        <v>9.8773999999999997</v>
      </c>
      <c r="AE61">
        <v>14.8278</v>
      </c>
    </row>
    <row r="62" spans="1:31" ht="18" customHeight="1">
      <c r="B62">
        <v>1100</v>
      </c>
      <c r="C62">
        <v>900</v>
      </c>
    </row>
    <row r="63" spans="1:31" ht="18" customHeight="1">
      <c r="B63">
        <v>1200</v>
      </c>
      <c r="C63">
        <v>800</v>
      </c>
      <c r="E63">
        <v>8.8714999999999993</v>
      </c>
      <c r="F63">
        <v>7.1871</v>
      </c>
      <c r="G63">
        <v>12.596500000000001</v>
      </c>
      <c r="I63">
        <v>9.1928999999999998</v>
      </c>
      <c r="J63">
        <v>7.8068999999999997</v>
      </c>
      <c r="K63">
        <v>12.293200000000001</v>
      </c>
      <c r="M63">
        <v>7.9711999999999996</v>
      </c>
      <c r="N63">
        <v>5.0437000000000003</v>
      </c>
      <c r="O63">
        <v>16.075800000000001</v>
      </c>
      <c r="Q63">
        <v>9.1204999999999998</v>
      </c>
      <c r="R63">
        <v>7.6180000000000003</v>
      </c>
      <c r="S63">
        <v>12.3307</v>
      </c>
      <c r="U63">
        <v>8.1702999999999992</v>
      </c>
      <c r="V63">
        <v>5.2108999999999996</v>
      </c>
      <c r="W63">
        <v>16.5183</v>
      </c>
      <c r="Y63">
        <v>8.1702999999999992</v>
      </c>
      <c r="Z63">
        <v>5.2108999999999996</v>
      </c>
      <c r="AA63">
        <v>16.5183</v>
      </c>
      <c r="AC63">
        <v>8.8714999999999993</v>
      </c>
      <c r="AD63">
        <v>7.1871</v>
      </c>
      <c r="AE63">
        <v>12.596500000000001</v>
      </c>
    </row>
    <row r="64" spans="1:31" ht="18" customHeight="1">
      <c r="B64">
        <v>1300</v>
      </c>
      <c r="C64">
        <v>700</v>
      </c>
    </row>
    <row r="65" spans="1:31" ht="18" customHeight="1">
      <c r="B65">
        <v>1400</v>
      </c>
      <c r="C65">
        <v>600</v>
      </c>
      <c r="E65">
        <v>7.8582999999999998</v>
      </c>
      <c r="F65">
        <v>6.5747999999999998</v>
      </c>
      <c r="G65">
        <v>12.617800000000001</v>
      </c>
      <c r="I65">
        <v>7.8582999999999998</v>
      </c>
      <c r="J65">
        <v>6.5747999999999998</v>
      </c>
      <c r="K65">
        <v>12.617800000000001</v>
      </c>
      <c r="M65">
        <v>6.9196</v>
      </c>
      <c r="N65">
        <v>4.8204000000000002</v>
      </c>
      <c r="O65">
        <v>16.5244</v>
      </c>
      <c r="Q65">
        <v>7.8781999999999996</v>
      </c>
      <c r="R65">
        <v>6.7115999999999998</v>
      </c>
      <c r="S65">
        <v>12.308999999999999</v>
      </c>
      <c r="U65">
        <v>7.0816999999999997</v>
      </c>
      <c r="V65">
        <v>5.0563000000000002</v>
      </c>
      <c r="W65">
        <v>16.602499999999999</v>
      </c>
      <c r="Y65">
        <v>7.0816999999999997</v>
      </c>
      <c r="Z65">
        <v>5.0563000000000002</v>
      </c>
      <c r="AA65">
        <v>16.602499999999999</v>
      </c>
      <c r="AC65">
        <v>7.8781999999999996</v>
      </c>
      <c r="AD65">
        <v>6.7115999999999998</v>
      </c>
      <c r="AE65">
        <v>12.308999999999999</v>
      </c>
    </row>
    <row r="66" spans="1:31" ht="18" customHeight="1">
      <c r="B66">
        <v>1500</v>
      </c>
      <c r="C66">
        <v>500</v>
      </c>
    </row>
    <row r="67" spans="1:31" ht="18" customHeight="1"/>
    <row r="68" spans="1:31" ht="18" customHeight="1">
      <c r="B68">
        <v>1000</v>
      </c>
      <c r="C68">
        <v>1400</v>
      </c>
      <c r="E68">
        <v>8.923</v>
      </c>
      <c r="F68">
        <v>6.1977000000000002</v>
      </c>
      <c r="G68">
        <v>11.863200000000001</v>
      </c>
      <c r="I68">
        <v>9.8097999999999992</v>
      </c>
      <c r="J68">
        <v>7.1509999999999998</v>
      </c>
      <c r="K68">
        <v>12.37</v>
      </c>
      <c r="M68">
        <v>8.5221999999999998</v>
      </c>
      <c r="N68">
        <v>3.2774999999999999</v>
      </c>
      <c r="O68">
        <v>16.670000000000002</v>
      </c>
      <c r="Q68">
        <v>8.0594000000000001</v>
      </c>
      <c r="R68">
        <v>8.2658000000000005</v>
      </c>
      <c r="S68">
        <v>7.9016000000000002</v>
      </c>
      <c r="U68">
        <v>8.0403000000000002</v>
      </c>
      <c r="V68">
        <v>2.8622999999999998</v>
      </c>
      <c r="W68">
        <v>16.670000000000002</v>
      </c>
      <c r="Y68">
        <v>8.5221999999999998</v>
      </c>
      <c r="Z68">
        <v>3.2774999999999999</v>
      </c>
      <c r="AA68">
        <v>16.670000000000002</v>
      </c>
      <c r="AC68">
        <v>6.2336</v>
      </c>
      <c r="AD68">
        <v>3.9211999999999998</v>
      </c>
      <c r="AE68">
        <v>8.5427</v>
      </c>
    </row>
    <row r="69" spans="1:31" ht="18" customHeight="1">
      <c r="B69">
        <v>1200</v>
      </c>
      <c r="C69">
        <v>1200</v>
      </c>
      <c r="E69">
        <v>8.6442999999999994</v>
      </c>
      <c r="F69">
        <v>5.0297000000000001</v>
      </c>
      <c r="G69">
        <v>14.664099999999999</v>
      </c>
      <c r="I69">
        <v>8.2452000000000005</v>
      </c>
      <c r="J69">
        <v>6.8146000000000004</v>
      </c>
      <c r="K69">
        <v>9.8873999999999995</v>
      </c>
      <c r="M69">
        <v>8.9864999999999995</v>
      </c>
      <c r="N69">
        <v>4.7192999999999996</v>
      </c>
      <c r="O69">
        <v>16.507999999999999</v>
      </c>
      <c r="Q69">
        <v>8.7062000000000008</v>
      </c>
      <c r="R69">
        <v>7.7836999999999996</v>
      </c>
      <c r="S69">
        <v>9.7360000000000007</v>
      </c>
      <c r="U69">
        <v>8.4445999999999994</v>
      </c>
      <c r="V69">
        <v>4.0251000000000001</v>
      </c>
      <c r="W69">
        <v>16.670000000000002</v>
      </c>
      <c r="Y69">
        <v>8.9864999999999995</v>
      </c>
      <c r="Z69">
        <v>4.7192999999999996</v>
      </c>
      <c r="AA69">
        <v>16.507999999999999</v>
      </c>
      <c r="AC69">
        <v>8.6682000000000006</v>
      </c>
      <c r="AD69">
        <v>5.0782999999999996</v>
      </c>
      <c r="AE69">
        <v>14.6394</v>
      </c>
    </row>
    <row r="70" spans="1:31" ht="18" customHeight="1">
      <c r="B70">
        <v>1400</v>
      </c>
      <c r="C70">
        <v>1000</v>
      </c>
      <c r="E70">
        <v>7.9009</v>
      </c>
      <c r="F70">
        <v>5.6044</v>
      </c>
      <c r="G70">
        <v>13.0909</v>
      </c>
      <c r="I70">
        <v>7.9394999999999998</v>
      </c>
      <c r="J70">
        <v>5.2488999999999999</v>
      </c>
      <c r="K70">
        <v>14.712</v>
      </c>
      <c r="M70">
        <v>6.6891999999999996</v>
      </c>
      <c r="N70">
        <v>3.4009</v>
      </c>
      <c r="O70">
        <v>16.660599999999999</v>
      </c>
      <c r="Q70">
        <v>7.8426999999999998</v>
      </c>
      <c r="R70">
        <v>5.6151999999999997</v>
      </c>
      <c r="S70">
        <v>12.8766</v>
      </c>
      <c r="U70">
        <v>6.6891999999999996</v>
      </c>
      <c r="V70">
        <v>3.4009</v>
      </c>
      <c r="W70">
        <v>16.660599999999999</v>
      </c>
      <c r="Y70">
        <v>6.6891999999999996</v>
      </c>
      <c r="Z70">
        <v>3.4009</v>
      </c>
      <c r="AA70">
        <v>16.660599999999999</v>
      </c>
      <c r="AC70">
        <v>7.9009</v>
      </c>
      <c r="AD70">
        <v>5.6044</v>
      </c>
      <c r="AE70">
        <v>13.0909</v>
      </c>
    </row>
    <row r="71" spans="1:31" ht="18" customHeight="1">
      <c r="B71">
        <v>800</v>
      </c>
      <c r="C71">
        <v>800</v>
      </c>
      <c r="E71">
        <v>11.9413</v>
      </c>
      <c r="F71">
        <v>9.5053999999999998</v>
      </c>
      <c r="G71">
        <v>14.7743</v>
      </c>
      <c r="I71">
        <v>11.549200000000001</v>
      </c>
      <c r="J71">
        <v>9.3198000000000008</v>
      </c>
      <c r="K71">
        <v>13.9194</v>
      </c>
      <c r="M71">
        <v>10.6899</v>
      </c>
      <c r="N71">
        <v>6.7057000000000002</v>
      </c>
      <c r="O71">
        <v>16.4678</v>
      </c>
      <c r="Q71">
        <v>10.644299999999999</v>
      </c>
      <c r="R71">
        <v>11.084</v>
      </c>
      <c r="S71">
        <v>10.2547</v>
      </c>
      <c r="U71">
        <v>10.4648</v>
      </c>
      <c r="V71">
        <v>6.4238999999999997</v>
      </c>
      <c r="W71">
        <v>16.6449</v>
      </c>
      <c r="Y71">
        <v>10.4648</v>
      </c>
      <c r="Z71">
        <v>6.4238999999999997</v>
      </c>
      <c r="AA71">
        <v>16.6449</v>
      </c>
      <c r="AC71">
        <v>11.7486</v>
      </c>
      <c r="AD71">
        <v>9.0718999999999994</v>
      </c>
      <c r="AE71">
        <v>14.9879</v>
      </c>
    </row>
    <row r="72" spans="1:31" ht="18" customHeight="1"/>
    <row r="73" spans="1:31" ht="18" customHeight="1">
      <c r="B73">
        <v>500</v>
      </c>
      <c r="C73">
        <v>1500</v>
      </c>
    </row>
    <row r="74" spans="1:31" ht="18" customHeight="1">
      <c r="A74" t="s">
        <v>20</v>
      </c>
      <c r="B74">
        <v>600</v>
      </c>
      <c r="C74">
        <v>1400</v>
      </c>
      <c r="E74">
        <v>13.401199999999999</v>
      </c>
      <c r="F74">
        <v>7.173</v>
      </c>
      <c r="G74">
        <v>16.554400000000001</v>
      </c>
      <c r="I74">
        <v>13.401199999999999</v>
      </c>
      <c r="J74">
        <v>7.173</v>
      </c>
      <c r="K74">
        <v>16.554400000000001</v>
      </c>
      <c r="M74">
        <v>9.9460999999999995</v>
      </c>
      <c r="N74">
        <v>2.9089</v>
      </c>
      <c r="O74">
        <v>16.670000000000002</v>
      </c>
      <c r="Q74">
        <v>10.2859</v>
      </c>
      <c r="R74">
        <v>13.349399999999999</v>
      </c>
      <c r="S74">
        <v>9.4827999999999992</v>
      </c>
      <c r="U74">
        <v>9.9460999999999995</v>
      </c>
      <c r="V74">
        <v>2.9089</v>
      </c>
      <c r="W74">
        <v>16.670000000000002</v>
      </c>
      <c r="Y74">
        <v>11.103300000000001</v>
      </c>
      <c r="Z74">
        <v>3.9196</v>
      </c>
      <c r="AA74">
        <v>16.670000000000002</v>
      </c>
      <c r="AC74">
        <v>12.548999999999999</v>
      </c>
      <c r="AD74">
        <v>5.6154000000000002</v>
      </c>
      <c r="AE74">
        <v>16.670000000000002</v>
      </c>
    </row>
    <row r="75" spans="1:31" ht="18" customHeight="1">
      <c r="B75">
        <v>700</v>
      </c>
      <c r="C75">
        <v>1300</v>
      </c>
    </row>
    <row r="76" spans="1:31" ht="18" customHeight="1">
      <c r="B76">
        <v>800</v>
      </c>
      <c r="C76">
        <v>1200</v>
      </c>
      <c r="E76">
        <v>10.9087</v>
      </c>
      <c r="F76">
        <v>5.5865999999999998</v>
      </c>
      <c r="G76">
        <v>15.2089</v>
      </c>
      <c r="I76">
        <v>10.6479</v>
      </c>
      <c r="J76">
        <v>5.7624000000000004</v>
      </c>
      <c r="K76">
        <v>14.3955</v>
      </c>
      <c r="M76">
        <v>11.781499999999999</v>
      </c>
      <c r="N76">
        <v>5.6001000000000003</v>
      </c>
      <c r="O76">
        <v>16.670000000000002</v>
      </c>
      <c r="Q76">
        <v>7.9283999999999999</v>
      </c>
      <c r="R76">
        <v>10.313599999999999</v>
      </c>
      <c r="S76">
        <v>6.8810000000000002</v>
      </c>
      <c r="U76">
        <v>8.8987999999999996</v>
      </c>
      <c r="V76">
        <v>2.8001999999999998</v>
      </c>
      <c r="W76">
        <v>16.670000000000002</v>
      </c>
      <c r="Y76">
        <v>9.8960000000000008</v>
      </c>
      <c r="Z76">
        <v>3.5987</v>
      </c>
      <c r="AA76">
        <v>16.670000000000002</v>
      </c>
      <c r="AC76">
        <v>10.9087</v>
      </c>
      <c r="AD76">
        <v>5.5865999999999998</v>
      </c>
      <c r="AE76">
        <v>15.2089</v>
      </c>
    </row>
    <row r="77" spans="1:31" ht="18" customHeight="1">
      <c r="B77">
        <v>900</v>
      </c>
      <c r="C77">
        <v>1100</v>
      </c>
    </row>
    <row r="78" spans="1:31" ht="18" customHeight="1">
      <c r="B78">
        <v>1000</v>
      </c>
      <c r="C78">
        <v>1000</v>
      </c>
      <c r="E78">
        <v>10.362299999999999</v>
      </c>
      <c r="F78">
        <v>7.9816000000000003</v>
      </c>
      <c r="G78">
        <v>13.8025</v>
      </c>
      <c r="I78">
        <v>9.9175000000000004</v>
      </c>
      <c r="J78">
        <v>7.0712000000000002</v>
      </c>
      <c r="K78">
        <v>13.833500000000001</v>
      </c>
      <c r="M78">
        <v>8.6342999999999996</v>
      </c>
      <c r="N78">
        <v>4.6811999999999996</v>
      </c>
      <c r="O78">
        <v>16.619199999999999</v>
      </c>
      <c r="Q78">
        <v>10.0722</v>
      </c>
      <c r="R78">
        <v>10.296799999999999</v>
      </c>
      <c r="S78">
        <v>9.8744999999999994</v>
      </c>
      <c r="U78">
        <v>8.0471000000000004</v>
      </c>
      <c r="V78">
        <v>4.1207000000000003</v>
      </c>
      <c r="W78">
        <v>16.560600000000001</v>
      </c>
      <c r="Y78">
        <v>8.6342999999999996</v>
      </c>
      <c r="Z78">
        <v>4.6811999999999996</v>
      </c>
      <c r="AA78">
        <v>16.619199999999999</v>
      </c>
      <c r="AC78">
        <v>10.362299999999999</v>
      </c>
      <c r="AD78">
        <v>7.9816000000000003</v>
      </c>
      <c r="AE78">
        <v>13.8025</v>
      </c>
    </row>
    <row r="79" spans="1:31" ht="18" customHeight="1">
      <c r="B79">
        <v>1100</v>
      </c>
      <c r="C79">
        <v>900</v>
      </c>
    </row>
    <row r="80" spans="1:31" ht="18" customHeight="1">
      <c r="B80">
        <v>1200</v>
      </c>
      <c r="C80">
        <v>800</v>
      </c>
      <c r="E80">
        <v>7.8907999999999996</v>
      </c>
      <c r="F80">
        <v>6.0492999999999997</v>
      </c>
      <c r="G80">
        <v>11.7043</v>
      </c>
      <c r="I80">
        <v>8.6645000000000003</v>
      </c>
      <c r="J80">
        <v>7.3883999999999999</v>
      </c>
      <c r="K80">
        <v>11.379099999999999</v>
      </c>
      <c r="M80">
        <v>6.5332999999999997</v>
      </c>
      <c r="N80">
        <v>3.0644</v>
      </c>
      <c r="O80">
        <v>16.538699999999999</v>
      </c>
      <c r="Q80">
        <v>8.6267999999999994</v>
      </c>
      <c r="R80">
        <v>6.9132999999999996</v>
      </c>
      <c r="S80">
        <v>12.1226</v>
      </c>
      <c r="U80">
        <v>6.6847000000000003</v>
      </c>
      <c r="V80">
        <v>3.2381000000000002</v>
      </c>
      <c r="W80">
        <v>16.651599999999998</v>
      </c>
      <c r="Y80">
        <v>6.6847000000000003</v>
      </c>
      <c r="Z80">
        <v>3.2381000000000002</v>
      </c>
      <c r="AA80">
        <v>16.651599999999998</v>
      </c>
      <c r="AC80">
        <v>7.8907999999999996</v>
      </c>
      <c r="AD80">
        <v>6.0492999999999997</v>
      </c>
      <c r="AE80">
        <v>11.7043</v>
      </c>
    </row>
    <row r="81" spans="1:31" ht="18" customHeight="1">
      <c r="B81">
        <v>1300</v>
      </c>
      <c r="C81">
        <v>700</v>
      </c>
    </row>
    <row r="82" spans="1:31" ht="18" customHeight="1">
      <c r="B82">
        <v>1400</v>
      </c>
      <c r="C82">
        <v>600</v>
      </c>
      <c r="E82">
        <v>7.2253999999999996</v>
      </c>
      <c r="F82">
        <v>5.7329999999999997</v>
      </c>
      <c r="G82">
        <v>12.1351</v>
      </c>
      <c r="I82">
        <v>7.2253999999999996</v>
      </c>
      <c r="J82">
        <v>5.7329999999999997</v>
      </c>
      <c r="K82">
        <v>12.1351</v>
      </c>
      <c r="M82">
        <v>6.0530999999999997</v>
      </c>
      <c r="N82">
        <v>3.5564</v>
      </c>
      <c r="O82">
        <v>16.653199999999998</v>
      </c>
      <c r="Q82">
        <v>7.2705000000000002</v>
      </c>
      <c r="R82">
        <v>5.9904000000000002</v>
      </c>
      <c r="S82">
        <v>11.653</v>
      </c>
      <c r="U82">
        <v>5.9156000000000004</v>
      </c>
      <c r="V82">
        <v>3.4222999999999999</v>
      </c>
      <c r="W82">
        <v>16.6663</v>
      </c>
      <c r="Y82">
        <v>5.9156000000000004</v>
      </c>
      <c r="Z82">
        <v>3.4222999999999999</v>
      </c>
      <c r="AA82">
        <v>16.6663</v>
      </c>
      <c r="AC82">
        <v>7.2705000000000002</v>
      </c>
      <c r="AD82">
        <v>5.9904000000000002</v>
      </c>
      <c r="AE82">
        <v>11.653</v>
      </c>
    </row>
    <row r="83" spans="1:31" ht="18" customHeight="1">
      <c r="B83">
        <v>1500</v>
      </c>
      <c r="C83">
        <v>500</v>
      </c>
    </row>
    <row r="84" spans="1:31" ht="18" customHeight="1"/>
    <row r="85" spans="1:31" ht="18" customHeight="1">
      <c r="B85">
        <v>1000</v>
      </c>
      <c r="C85">
        <v>1400</v>
      </c>
      <c r="E85">
        <v>7.3182999999999998</v>
      </c>
      <c r="F85">
        <v>5.4592000000000001</v>
      </c>
      <c r="G85">
        <v>9.6647999999999996</v>
      </c>
      <c r="I85">
        <v>8.8819999999999997</v>
      </c>
      <c r="J85">
        <v>6.3922999999999996</v>
      </c>
      <c r="K85">
        <v>11.4514</v>
      </c>
      <c r="M85">
        <v>6.9225000000000003</v>
      </c>
      <c r="N85">
        <v>2.109</v>
      </c>
      <c r="O85">
        <v>16.670000000000002</v>
      </c>
      <c r="Q85">
        <v>7.2274000000000003</v>
      </c>
      <c r="R85">
        <v>7.1435000000000004</v>
      </c>
      <c r="S85">
        <v>7.2914000000000003</v>
      </c>
      <c r="U85">
        <v>6.5427999999999997</v>
      </c>
      <c r="V85">
        <v>1.7929999999999999</v>
      </c>
      <c r="W85">
        <v>16.670000000000002</v>
      </c>
      <c r="Y85">
        <v>6.9225000000000003</v>
      </c>
      <c r="Z85">
        <v>2.109</v>
      </c>
      <c r="AA85">
        <v>16.670000000000002</v>
      </c>
      <c r="AC85">
        <v>4.0389999999999997</v>
      </c>
      <c r="AD85">
        <v>2.5272000000000001</v>
      </c>
      <c r="AE85">
        <v>5.5740999999999996</v>
      </c>
    </row>
    <row r="86" spans="1:31" ht="18" customHeight="1">
      <c r="B86">
        <v>1200</v>
      </c>
      <c r="C86">
        <v>1200</v>
      </c>
      <c r="E86">
        <v>6.4955999999999996</v>
      </c>
      <c r="F86">
        <v>3.012</v>
      </c>
      <c r="G86">
        <v>14.0731</v>
      </c>
      <c r="I86">
        <v>6.6261999999999999</v>
      </c>
      <c r="J86">
        <v>4.4665999999999997</v>
      </c>
      <c r="K86">
        <v>9.202</v>
      </c>
      <c r="M86">
        <v>6.8010000000000002</v>
      </c>
      <c r="N86">
        <v>2.5415000000000001</v>
      </c>
      <c r="O86">
        <v>16.6692</v>
      </c>
      <c r="Q86">
        <v>7.0705999999999998</v>
      </c>
      <c r="R86">
        <v>6.1586999999999996</v>
      </c>
      <c r="S86">
        <v>8.0945</v>
      </c>
      <c r="U86">
        <v>6.3181000000000003</v>
      </c>
      <c r="V86">
        <v>2.0714000000000001</v>
      </c>
      <c r="W86">
        <v>16.670000000000002</v>
      </c>
      <c r="Y86">
        <v>6.8010000000000002</v>
      </c>
      <c r="Z86">
        <v>2.5415000000000001</v>
      </c>
      <c r="AA86">
        <v>16.6692</v>
      </c>
      <c r="AC86">
        <v>6.5332999999999997</v>
      </c>
      <c r="AD86">
        <v>3.0836999999999999</v>
      </c>
      <c r="AE86">
        <v>14.023099999999999</v>
      </c>
    </row>
    <row r="87" spans="1:31" ht="18" customHeight="1">
      <c r="B87">
        <v>1400</v>
      </c>
      <c r="C87">
        <v>1000</v>
      </c>
      <c r="E87">
        <v>7.0720000000000001</v>
      </c>
      <c r="F87">
        <v>4.1403999999999996</v>
      </c>
      <c r="G87">
        <v>13.9099</v>
      </c>
      <c r="I87">
        <v>6.6376999999999997</v>
      </c>
      <c r="J87">
        <v>3.2179000000000002</v>
      </c>
      <c r="K87">
        <v>15.9322</v>
      </c>
      <c r="M87">
        <v>4.9641999999999999</v>
      </c>
      <c r="N87">
        <v>1.5363</v>
      </c>
      <c r="O87">
        <v>16.6526</v>
      </c>
      <c r="Q87">
        <v>6.9713000000000003</v>
      </c>
      <c r="R87">
        <v>4.1589999999999998</v>
      </c>
      <c r="S87">
        <v>13.530799999999999</v>
      </c>
      <c r="U87">
        <v>4.9641999999999999</v>
      </c>
      <c r="V87">
        <v>1.5363</v>
      </c>
      <c r="W87">
        <v>16.652799999999999</v>
      </c>
      <c r="Y87">
        <v>4.9641999999999999</v>
      </c>
      <c r="Z87">
        <v>1.5363</v>
      </c>
      <c r="AA87">
        <v>16.6526</v>
      </c>
      <c r="AC87">
        <v>7.0720000000000001</v>
      </c>
      <c r="AD87">
        <v>4.1403999999999996</v>
      </c>
      <c r="AE87">
        <v>13.9099</v>
      </c>
    </row>
    <row r="88" spans="1:31" s="2" customFormat="1" ht="18" customHeight="1">
      <c r="B88" s="2">
        <v>800</v>
      </c>
      <c r="C88" s="2">
        <v>800</v>
      </c>
      <c r="E88" s="2">
        <v>11.408200000000001</v>
      </c>
      <c r="F88" s="2">
        <v>7.8349000000000002</v>
      </c>
      <c r="G88" s="2">
        <v>14.822699999999999</v>
      </c>
      <c r="I88" s="2">
        <v>10.773400000000001</v>
      </c>
      <c r="J88" s="2">
        <v>7.4212999999999996</v>
      </c>
      <c r="K88" s="2">
        <v>13.5509</v>
      </c>
      <c r="M88" s="2">
        <v>9.6052999999999997</v>
      </c>
      <c r="N88" s="2">
        <v>4.1387999999999998</v>
      </c>
      <c r="O88" s="2">
        <v>16.670000000000002</v>
      </c>
      <c r="Q88" s="2">
        <v>9.3106000000000009</v>
      </c>
      <c r="R88" s="2">
        <v>10.4267</v>
      </c>
      <c r="S88" s="2">
        <v>8.6212</v>
      </c>
      <c r="U88" s="2">
        <v>9.6282999999999994</v>
      </c>
      <c r="V88" s="2">
        <v>4.1856999999999998</v>
      </c>
      <c r="W88" s="2">
        <v>16.670000000000002</v>
      </c>
      <c r="Y88" s="2">
        <v>9.6282999999999994</v>
      </c>
      <c r="Z88" s="2">
        <v>4.1856999999999998</v>
      </c>
      <c r="AA88" s="2">
        <v>16.670000000000002</v>
      </c>
      <c r="AC88" s="2">
        <v>11.0802</v>
      </c>
      <c r="AD88" s="2">
        <v>7.0907</v>
      </c>
      <c r="AE88" s="2">
        <v>15.156499999999999</v>
      </c>
    </row>
    <row r="90" spans="1:31" ht="18" customHeight="1">
      <c r="A90" t="s">
        <v>14</v>
      </c>
      <c r="B90">
        <v>500</v>
      </c>
      <c r="C90">
        <v>1500</v>
      </c>
    </row>
    <row r="91" spans="1:31" ht="18" customHeight="1">
      <c r="A91" t="s">
        <v>21</v>
      </c>
      <c r="B91">
        <v>600</v>
      </c>
      <c r="C91">
        <v>1400</v>
      </c>
      <c r="E91">
        <v>11.2341</v>
      </c>
      <c r="F91">
        <v>6.5580999999999996</v>
      </c>
      <c r="G91">
        <v>14.8643</v>
      </c>
      <c r="I91">
        <v>11.1479</v>
      </c>
      <c r="J91">
        <v>6.8251999999999997</v>
      </c>
      <c r="K91">
        <v>14.341699999999999</v>
      </c>
      <c r="M91">
        <v>10.583500000000001</v>
      </c>
      <c r="N91">
        <v>4.3083</v>
      </c>
      <c r="O91">
        <v>16.670000000000002</v>
      </c>
      <c r="Q91">
        <v>9.5827000000000009</v>
      </c>
      <c r="R91">
        <v>10.976800000000001</v>
      </c>
      <c r="S91">
        <v>8.9662000000000006</v>
      </c>
      <c r="U91">
        <v>10.583500000000001</v>
      </c>
      <c r="V91">
        <v>4.3083</v>
      </c>
      <c r="W91">
        <v>16.670000000000002</v>
      </c>
      <c r="Y91">
        <v>10.583500000000001</v>
      </c>
      <c r="Z91">
        <v>4.3083</v>
      </c>
      <c r="AA91">
        <v>16.670000000000002</v>
      </c>
      <c r="AC91">
        <v>11.031499999999999</v>
      </c>
      <c r="AD91">
        <v>5.8860000000000001</v>
      </c>
      <c r="AE91">
        <v>15.3386</v>
      </c>
    </row>
    <row r="92" spans="1:31" ht="18" customHeight="1">
      <c r="A92" t="s">
        <v>16</v>
      </c>
      <c r="B92">
        <v>700</v>
      </c>
      <c r="C92">
        <v>1300</v>
      </c>
    </row>
    <row r="93" spans="1:31" ht="18" customHeight="1">
      <c r="A93" t="s">
        <v>17</v>
      </c>
      <c r="B93">
        <v>800</v>
      </c>
      <c r="C93">
        <v>1200</v>
      </c>
    </row>
    <row r="94" spans="1:31" ht="18" customHeight="1">
      <c r="B94">
        <v>900</v>
      </c>
      <c r="C94">
        <v>1100</v>
      </c>
    </row>
    <row r="95" spans="1:31" ht="18" customHeight="1">
      <c r="B95">
        <v>1000</v>
      </c>
      <c r="C95">
        <v>1000</v>
      </c>
      <c r="E95">
        <v>9.9551999999999996</v>
      </c>
      <c r="F95">
        <v>7.7664999999999997</v>
      </c>
      <c r="G95">
        <v>13.1091</v>
      </c>
      <c r="I95">
        <v>9.8686000000000007</v>
      </c>
      <c r="J95">
        <v>7.9242999999999997</v>
      </c>
      <c r="K95">
        <v>12.498900000000001</v>
      </c>
      <c r="M95">
        <v>8.3049999999999997</v>
      </c>
      <c r="N95">
        <v>4.3512000000000004</v>
      </c>
      <c r="O95">
        <v>16.6402</v>
      </c>
      <c r="Q95">
        <v>9.7478999999999996</v>
      </c>
      <c r="R95">
        <v>8.9964999999999993</v>
      </c>
      <c r="S95">
        <v>10.6083</v>
      </c>
      <c r="U95">
        <v>8.3049999999999997</v>
      </c>
      <c r="V95">
        <v>4.3512000000000004</v>
      </c>
      <c r="W95">
        <v>16.6402</v>
      </c>
      <c r="Y95">
        <v>8.3049999999999997</v>
      </c>
      <c r="Z95">
        <v>4.3512000000000004</v>
      </c>
      <c r="AA95">
        <v>16.6402</v>
      </c>
      <c r="AC95">
        <v>10.044600000000001</v>
      </c>
      <c r="AD95">
        <v>7.6902999999999997</v>
      </c>
      <c r="AE95">
        <v>13.4801</v>
      </c>
    </row>
    <row r="96" spans="1:31" ht="18" customHeight="1">
      <c r="B96">
        <v>1100</v>
      </c>
      <c r="C96">
        <v>900</v>
      </c>
    </row>
    <row r="97" spans="1:31" ht="18" customHeight="1">
      <c r="B97">
        <v>1200</v>
      </c>
      <c r="C97">
        <v>800</v>
      </c>
    </row>
    <row r="98" spans="1:31" ht="18" customHeight="1">
      <c r="B98">
        <v>1300</v>
      </c>
      <c r="C98">
        <v>700</v>
      </c>
    </row>
    <row r="99" spans="1:31" ht="18" customHeight="1">
      <c r="B99">
        <v>1400</v>
      </c>
      <c r="C99">
        <v>600</v>
      </c>
      <c r="E99">
        <v>9.1805000000000003</v>
      </c>
      <c r="F99">
        <v>7.8887</v>
      </c>
      <c r="G99">
        <v>14.026</v>
      </c>
      <c r="I99">
        <v>9.1805000000000003</v>
      </c>
      <c r="J99">
        <v>7.8887</v>
      </c>
      <c r="K99">
        <v>14.026</v>
      </c>
      <c r="M99">
        <v>7.5045999999999999</v>
      </c>
      <c r="N99">
        <v>5.4928999999999997</v>
      </c>
      <c r="O99">
        <v>16.593699999999998</v>
      </c>
      <c r="Q99">
        <v>9.1805000000000003</v>
      </c>
      <c r="R99">
        <v>7.8887</v>
      </c>
      <c r="S99">
        <v>14.026</v>
      </c>
      <c r="U99">
        <v>6.5171999999999999</v>
      </c>
      <c r="V99">
        <v>4.4404000000000003</v>
      </c>
      <c r="W99">
        <v>16.641400000000001</v>
      </c>
      <c r="Y99">
        <v>6.5171999999999999</v>
      </c>
      <c r="Z99">
        <v>4.4404000000000003</v>
      </c>
      <c r="AA99">
        <v>16.641400000000001</v>
      </c>
      <c r="AC99">
        <v>9.1805000000000003</v>
      </c>
      <c r="AD99">
        <v>7.8887</v>
      </c>
      <c r="AE99">
        <v>14.026</v>
      </c>
    </row>
    <row r="100" spans="1:31" ht="18" customHeight="1">
      <c r="B100">
        <v>1500</v>
      </c>
      <c r="C100">
        <v>500</v>
      </c>
    </row>
    <row r="101" spans="1:31" ht="18" customHeight="1"/>
    <row r="102" spans="1:31" ht="18" customHeight="1">
      <c r="B102">
        <v>1200</v>
      </c>
      <c r="C102">
        <v>1200</v>
      </c>
      <c r="E102">
        <v>7.4835000000000003</v>
      </c>
      <c r="F102">
        <v>5.976</v>
      </c>
      <c r="G102">
        <v>9.4405000000000001</v>
      </c>
      <c r="I102">
        <v>8.4681999999999995</v>
      </c>
      <c r="J102">
        <v>6.3982999999999999</v>
      </c>
      <c r="K102">
        <v>11.2905</v>
      </c>
      <c r="M102">
        <v>7.4657999999999998</v>
      </c>
      <c r="N102">
        <v>3.1023999999999998</v>
      </c>
      <c r="O102">
        <v>16.670000000000002</v>
      </c>
      <c r="Q102">
        <v>8.4009</v>
      </c>
      <c r="R102">
        <v>7.0461</v>
      </c>
      <c r="S102">
        <v>10.0427</v>
      </c>
      <c r="U102">
        <v>7.4657999999999998</v>
      </c>
      <c r="V102">
        <v>3.1023999999999998</v>
      </c>
      <c r="W102">
        <v>16.670000000000002</v>
      </c>
      <c r="Y102">
        <v>7.4657999999999998</v>
      </c>
      <c r="Z102">
        <v>3.1023999999999998</v>
      </c>
      <c r="AA102">
        <v>16.670000000000002</v>
      </c>
      <c r="AC102">
        <v>7.4835000000000003</v>
      </c>
      <c r="AD102">
        <v>5.976</v>
      </c>
      <c r="AE102">
        <v>9.4405000000000001</v>
      </c>
    </row>
    <row r="103" spans="1:31" ht="18" customHeight="1"/>
    <row r="104" spans="1:31" ht="18" customHeight="1">
      <c r="B104">
        <v>500</v>
      </c>
      <c r="C104">
        <v>1500</v>
      </c>
    </row>
    <row r="105" spans="1:31" ht="18" customHeight="1">
      <c r="A105" t="s">
        <v>18</v>
      </c>
      <c r="B105">
        <v>600</v>
      </c>
      <c r="C105">
        <v>1400</v>
      </c>
      <c r="E105">
        <v>10.3925</v>
      </c>
      <c r="F105">
        <v>5.4062999999999999</v>
      </c>
      <c r="G105">
        <v>14.4238</v>
      </c>
      <c r="I105">
        <v>10.299899999999999</v>
      </c>
      <c r="J105">
        <v>5.7042999999999999</v>
      </c>
      <c r="K105">
        <v>13.796799999999999</v>
      </c>
      <c r="M105">
        <v>9.6425000000000001</v>
      </c>
      <c r="N105">
        <v>2.9882</v>
      </c>
      <c r="O105">
        <v>16.670000000000002</v>
      </c>
      <c r="Q105">
        <v>8.5547000000000004</v>
      </c>
      <c r="R105">
        <v>10.434699999999999</v>
      </c>
      <c r="S105">
        <v>7.7910000000000004</v>
      </c>
      <c r="U105">
        <v>9.6425000000000001</v>
      </c>
      <c r="V105">
        <v>2.9882</v>
      </c>
      <c r="W105">
        <v>16.670000000000002</v>
      </c>
      <c r="Y105">
        <v>9.6425000000000001</v>
      </c>
      <c r="Z105">
        <v>2.9882</v>
      </c>
      <c r="AA105">
        <v>16.670000000000002</v>
      </c>
      <c r="AC105">
        <v>10.1525</v>
      </c>
      <c r="AD105">
        <v>4.6757999999999997</v>
      </c>
      <c r="AE105">
        <v>15.002800000000001</v>
      </c>
    </row>
    <row r="106" spans="1:31" ht="18" customHeight="1">
      <c r="B106">
        <v>700</v>
      </c>
      <c r="C106">
        <v>1300</v>
      </c>
    </row>
    <row r="107" spans="1:31" ht="18" customHeight="1">
      <c r="B107">
        <v>800</v>
      </c>
      <c r="C107">
        <v>1200</v>
      </c>
    </row>
    <row r="108" spans="1:31" ht="18" customHeight="1">
      <c r="B108">
        <v>900</v>
      </c>
      <c r="C108">
        <v>1100</v>
      </c>
    </row>
    <row r="109" spans="1:31" ht="18" customHeight="1">
      <c r="B109">
        <v>1000</v>
      </c>
      <c r="C109">
        <v>1000</v>
      </c>
      <c r="E109">
        <v>9.2456999999999994</v>
      </c>
      <c r="F109">
        <v>6.8967000000000001</v>
      </c>
      <c r="G109">
        <v>12.589700000000001</v>
      </c>
      <c r="I109">
        <v>9.1523000000000003</v>
      </c>
      <c r="J109">
        <v>7.0685000000000002</v>
      </c>
      <c r="K109">
        <v>11.9071</v>
      </c>
      <c r="M109">
        <v>7.3651</v>
      </c>
      <c r="N109">
        <v>3.2078000000000002</v>
      </c>
      <c r="O109">
        <v>16.634799999999998</v>
      </c>
      <c r="Q109">
        <v>9.0158000000000005</v>
      </c>
      <c r="R109">
        <v>8.2917000000000005</v>
      </c>
      <c r="S109">
        <v>9.8028999999999993</v>
      </c>
      <c r="U109">
        <v>7.3651</v>
      </c>
      <c r="V109">
        <v>3.2078000000000002</v>
      </c>
      <c r="W109">
        <v>16.634799999999998</v>
      </c>
      <c r="Y109">
        <v>7.3651</v>
      </c>
      <c r="Z109">
        <v>3.2078000000000002</v>
      </c>
      <c r="AA109">
        <v>16.634799999999998</v>
      </c>
      <c r="AC109">
        <v>9.3467000000000002</v>
      </c>
      <c r="AD109">
        <v>6.8056000000000001</v>
      </c>
      <c r="AE109">
        <v>13.0183</v>
      </c>
    </row>
    <row r="110" spans="1:31" ht="18" customHeight="1">
      <c r="B110">
        <v>1100</v>
      </c>
      <c r="C110">
        <v>900</v>
      </c>
    </row>
    <row r="111" spans="1:31" ht="18" customHeight="1">
      <c r="B111">
        <v>1200</v>
      </c>
      <c r="C111">
        <v>800</v>
      </c>
    </row>
    <row r="112" spans="1:31" ht="18" customHeight="1">
      <c r="B112">
        <v>1300</v>
      </c>
      <c r="C112">
        <v>700</v>
      </c>
    </row>
    <row r="113" spans="1:31" ht="18" customHeight="1">
      <c r="B113">
        <v>1400</v>
      </c>
      <c r="C113">
        <v>600</v>
      </c>
      <c r="E113">
        <v>8.3740000000000006</v>
      </c>
      <c r="F113">
        <v>7.0663</v>
      </c>
      <c r="G113">
        <v>13.530799999999999</v>
      </c>
      <c r="I113">
        <v>8.3740000000000006</v>
      </c>
      <c r="J113">
        <v>7.0663</v>
      </c>
      <c r="K113">
        <v>13.530799999999999</v>
      </c>
      <c r="M113">
        <v>6.4067999999999996</v>
      </c>
      <c r="N113">
        <v>4.3407</v>
      </c>
      <c r="O113">
        <v>16.6572</v>
      </c>
      <c r="Q113">
        <v>8.3740000000000006</v>
      </c>
      <c r="R113">
        <v>7.0663</v>
      </c>
      <c r="S113">
        <v>13.530799999999999</v>
      </c>
      <c r="U113">
        <v>5.4119999999999999</v>
      </c>
      <c r="V113">
        <v>3.3429000000000002</v>
      </c>
      <c r="W113">
        <v>16.633099999999999</v>
      </c>
      <c r="Y113">
        <v>5.4119999999999999</v>
      </c>
      <c r="Z113">
        <v>3.3429000000000002</v>
      </c>
      <c r="AA113">
        <v>16.633099999999999</v>
      </c>
      <c r="AC113">
        <v>8.3740000000000006</v>
      </c>
      <c r="AD113">
        <v>7.0663</v>
      </c>
      <c r="AE113">
        <v>13.5307</v>
      </c>
    </row>
    <row r="114" spans="1:31" ht="18" customHeight="1">
      <c r="B114">
        <v>1500</v>
      </c>
      <c r="C114">
        <v>500</v>
      </c>
    </row>
    <row r="115" spans="1:31" ht="18" customHeight="1"/>
    <row r="116" spans="1:31" ht="18" customHeight="1">
      <c r="B116">
        <v>1200</v>
      </c>
      <c r="C116">
        <v>1200</v>
      </c>
      <c r="E116">
        <v>6.4470000000000001</v>
      </c>
      <c r="F116">
        <v>4.9549000000000003</v>
      </c>
      <c r="G116">
        <v>8.3659999999999997</v>
      </c>
      <c r="I116">
        <v>7.5682</v>
      </c>
      <c r="J116">
        <v>5.4442000000000004</v>
      </c>
      <c r="K116">
        <v>10.459899999999999</v>
      </c>
      <c r="M116">
        <v>6.3869999999999996</v>
      </c>
      <c r="N116">
        <v>1.8814</v>
      </c>
      <c r="O116">
        <v>16.670000000000002</v>
      </c>
      <c r="Q116">
        <v>7.5286</v>
      </c>
      <c r="R116">
        <v>6.1173999999999999</v>
      </c>
      <c r="S116">
        <v>9.2030999999999992</v>
      </c>
      <c r="U116">
        <v>6.3869999999999996</v>
      </c>
      <c r="V116">
        <v>1.8814</v>
      </c>
      <c r="W116">
        <v>16.670000000000002</v>
      </c>
      <c r="Y116">
        <v>6.3869999999999996</v>
      </c>
      <c r="Z116">
        <v>1.8814</v>
      </c>
      <c r="AA116">
        <v>16.670000000000002</v>
      </c>
      <c r="AC116">
        <v>6.4470000000000001</v>
      </c>
      <c r="AD116">
        <v>4.9549000000000003</v>
      </c>
      <c r="AE116">
        <v>8.3658999999999999</v>
      </c>
    </row>
    <row r="117" spans="1:31" ht="18" customHeight="1"/>
    <row r="118" spans="1:31" ht="18" customHeight="1">
      <c r="B118">
        <v>500</v>
      </c>
      <c r="C118">
        <v>1500</v>
      </c>
    </row>
    <row r="119" spans="1:31" ht="18" customHeight="1">
      <c r="A119" t="s">
        <v>20</v>
      </c>
      <c r="B119">
        <v>600</v>
      </c>
      <c r="C119">
        <v>1400</v>
      </c>
      <c r="E119">
        <v>10.098000000000001</v>
      </c>
      <c r="F119">
        <v>4.3651999999999997</v>
      </c>
      <c r="G119">
        <v>14.6305</v>
      </c>
      <c r="I119">
        <v>9.9418000000000006</v>
      </c>
      <c r="J119">
        <v>4.8780000000000001</v>
      </c>
      <c r="K119">
        <v>13.5372</v>
      </c>
      <c r="M119">
        <v>9.0068000000000001</v>
      </c>
      <c r="N119">
        <v>2.2610999999999999</v>
      </c>
      <c r="O119">
        <v>16.670000000000002</v>
      </c>
      <c r="Q119">
        <v>7.9634</v>
      </c>
      <c r="R119">
        <v>11.6023</v>
      </c>
      <c r="S119">
        <v>6.8631000000000002</v>
      </c>
      <c r="U119">
        <v>9.0068000000000001</v>
      </c>
      <c r="V119">
        <v>2.2610999999999999</v>
      </c>
      <c r="W119">
        <v>16.670000000000002</v>
      </c>
      <c r="Y119">
        <v>9.0068000000000001</v>
      </c>
      <c r="Z119">
        <v>2.2610999999999999</v>
      </c>
      <c r="AA119">
        <v>16.670000000000002</v>
      </c>
      <c r="AC119">
        <v>9.4694000000000003</v>
      </c>
      <c r="AD119">
        <v>3.7368999999999999</v>
      </c>
      <c r="AE119">
        <v>14.766400000000001</v>
      </c>
    </row>
    <row r="120" spans="1:31" ht="18" customHeight="1">
      <c r="B120">
        <v>700</v>
      </c>
      <c r="C120">
        <v>1300</v>
      </c>
    </row>
    <row r="121" spans="1:31" ht="18" customHeight="1">
      <c r="B121">
        <v>800</v>
      </c>
      <c r="C121">
        <v>1200</v>
      </c>
    </row>
    <row r="122" spans="1:31" ht="18" customHeight="1">
      <c r="B122">
        <v>900</v>
      </c>
      <c r="C122">
        <v>1100</v>
      </c>
    </row>
    <row r="123" spans="1:31" ht="18" customHeight="1">
      <c r="B123">
        <v>1000</v>
      </c>
      <c r="C123">
        <v>1000</v>
      </c>
      <c r="E123">
        <v>7.8411999999999997</v>
      </c>
      <c r="F123">
        <v>5.9509999999999996</v>
      </c>
      <c r="G123">
        <v>10.8752</v>
      </c>
      <c r="I123">
        <v>8.1083999999999996</v>
      </c>
      <c r="J123">
        <v>6.0166000000000004</v>
      </c>
      <c r="K123">
        <v>11.042899999999999</v>
      </c>
      <c r="M123">
        <v>5.8935000000000004</v>
      </c>
      <c r="N123">
        <v>2.1890000000000001</v>
      </c>
      <c r="O123">
        <v>16.6172</v>
      </c>
      <c r="Q123">
        <v>7.9088000000000003</v>
      </c>
      <c r="R123">
        <v>7.3796999999999997</v>
      </c>
      <c r="S123">
        <v>8.4496000000000002</v>
      </c>
      <c r="U123">
        <v>5.8935000000000004</v>
      </c>
      <c r="V123">
        <v>2.1890000000000001</v>
      </c>
      <c r="W123">
        <v>16.6172</v>
      </c>
      <c r="Y123">
        <v>5.8935000000000004</v>
      </c>
      <c r="Z123">
        <v>2.1890000000000001</v>
      </c>
      <c r="AA123">
        <v>16.6172</v>
      </c>
      <c r="AC123">
        <v>8.0005000000000006</v>
      </c>
      <c r="AD123">
        <v>5.7987000000000002</v>
      </c>
      <c r="AE123">
        <v>11.6373</v>
      </c>
    </row>
    <row r="124" spans="1:31" ht="18" customHeight="1">
      <c r="B124">
        <v>1100</v>
      </c>
      <c r="C124">
        <v>900</v>
      </c>
    </row>
    <row r="125" spans="1:31" ht="18" customHeight="1">
      <c r="B125">
        <v>1200</v>
      </c>
      <c r="C125">
        <v>800</v>
      </c>
    </row>
    <row r="126" spans="1:31" ht="18" customHeight="1">
      <c r="B126">
        <v>1300</v>
      </c>
      <c r="C126">
        <v>700</v>
      </c>
    </row>
    <row r="127" spans="1:31" ht="18" customHeight="1">
      <c r="B127">
        <v>1400</v>
      </c>
      <c r="C127">
        <v>600</v>
      </c>
      <c r="E127">
        <v>7.9118000000000004</v>
      </c>
      <c r="F127">
        <v>6.4257</v>
      </c>
      <c r="G127">
        <v>13.0092</v>
      </c>
      <c r="I127">
        <v>7.9118000000000004</v>
      </c>
      <c r="J127">
        <v>6.4257</v>
      </c>
      <c r="K127">
        <v>13.0092</v>
      </c>
      <c r="M127">
        <v>5.1883999999999997</v>
      </c>
      <c r="N127">
        <v>2.6147999999999998</v>
      </c>
      <c r="O127">
        <v>16.670000000000002</v>
      </c>
      <c r="Q127">
        <v>7.9118000000000004</v>
      </c>
      <c r="R127">
        <v>6.4257</v>
      </c>
      <c r="S127">
        <v>13.0092</v>
      </c>
      <c r="U127">
        <v>4.5727000000000002</v>
      </c>
      <c r="V127">
        <v>2.0619000000000001</v>
      </c>
      <c r="W127">
        <v>16.667200000000001</v>
      </c>
      <c r="Y127">
        <v>4.5727000000000002</v>
      </c>
      <c r="Z127">
        <v>2.0619000000000001</v>
      </c>
      <c r="AA127">
        <v>16.667200000000001</v>
      </c>
      <c r="AC127">
        <v>7.9118000000000004</v>
      </c>
      <c r="AD127">
        <v>6.4257</v>
      </c>
      <c r="AE127">
        <v>13.0092</v>
      </c>
    </row>
    <row r="128" spans="1:31" ht="18" customHeight="1">
      <c r="B128">
        <v>1500</v>
      </c>
      <c r="C128">
        <v>500</v>
      </c>
    </row>
    <row r="129" spans="1:31" ht="18" customHeight="1"/>
    <row r="130" spans="1:31" ht="18" customHeight="1">
      <c r="B130">
        <v>1200</v>
      </c>
      <c r="C130">
        <v>1200</v>
      </c>
      <c r="E130">
        <v>4.71</v>
      </c>
      <c r="F130">
        <v>3.3992</v>
      </c>
      <c r="G130">
        <v>6.3597000000000001</v>
      </c>
      <c r="I130">
        <v>6.5171000000000001</v>
      </c>
      <c r="J130">
        <v>4.1173999999999999</v>
      </c>
      <c r="K130">
        <v>9.8575999999999997</v>
      </c>
      <c r="M130">
        <v>4.8532000000000002</v>
      </c>
      <c r="N130">
        <v>0.67179999999999995</v>
      </c>
      <c r="O130">
        <v>16.670000000000002</v>
      </c>
      <c r="Q130">
        <v>6.3962000000000003</v>
      </c>
      <c r="R130">
        <v>4.6550000000000002</v>
      </c>
      <c r="S130">
        <v>8.4890000000000008</v>
      </c>
      <c r="U130">
        <v>4.8532000000000002</v>
      </c>
      <c r="V130">
        <v>0.67179999999999995</v>
      </c>
      <c r="W130">
        <v>16.670000000000002</v>
      </c>
      <c r="Y130">
        <v>4.8532000000000002</v>
      </c>
      <c r="Z130">
        <v>0.67179999999999995</v>
      </c>
      <c r="AA130">
        <v>16.670000000000002</v>
      </c>
      <c r="AC130">
        <v>4.71</v>
      </c>
      <c r="AD130">
        <v>3.3992</v>
      </c>
      <c r="AE130">
        <v>6.3597000000000001</v>
      </c>
    </row>
    <row r="131" spans="1:31" s="2" customFormat="1"/>
    <row r="134" spans="1:31">
      <c r="A134" t="s">
        <v>14</v>
      </c>
      <c r="B134">
        <v>600</v>
      </c>
      <c r="C134">
        <v>1400</v>
      </c>
      <c r="E134">
        <v>13.9984</v>
      </c>
      <c r="F134">
        <v>10.7197</v>
      </c>
      <c r="G134">
        <v>15.7714</v>
      </c>
      <c r="I134">
        <v>13.9984</v>
      </c>
      <c r="J134">
        <v>10.7197</v>
      </c>
      <c r="K134">
        <v>15.7714</v>
      </c>
      <c r="M134">
        <v>13.415100000000001</v>
      </c>
      <c r="N134">
        <v>8.6734000000000009</v>
      </c>
      <c r="O134">
        <v>16.502099999999999</v>
      </c>
      <c r="Q134">
        <v>12.4541</v>
      </c>
      <c r="R134">
        <v>15.6738</v>
      </c>
      <c r="S134">
        <v>11.3247</v>
      </c>
      <c r="U134">
        <v>12.9451</v>
      </c>
      <c r="V134">
        <v>7.6920000000000002</v>
      </c>
      <c r="W134">
        <v>16.670000000000002</v>
      </c>
      <c r="Y134">
        <v>13.4688</v>
      </c>
      <c r="Z134">
        <v>8.7683999999999997</v>
      </c>
      <c r="AA134">
        <v>16.495200000000001</v>
      </c>
      <c r="AC134">
        <v>14.0518</v>
      </c>
      <c r="AD134">
        <v>11.0185</v>
      </c>
      <c r="AE134">
        <v>15.6752</v>
      </c>
    </row>
    <row r="135" spans="1:31">
      <c r="A135" t="s">
        <v>52</v>
      </c>
    </row>
    <row r="136" spans="1:31">
      <c r="A136" t="s">
        <v>16</v>
      </c>
      <c r="B136">
        <v>1000</v>
      </c>
      <c r="C136">
        <v>1000</v>
      </c>
      <c r="E136">
        <v>14.0655</v>
      </c>
      <c r="F136">
        <v>12.643000000000001</v>
      </c>
      <c r="G136">
        <v>15.718</v>
      </c>
      <c r="I136">
        <v>13.5662</v>
      </c>
      <c r="J136">
        <v>13.2864</v>
      </c>
      <c r="K136">
        <v>13.8706</v>
      </c>
      <c r="M136">
        <v>14.476800000000001</v>
      </c>
      <c r="N136">
        <v>12.990500000000001</v>
      </c>
      <c r="O136">
        <v>16.227799999999998</v>
      </c>
      <c r="Q136">
        <v>13.164199999999999</v>
      </c>
      <c r="R136">
        <v>13.299899999999999</v>
      </c>
      <c r="S136">
        <v>13.027699999999999</v>
      </c>
      <c r="U136">
        <v>12.780200000000001</v>
      </c>
      <c r="V136">
        <v>9.9893000000000001</v>
      </c>
      <c r="W136">
        <v>16.670000000000002</v>
      </c>
      <c r="Y136">
        <v>14.5128</v>
      </c>
      <c r="Z136">
        <v>13.0715</v>
      </c>
      <c r="AA136">
        <v>16.195599999999999</v>
      </c>
      <c r="AC136">
        <v>14.074400000000001</v>
      </c>
      <c r="AD136">
        <v>12.6417</v>
      </c>
      <c r="AE136">
        <v>15.7386</v>
      </c>
    </row>
    <row r="137" spans="1:31">
      <c r="A137" t="s">
        <v>17</v>
      </c>
    </row>
    <row r="138" spans="1:31">
      <c r="B138">
        <v>1400</v>
      </c>
      <c r="C138">
        <v>600</v>
      </c>
      <c r="E138">
        <v>12.0288</v>
      </c>
      <c r="F138">
        <v>11.850099999999999</v>
      </c>
      <c r="G138">
        <v>12.4842</v>
      </c>
      <c r="I138">
        <v>12.3681</v>
      </c>
      <c r="J138">
        <v>12.735099999999999</v>
      </c>
      <c r="K138">
        <v>11.462199999999999</v>
      </c>
      <c r="M138">
        <v>12.5283</v>
      </c>
      <c r="N138">
        <v>11.6792</v>
      </c>
      <c r="O138">
        <v>14.959</v>
      </c>
      <c r="Q138">
        <v>11.0488</v>
      </c>
      <c r="R138">
        <v>12.2112</v>
      </c>
      <c r="S138">
        <v>8.9210999999999991</v>
      </c>
      <c r="U138">
        <v>11.432499999999999</v>
      </c>
      <c r="V138">
        <v>9.9708000000000006</v>
      </c>
      <c r="W138">
        <v>16.670000000000002</v>
      </c>
      <c r="Y138">
        <v>13.328799999999999</v>
      </c>
      <c r="Z138">
        <v>12.440799999999999</v>
      </c>
      <c r="AA138">
        <v>16.047999999999998</v>
      </c>
      <c r="AC138">
        <v>7.9532999999999996</v>
      </c>
      <c r="AD138">
        <v>6.7624000000000004</v>
      </c>
      <c r="AE138">
        <v>11.355499999999999</v>
      </c>
    </row>
    <row r="140" spans="1:31">
      <c r="B140">
        <v>1200</v>
      </c>
      <c r="C140">
        <v>1200</v>
      </c>
      <c r="E140">
        <v>9.3442000000000007</v>
      </c>
      <c r="F140">
        <v>7.9039999999999999</v>
      </c>
      <c r="G140">
        <v>10.9902</v>
      </c>
      <c r="I140">
        <v>9.9001000000000001</v>
      </c>
      <c r="J140">
        <v>8.4857999999999993</v>
      </c>
      <c r="K140">
        <v>11.4983</v>
      </c>
      <c r="M140">
        <v>9.4839000000000002</v>
      </c>
      <c r="N140">
        <v>5.4878</v>
      </c>
      <c r="O140">
        <v>16.430299999999999</v>
      </c>
      <c r="Q140">
        <v>10.345700000000001</v>
      </c>
      <c r="R140">
        <v>10.8444</v>
      </c>
      <c r="S140">
        <v>9.8809000000000005</v>
      </c>
      <c r="U140">
        <v>10.6195</v>
      </c>
      <c r="V140">
        <v>6.9057000000000004</v>
      </c>
      <c r="W140">
        <v>16.670000000000002</v>
      </c>
      <c r="Y140">
        <v>11.780900000000001</v>
      </c>
      <c r="Z140">
        <v>8.9583999999999993</v>
      </c>
      <c r="AA140">
        <v>15.4946</v>
      </c>
      <c r="AC140">
        <v>10.0383</v>
      </c>
      <c r="AD140">
        <v>8.9382999999999999</v>
      </c>
      <c r="AE140">
        <v>11.196999999999999</v>
      </c>
    </row>
    <row r="143" spans="1:31">
      <c r="A143" t="s">
        <v>18</v>
      </c>
      <c r="B143">
        <v>600</v>
      </c>
      <c r="C143">
        <v>1400</v>
      </c>
      <c r="E143">
        <v>13.497</v>
      </c>
      <c r="F143">
        <v>9.2591999999999999</v>
      </c>
      <c r="G143">
        <v>15.7081</v>
      </c>
      <c r="I143">
        <v>13.497</v>
      </c>
      <c r="J143">
        <v>9.2591999999999999</v>
      </c>
      <c r="K143">
        <v>15.7081</v>
      </c>
      <c r="M143">
        <v>12.7121</v>
      </c>
      <c r="N143">
        <v>7.0039999999999996</v>
      </c>
      <c r="O143">
        <v>16.478000000000002</v>
      </c>
      <c r="Q143">
        <v>11.5771</v>
      </c>
      <c r="R143">
        <v>15.5992</v>
      </c>
      <c r="S143">
        <v>10.383900000000001</v>
      </c>
      <c r="U143">
        <v>12.138299999999999</v>
      </c>
      <c r="V143">
        <v>5.9583000000000004</v>
      </c>
      <c r="W143">
        <v>16.670000000000002</v>
      </c>
      <c r="Y143">
        <v>12.7994</v>
      </c>
      <c r="Z143">
        <v>7.0278</v>
      </c>
      <c r="AA143">
        <v>16.5549</v>
      </c>
      <c r="AC143">
        <v>13.564</v>
      </c>
      <c r="AD143">
        <v>9.6320999999999994</v>
      </c>
      <c r="AE143">
        <v>15.5884</v>
      </c>
    </row>
    <row r="145" spans="1:31">
      <c r="B145">
        <v>1000</v>
      </c>
      <c r="C145">
        <v>1000</v>
      </c>
      <c r="E145">
        <v>13.594799999999999</v>
      </c>
      <c r="F145">
        <v>11.725199999999999</v>
      </c>
      <c r="G145">
        <v>15.654999999999999</v>
      </c>
      <c r="I145">
        <v>12.979799999999999</v>
      </c>
      <c r="J145">
        <v>12.522399999999999</v>
      </c>
      <c r="K145">
        <v>13.444599999999999</v>
      </c>
      <c r="M145">
        <v>14.1028</v>
      </c>
      <c r="N145">
        <v>12.1677</v>
      </c>
      <c r="O145">
        <v>16.271799999999999</v>
      </c>
      <c r="Q145">
        <v>12.4856</v>
      </c>
      <c r="R145">
        <v>12.512</v>
      </c>
      <c r="S145">
        <v>12.4612</v>
      </c>
      <c r="U145">
        <v>12.127700000000001</v>
      </c>
      <c r="V145">
        <v>8.8175000000000008</v>
      </c>
      <c r="W145">
        <v>16.670000000000002</v>
      </c>
      <c r="Y145">
        <v>14.133800000000001</v>
      </c>
      <c r="Z145">
        <v>12.254799999999999</v>
      </c>
      <c r="AA145">
        <v>16.215599999999998</v>
      </c>
      <c r="AC145">
        <v>13.6058</v>
      </c>
      <c r="AD145">
        <v>11.723599999999999</v>
      </c>
      <c r="AE145">
        <v>15.6799</v>
      </c>
    </row>
    <row r="147" spans="1:31">
      <c r="B147">
        <v>1400</v>
      </c>
      <c r="C147">
        <v>600</v>
      </c>
      <c r="E147">
        <v>11.2196</v>
      </c>
      <c r="F147">
        <v>11.0533</v>
      </c>
      <c r="G147">
        <v>11.6304</v>
      </c>
      <c r="I147">
        <v>11.6114</v>
      </c>
      <c r="J147">
        <v>12.138</v>
      </c>
      <c r="K147">
        <v>10.363300000000001</v>
      </c>
      <c r="M147">
        <v>11.8293</v>
      </c>
      <c r="N147">
        <v>10.852</v>
      </c>
      <c r="O147">
        <v>14.6189</v>
      </c>
      <c r="Q147">
        <v>10.2235</v>
      </c>
      <c r="R147">
        <v>11.309799999999999</v>
      </c>
      <c r="S147">
        <v>8.4185999999999996</v>
      </c>
      <c r="U147">
        <v>10.6861</v>
      </c>
      <c r="V147">
        <v>9.1046999999999993</v>
      </c>
      <c r="W147">
        <v>16.670000000000002</v>
      </c>
      <c r="Y147">
        <v>12.8139</v>
      </c>
      <c r="Z147">
        <v>11.7986</v>
      </c>
      <c r="AA147">
        <v>15.9711</v>
      </c>
      <c r="AC147">
        <v>6.7077999999999998</v>
      </c>
      <c r="AD147">
        <v>5.1665999999999999</v>
      </c>
      <c r="AE147">
        <v>11.0991</v>
      </c>
    </row>
    <row r="149" spans="1:31">
      <c r="B149">
        <v>1200</v>
      </c>
      <c r="C149">
        <v>1200</v>
      </c>
      <c r="E149">
        <v>8.3483999999999998</v>
      </c>
      <c r="F149">
        <v>6.4382000000000001</v>
      </c>
      <c r="G149">
        <v>10.4794</v>
      </c>
      <c r="I149">
        <v>8.8663000000000007</v>
      </c>
      <c r="J149">
        <v>7.1477000000000004</v>
      </c>
      <c r="K149">
        <v>10.757</v>
      </c>
      <c r="M149">
        <v>8.4321000000000002</v>
      </c>
      <c r="N149">
        <v>3.9489000000000001</v>
      </c>
      <c r="O149">
        <v>16.637899999999998</v>
      </c>
      <c r="Q149">
        <v>9.3844999999999992</v>
      </c>
      <c r="R149">
        <v>9.6806000000000001</v>
      </c>
      <c r="S149">
        <v>9.1260999999999992</v>
      </c>
      <c r="U149">
        <v>9.6710999999999991</v>
      </c>
      <c r="V149">
        <v>5.5472999999999999</v>
      </c>
      <c r="W149">
        <v>16.670000000000002</v>
      </c>
      <c r="Y149">
        <v>10.991400000000001</v>
      </c>
      <c r="Z149">
        <v>7.4862000000000002</v>
      </c>
      <c r="AA149">
        <v>15.6097</v>
      </c>
      <c r="AC149">
        <v>9.1384000000000007</v>
      </c>
      <c r="AD149">
        <v>7.5587999999999997</v>
      </c>
      <c r="AE149">
        <v>10.736800000000001</v>
      </c>
    </row>
    <row r="152" spans="1:31">
      <c r="A152" t="s">
        <v>20</v>
      </c>
      <c r="B152">
        <v>600</v>
      </c>
      <c r="C152">
        <v>1400</v>
      </c>
      <c r="E152">
        <v>13.091900000000001</v>
      </c>
      <c r="F152">
        <v>7.3170999999999999</v>
      </c>
      <c r="G152">
        <v>16.347899999999999</v>
      </c>
      <c r="I152">
        <v>13.091900000000001</v>
      </c>
      <c r="J152">
        <v>7.3170999999999999</v>
      </c>
      <c r="K152">
        <v>16.347899999999999</v>
      </c>
      <c r="M152">
        <v>12.0191</v>
      </c>
      <c r="N152">
        <v>5.3117000000000001</v>
      </c>
      <c r="O152">
        <v>16.669899999999998</v>
      </c>
      <c r="Q152">
        <v>10.142799999999999</v>
      </c>
      <c r="R152">
        <v>15.422499999999999</v>
      </c>
      <c r="S152">
        <v>8.9132999999999996</v>
      </c>
      <c r="U152">
        <v>11.2798</v>
      </c>
      <c r="V152">
        <v>4.3236999999999997</v>
      </c>
      <c r="W152">
        <v>16.670000000000002</v>
      </c>
      <c r="Y152">
        <v>12.0192</v>
      </c>
      <c r="Z152">
        <v>5.3121</v>
      </c>
      <c r="AA152">
        <v>16.669899999999998</v>
      </c>
      <c r="AC152">
        <v>13.2125</v>
      </c>
      <c r="AD152">
        <v>7.9302999999999999</v>
      </c>
      <c r="AE152">
        <v>16.1219</v>
      </c>
    </row>
    <row r="154" spans="1:31">
      <c r="B154">
        <v>1000</v>
      </c>
      <c r="C154">
        <v>1000</v>
      </c>
      <c r="E154">
        <v>12.0426</v>
      </c>
      <c r="F154">
        <v>9.7910000000000004</v>
      </c>
      <c r="G154">
        <v>14.9962</v>
      </c>
      <c r="I154">
        <v>10.9392</v>
      </c>
      <c r="J154">
        <v>10.8979</v>
      </c>
      <c r="K154">
        <v>10.985799999999999</v>
      </c>
      <c r="M154">
        <v>12.907</v>
      </c>
      <c r="N154">
        <v>10.534700000000001</v>
      </c>
      <c r="O154">
        <v>16.1388</v>
      </c>
      <c r="Q154">
        <v>10.3238</v>
      </c>
      <c r="R154">
        <v>10.6958</v>
      </c>
      <c r="S154">
        <v>9.9730000000000008</v>
      </c>
      <c r="U154">
        <v>10.254200000000001</v>
      </c>
      <c r="V154">
        <v>6.5350000000000001</v>
      </c>
      <c r="W154">
        <v>16.670000000000002</v>
      </c>
      <c r="Y154">
        <v>13.006500000000001</v>
      </c>
      <c r="Z154">
        <v>10.7104</v>
      </c>
      <c r="AA154">
        <v>16.0547</v>
      </c>
      <c r="AC154">
        <v>12.062900000000001</v>
      </c>
      <c r="AD154">
        <v>9.7881999999999998</v>
      </c>
      <c r="AE154">
        <v>15.0467</v>
      </c>
    </row>
    <row r="156" spans="1:31">
      <c r="B156">
        <v>1400</v>
      </c>
      <c r="C156">
        <v>600</v>
      </c>
      <c r="E156">
        <v>10.0791</v>
      </c>
      <c r="F156">
        <v>8.8840000000000003</v>
      </c>
      <c r="G156">
        <v>12.467700000000001</v>
      </c>
      <c r="I156">
        <v>10.1151</v>
      </c>
      <c r="J156">
        <v>10.140499999999999</v>
      </c>
      <c r="K156">
        <v>10.0685</v>
      </c>
      <c r="M156">
        <v>10.8407</v>
      </c>
      <c r="N156">
        <v>8.8607999999999993</v>
      </c>
      <c r="O156">
        <v>15.702500000000001</v>
      </c>
      <c r="Q156">
        <v>9.2554999999999996</v>
      </c>
      <c r="R156">
        <v>9.1483000000000008</v>
      </c>
      <c r="S156">
        <v>9.4069000000000003</v>
      </c>
      <c r="U156">
        <v>9.4991000000000003</v>
      </c>
      <c r="V156">
        <v>7.2812000000000001</v>
      </c>
      <c r="W156">
        <v>16.670000000000002</v>
      </c>
      <c r="Y156">
        <v>11.7812</v>
      </c>
      <c r="Z156">
        <v>10.236700000000001</v>
      </c>
      <c r="AA156">
        <v>15.7431</v>
      </c>
      <c r="AC156">
        <v>4.8163999999999998</v>
      </c>
      <c r="AD156">
        <v>2.4796</v>
      </c>
      <c r="AE156">
        <v>11.857799999999999</v>
      </c>
    </row>
    <row r="158" spans="1:31">
      <c r="B158">
        <v>1200</v>
      </c>
      <c r="C158">
        <v>1200</v>
      </c>
      <c r="E158">
        <v>7.1203000000000003</v>
      </c>
      <c r="F158">
        <v>4.3415999999999997</v>
      </c>
      <c r="G158">
        <v>10.866</v>
      </c>
      <c r="I158">
        <v>8.1234999999999999</v>
      </c>
      <c r="J158">
        <v>5.0563000000000002</v>
      </c>
      <c r="K158">
        <v>11.831099999999999</v>
      </c>
      <c r="M158">
        <v>6.3173000000000004</v>
      </c>
      <c r="N158">
        <v>2.0750000000000002</v>
      </c>
      <c r="O158">
        <v>16.670000000000002</v>
      </c>
      <c r="Q158">
        <v>7.9002999999999997</v>
      </c>
      <c r="R158">
        <v>7.7460000000000004</v>
      </c>
      <c r="S158">
        <v>8.0416000000000007</v>
      </c>
      <c r="U158">
        <v>7.7305999999999999</v>
      </c>
      <c r="V158">
        <v>3.6059000000000001</v>
      </c>
      <c r="W158">
        <v>16.670000000000002</v>
      </c>
      <c r="Y158">
        <v>9.3960000000000008</v>
      </c>
      <c r="Z158">
        <v>5.0711000000000004</v>
      </c>
      <c r="AA158">
        <v>16.450800000000001</v>
      </c>
      <c r="AC158">
        <v>7.9480000000000004</v>
      </c>
      <c r="AD158">
        <v>5.4431000000000003</v>
      </c>
      <c r="AE158">
        <v>10.681100000000001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5D1B-E725-FB49-86D2-6D1D9B3EA36C}">
  <dimension ref="A2:AE158"/>
  <sheetViews>
    <sheetView workbookViewId="0">
      <pane xSplit="3" ySplit="3" topLeftCell="D49" activePane="bottomRight" state="frozen"/>
      <selection pane="topRight" activeCell="D1" sqref="D1"/>
      <selection pane="bottomLeft" activeCell="A4" sqref="A4"/>
      <selection pane="bottomRight" activeCell="AC140" sqref="AC140"/>
    </sheetView>
  </sheetViews>
  <sheetFormatPr baseColWidth="10" defaultRowHeight="20"/>
  <cols>
    <col min="4" max="4" width="3" customWidth="1"/>
    <col min="5" max="7" width="9.85546875" customWidth="1"/>
    <col min="8" max="8" width="3.140625" customWidth="1"/>
    <col min="9" max="11" width="10" customWidth="1"/>
    <col min="12" max="12" width="3.140625" customWidth="1"/>
    <col min="13" max="15" width="9.85546875" customWidth="1"/>
    <col min="16" max="16" width="3.140625" customWidth="1"/>
    <col min="17" max="19" width="10" customWidth="1"/>
    <col min="20" max="20" width="3.140625" customWidth="1"/>
    <col min="21" max="23" width="9.85546875" customWidth="1"/>
    <col min="24" max="24" width="3.5703125" customWidth="1"/>
    <col min="25" max="27" width="10" customWidth="1"/>
  </cols>
  <sheetData>
    <row r="2" spans="1:27">
      <c r="B2" t="s">
        <v>0</v>
      </c>
      <c r="C2" t="s">
        <v>1</v>
      </c>
      <c r="E2" t="s">
        <v>3</v>
      </c>
      <c r="F2" t="s">
        <v>4</v>
      </c>
      <c r="I2" t="s">
        <v>3</v>
      </c>
      <c r="J2" t="s">
        <v>8</v>
      </c>
      <c r="M2" t="s">
        <v>9</v>
      </c>
      <c r="Q2" t="s">
        <v>11</v>
      </c>
      <c r="U2" t="s">
        <v>12</v>
      </c>
      <c r="Y2" t="s">
        <v>13</v>
      </c>
    </row>
    <row r="3" spans="1:27">
      <c r="B3" t="s">
        <v>2</v>
      </c>
      <c r="C3" t="s">
        <v>2</v>
      </c>
      <c r="E3" s="1" t="s">
        <v>5</v>
      </c>
      <c r="F3" s="1" t="s">
        <v>6</v>
      </c>
      <c r="G3" s="1" t="s">
        <v>7</v>
      </c>
      <c r="I3" s="1" t="s">
        <v>5</v>
      </c>
      <c r="J3" s="1" t="s">
        <v>6</v>
      </c>
      <c r="K3" s="1" t="s">
        <v>7</v>
      </c>
      <c r="M3" s="1" t="s">
        <v>10</v>
      </c>
      <c r="N3" s="1" t="s">
        <v>6</v>
      </c>
      <c r="O3" s="1" t="s">
        <v>7</v>
      </c>
      <c r="Q3" s="1" t="s">
        <v>10</v>
      </c>
      <c r="R3" s="1" t="s">
        <v>6</v>
      </c>
      <c r="S3" s="1" t="s">
        <v>7</v>
      </c>
      <c r="U3" s="1" t="s">
        <v>10</v>
      </c>
      <c r="V3" s="1" t="s">
        <v>6</v>
      </c>
      <c r="W3" s="1" t="s">
        <v>7</v>
      </c>
      <c r="Y3" s="1" t="s">
        <v>10</v>
      </c>
      <c r="Z3" s="1" t="s">
        <v>6</v>
      </c>
      <c r="AA3" s="1" t="s">
        <v>7</v>
      </c>
    </row>
    <row r="4" spans="1:27" ht="18" customHeight="1"/>
    <row r="5" spans="1:27" ht="18" customHeight="1">
      <c r="A5" t="s">
        <v>14</v>
      </c>
      <c r="B5">
        <v>500</v>
      </c>
      <c r="C5">
        <v>1500</v>
      </c>
    </row>
    <row r="6" spans="1:27" ht="18" customHeight="1">
      <c r="A6" t="s">
        <v>15</v>
      </c>
      <c r="B6">
        <v>600</v>
      </c>
      <c r="C6">
        <v>1400</v>
      </c>
      <c r="E6">
        <v>15.3352</v>
      </c>
      <c r="F6">
        <v>13.5838</v>
      </c>
      <c r="G6">
        <v>16.162500000000001</v>
      </c>
      <c r="I6">
        <v>15.3683</v>
      </c>
      <c r="J6">
        <v>14.7685</v>
      </c>
      <c r="K6">
        <v>15.626200000000001</v>
      </c>
      <c r="M6">
        <v>13.8286</v>
      </c>
      <c r="N6">
        <v>9.5068000000000001</v>
      </c>
      <c r="O6">
        <v>16.5214</v>
      </c>
      <c r="Q6">
        <v>14.8653</v>
      </c>
      <c r="R6">
        <v>14.135199999999999</v>
      </c>
      <c r="S6">
        <v>15.1821</v>
      </c>
      <c r="U6">
        <v>13.343999999999999</v>
      </c>
      <c r="V6">
        <v>8.423</v>
      </c>
      <c r="W6">
        <v>16.670000000000002</v>
      </c>
      <c r="Y6">
        <v>15.871600000000001</v>
      </c>
      <c r="Z6">
        <v>15.4505</v>
      </c>
      <c r="AA6">
        <v>16.051300000000001</v>
      </c>
    </row>
    <row r="7" spans="1:27" ht="18" customHeight="1">
      <c r="A7" t="s">
        <v>16</v>
      </c>
      <c r="B7">
        <v>700</v>
      </c>
      <c r="C7">
        <v>1300</v>
      </c>
    </row>
    <row r="8" spans="1:27" ht="18" customHeight="1">
      <c r="A8" t="s">
        <v>17</v>
      </c>
      <c r="B8">
        <v>800</v>
      </c>
      <c r="C8">
        <v>1200</v>
      </c>
      <c r="E8">
        <v>13.375999999999999</v>
      </c>
      <c r="F8">
        <v>10.612500000000001</v>
      </c>
      <c r="G8">
        <v>15.899800000000001</v>
      </c>
      <c r="I8">
        <v>13.3063</v>
      </c>
      <c r="J8">
        <v>10.7196</v>
      </c>
      <c r="K8">
        <v>15.6091</v>
      </c>
      <c r="M8">
        <v>13.9313</v>
      </c>
      <c r="N8">
        <v>11.0265</v>
      </c>
      <c r="O8">
        <v>16.514900000000001</v>
      </c>
      <c r="Q8">
        <v>12.0966</v>
      </c>
      <c r="R8">
        <v>11.9932</v>
      </c>
      <c r="S8">
        <v>12.163600000000001</v>
      </c>
      <c r="U8">
        <v>12.1511</v>
      </c>
      <c r="V8">
        <v>8.0969999999999995</v>
      </c>
      <c r="W8">
        <v>16.670000000000002</v>
      </c>
      <c r="Y8">
        <v>14.0219</v>
      </c>
      <c r="Z8">
        <v>11.334199999999999</v>
      </c>
      <c r="AA8">
        <v>16.374400000000001</v>
      </c>
    </row>
    <row r="9" spans="1:27" ht="18" customHeight="1">
      <c r="B9">
        <v>900</v>
      </c>
      <c r="C9">
        <v>1100</v>
      </c>
    </row>
    <row r="10" spans="1:27" ht="18" customHeight="1">
      <c r="B10">
        <v>1000</v>
      </c>
      <c r="C10">
        <v>1000</v>
      </c>
      <c r="E10">
        <v>12.4887</v>
      </c>
      <c r="F10">
        <v>10.6394</v>
      </c>
      <c r="G10">
        <v>15</v>
      </c>
      <c r="I10">
        <v>11.910600000000001</v>
      </c>
      <c r="J10">
        <v>10.7758</v>
      </c>
      <c r="K10">
        <v>13.343999999999999</v>
      </c>
      <c r="M10" s="1">
        <v>11.2105</v>
      </c>
      <c r="N10" s="1">
        <v>8.4549000000000003</v>
      </c>
      <c r="O10" s="1">
        <v>15.7707</v>
      </c>
      <c r="Q10" s="1">
        <v>9.1415000000000006</v>
      </c>
      <c r="R10" s="1">
        <v>8.0169999999999995</v>
      </c>
      <c r="S10" s="1">
        <v>10.448499999999999</v>
      </c>
      <c r="U10" s="1">
        <v>11.104799999999999</v>
      </c>
      <c r="V10" s="1">
        <v>7.8833000000000002</v>
      </c>
      <c r="W10" s="1">
        <v>16.651599999999998</v>
      </c>
      <c r="Y10" s="1">
        <v>12.836399999999999</v>
      </c>
      <c r="Z10" s="1">
        <v>10.4451</v>
      </c>
      <c r="AA10" s="1">
        <v>16.343499999999999</v>
      </c>
    </row>
    <row r="11" spans="1:27" ht="18" customHeight="1">
      <c r="B11">
        <v>1100</v>
      </c>
      <c r="C11">
        <v>900</v>
      </c>
    </row>
    <row r="12" spans="1:27" ht="18" customHeight="1">
      <c r="B12">
        <v>1200</v>
      </c>
      <c r="C12">
        <v>800</v>
      </c>
      <c r="E12">
        <v>11.6059</v>
      </c>
      <c r="F12">
        <v>10.2135</v>
      </c>
      <c r="G12">
        <v>14.062200000000001</v>
      </c>
      <c r="I12">
        <v>10.853199999999999</v>
      </c>
      <c r="J12">
        <v>9.7042999999999999</v>
      </c>
      <c r="K12">
        <v>12.8649</v>
      </c>
      <c r="M12" s="1">
        <v>11.6554</v>
      </c>
      <c r="N12" s="1">
        <v>9.7464999999999993</v>
      </c>
      <c r="O12" s="1">
        <v>15.7791</v>
      </c>
      <c r="Q12" s="1">
        <v>10.069800000000001</v>
      </c>
      <c r="R12" s="1">
        <v>10.516</v>
      </c>
      <c r="S12" s="1">
        <v>9.5222999999999995</v>
      </c>
      <c r="U12" s="1">
        <v>9.7576000000000001</v>
      </c>
      <c r="V12" s="1">
        <v>6.984</v>
      </c>
      <c r="W12" s="1">
        <v>16.670000000000002</v>
      </c>
      <c r="Y12" s="1">
        <v>11.866199999999999</v>
      </c>
      <c r="Z12" s="1">
        <v>10.114100000000001</v>
      </c>
      <c r="AA12" s="1">
        <v>15.3712</v>
      </c>
    </row>
    <row r="13" spans="1:27" ht="18" customHeight="1">
      <c r="B13">
        <v>1300</v>
      </c>
      <c r="C13">
        <v>700</v>
      </c>
    </row>
    <row r="14" spans="1:27" ht="18" customHeight="1">
      <c r="B14">
        <v>1400</v>
      </c>
      <c r="C14">
        <v>600</v>
      </c>
      <c r="E14">
        <v>8.7989999999999995</v>
      </c>
      <c r="F14">
        <v>7.9519000000000002</v>
      </c>
      <c r="G14">
        <v>10.6633</v>
      </c>
      <c r="I14">
        <v>8.7989999999999995</v>
      </c>
      <c r="J14">
        <v>7.9519000000000002</v>
      </c>
      <c r="K14">
        <v>10.6633</v>
      </c>
      <c r="M14">
        <v>11.341200000000001</v>
      </c>
      <c r="N14">
        <v>9.9347999999999992</v>
      </c>
      <c r="O14">
        <v>15.715</v>
      </c>
      <c r="Q14">
        <v>10.2224</v>
      </c>
      <c r="R14">
        <v>10.943099999999999</v>
      </c>
      <c r="S14">
        <v>9.0669000000000004</v>
      </c>
      <c r="U14">
        <v>10.6022</v>
      </c>
      <c r="V14">
        <v>8.7757000000000005</v>
      </c>
      <c r="W14">
        <v>16.659500000000001</v>
      </c>
      <c r="Y14">
        <v>11.243</v>
      </c>
      <c r="Z14">
        <v>9.6631999999999998</v>
      </c>
      <c r="AA14">
        <v>16.055900000000001</v>
      </c>
    </row>
    <row r="15" spans="1:27" ht="18" customHeight="1">
      <c r="B15">
        <v>1500</v>
      </c>
      <c r="C15">
        <v>500</v>
      </c>
    </row>
    <row r="16" spans="1:27" ht="18" customHeight="1"/>
    <row r="17" spans="1:27" ht="18" customHeight="1">
      <c r="B17">
        <v>1000</v>
      </c>
      <c r="C17">
        <v>1400</v>
      </c>
      <c r="E17">
        <v>10.5282</v>
      </c>
      <c r="F17">
        <v>8.2002000000000006</v>
      </c>
      <c r="G17">
        <v>12.805</v>
      </c>
      <c r="I17">
        <v>10.092700000000001</v>
      </c>
      <c r="J17">
        <v>7.8959000000000001</v>
      </c>
      <c r="K17">
        <v>12.1731</v>
      </c>
      <c r="M17">
        <v>11.2507</v>
      </c>
      <c r="N17">
        <v>7.2483000000000004</v>
      </c>
      <c r="O17">
        <v>16.359200000000001</v>
      </c>
      <c r="Q17">
        <v>9.8756000000000004</v>
      </c>
      <c r="R17">
        <v>10.6196</v>
      </c>
      <c r="S17">
        <v>9.4016999999999999</v>
      </c>
      <c r="U17">
        <v>9.4505999999999997</v>
      </c>
      <c r="V17">
        <v>4.5778999999999996</v>
      </c>
      <c r="W17">
        <v>16.670000000000002</v>
      </c>
      <c r="Y17">
        <v>12.028499999999999</v>
      </c>
      <c r="Z17">
        <v>8.4746000000000006</v>
      </c>
      <c r="AA17">
        <v>15.9757</v>
      </c>
    </row>
    <row r="18" spans="1:27" ht="18" customHeight="1">
      <c r="B18">
        <v>1200</v>
      </c>
      <c r="C18">
        <v>1200</v>
      </c>
      <c r="E18">
        <v>10.7438</v>
      </c>
      <c r="F18">
        <v>8.4663000000000004</v>
      </c>
      <c r="G18">
        <v>13.796799999999999</v>
      </c>
      <c r="I18">
        <v>10.4953</v>
      </c>
      <c r="J18">
        <v>8.2934999999999999</v>
      </c>
      <c r="K18">
        <v>13.3721</v>
      </c>
      <c r="M18">
        <v>10.4474</v>
      </c>
      <c r="N18">
        <v>7.2176999999999998</v>
      </c>
      <c r="O18">
        <v>15.8514</v>
      </c>
      <c r="Q18">
        <v>8.7872000000000003</v>
      </c>
      <c r="R18">
        <v>9.8148999999999997</v>
      </c>
      <c r="S18">
        <v>7.9123000000000001</v>
      </c>
      <c r="U18">
        <v>9.1498000000000008</v>
      </c>
      <c r="V18">
        <v>5.0734000000000004</v>
      </c>
      <c r="W18">
        <v>16.654800000000002</v>
      </c>
      <c r="Y18">
        <v>10.716799999999999</v>
      </c>
      <c r="Z18">
        <v>7.4897999999999998</v>
      </c>
      <c r="AA18">
        <v>15.9824</v>
      </c>
    </row>
    <row r="19" spans="1:27" ht="18" customHeight="1">
      <c r="B19">
        <v>1400</v>
      </c>
      <c r="C19">
        <v>1000</v>
      </c>
      <c r="E19">
        <v>10.156700000000001</v>
      </c>
      <c r="F19">
        <v>8.8712999999999997</v>
      </c>
      <c r="G19">
        <v>12.312799999999999</v>
      </c>
      <c r="I19">
        <v>8.5594999999999999</v>
      </c>
      <c r="J19">
        <v>7.3308999999999997</v>
      </c>
      <c r="K19">
        <v>10.5585</v>
      </c>
      <c r="M19">
        <v>9.8216999999999999</v>
      </c>
      <c r="N19">
        <v>7.0742000000000003</v>
      </c>
      <c r="O19">
        <v>15.964700000000001</v>
      </c>
      <c r="Q19">
        <v>9.3646999999999991</v>
      </c>
      <c r="R19">
        <v>11.0009</v>
      </c>
      <c r="S19">
        <v>7.7335000000000003</v>
      </c>
      <c r="U19">
        <v>8.5607000000000006</v>
      </c>
      <c r="V19">
        <v>5.3628</v>
      </c>
      <c r="W19">
        <v>16.652699999999999</v>
      </c>
      <c r="Y19">
        <v>9.6364999999999998</v>
      </c>
      <c r="Z19">
        <v>6.7256999999999998</v>
      </c>
      <c r="AA19">
        <v>16.378900000000002</v>
      </c>
    </row>
    <row r="20" spans="1:27" ht="18" customHeight="1">
      <c r="B20">
        <v>800</v>
      </c>
      <c r="C20">
        <v>800</v>
      </c>
      <c r="E20">
        <v>15.3164</v>
      </c>
      <c r="F20">
        <v>14.4108</v>
      </c>
      <c r="G20">
        <v>16.3948</v>
      </c>
      <c r="I20">
        <v>15.3164</v>
      </c>
      <c r="J20">
        <v>14.4108</v>
      </c>
      <c r="K20">
        <v>16.3948</v>
      </c>
      <c r="M20">
        <v>15.317</v>
      </c>
      <c r="N20">
        <v>14.3017</v>
      </c>
      <c r="O20">
        <v>16.545500000000001</v>
      </c>
      <c r="Q20">
        <v>16.005700000000001</v>
      </c>
      <c r="R20">
        <v>15.7959</v>
      </c>
      <c r="S20">
        <v>16.231200000000001</v>
      </c>
      <c r="U20">
        <v>13.196400000000001</v>
      </c>
      <c r="V20">
        <v>10.8642</v>
      </c>
      <c r="W20">
        <v>16.670000000000002</v>
      </c>
      <c r="Y20">
        <v>13.983700000000001</v>
      </c>
      <c r="Z20">
        <v>12.184900000000001</v>
      </c>
      <c r="AA20">
        <v>16.434200000000001</v>
      </c>
    </row>
    <row r="21" spans="1:27" ht="18" customHeight="1"/>
    <row r="22" spans="1:27" ht="18" customHeight="1">
      <c r="B22">
        <v>500</v>
      </c>
      <c r="C22">
        <v>1500</v>
      </c>
    </row>
    <row r="23" spans="1:27" ht="18" customHeight="1">
      <c r="A23" t="s">
        <v>18</v>
      </c>
      <c r="B23">
        <v>600</v>
      </c>
      <c r="C23">
        <v>1400</v>
      </c>
      <c r="E23">
        <v>15.038</v>
      </c>
      <c r="F23">
        <v>13.131399999999999</v>
      </c>
      <c r="G23">
        <v>16.048999999999999</v>
      </c>
      <c r="I23">
        <v>15.075200000000001</v>
      </c>
      <c r="J23">
        <v>14.535500000000001</v>
      </c>
      <c r="K23">
        <v>15.3301</v>
      </c>
      <c r="M23">
        <v>13.232799999999999</v>
      </c>
      <c r="N23">
        <v>8.8257999999999992</v>
      </c>
      <c r="O23">
        <v>16.468900000000001</v>
      </c>
      <c r="Q23">
        <v>14.4383</v>
      </c>
      <c r="R23">
        <v>13.778600000000001</v>
      </c>
      <c r="S23">
        <v>14.752000000000001</v>
      </c>
      <c r="U23">
        <v>12.639099999999999</v>
      </c>
      <c r="V23">
        <v>7.6473000000000004</v>
      </c>
      <c r="W23">
        <v>16.670000000000002</v>
      </c>
      <c r="Y23">
        <v>15.7316</v>
      </c>
      <c r="Z23">
        <v>15.369400000000001</v>
      </c>
      <c r="AA23">
        <v>15.901</v>
      </c>
    </row>
    <row r="24" spans="1:27" ht="18" customHeight="1">
      <c r="B24">
        <v>700</v>
      </c>
      <c r="C24">
        <v>1300</v>
      </c>
    </row>
    <row r="25" spans="1:27" ht="18" customHeight="1">
      <c r="B25">
        <v>800</v>
      </c>
      <c r="C25">
        <v>1200</v>
      </c>
      <c r="E25">
        <v>13.039899999999999</v>
      </c>
      <c r="F25">
        <v>9.7617999999999991</v>
      </c>
      <c r="G25">
        <v>16.299399999999999</v>
      </c>
      <c r="I25">
        <v>12.945399999999999</v>
      </c>
      <c r="J25">
        <v>9.8832000000000004</v>
      </c>
      <c r="K25">
        <v>15.8887</v>
      </c>
      <c r="M25">
        <v>13.5961</v>
      </c>
      <c r="N25">
        <v>10.1798</v>
      </c>
      <c r="O25">
        <v>16.557700000000001</v>
      </c>
      <c r="Q25">
        <v>11.4163</v>
      </c>
      <c r="R25">
        <v>11.457599999999999</v>
      </c>
      <c r="S25">
        <v>11.3903</v>
      </c>
      <c r="U25">
        <v>11.321099999999999</v>
      </c>
      <c r="V25">
        <v>7.0777999999999999</v>
      </c>
      <c r="W25">
        <v>16.670000000000002</v>
      </c>
      <c r="Y25">
        <v>13.6569</v>
      </c>
      <c r="Z25">
        <v>10.647500000000001</v>
      </c>
      <c r="AA25">
        <v>16.479099999999999</v>
      </c>
    </row>
    <row r="26" spans="1:27" ht="18" customHeight="1">
      <c r="B26">
        <v>900</v>
      </c>
      <c r="C26">
        <v>1100</v>
      </c>
    </row>
    <row r="27" spans="1:27" ht="18" customHeight="1">
      <c r="B27">
        <v>1000</v>
      </c>
      <c r="C27">
        <v>1000</v>
      </c>
      <c r="E27">
        <v>11.9948</v>
      </c>
      <c r="F27">
        <v>10.017300000000001</v>
      </c>
      <c r="G27">
        <v>15.1486</v>
      </c>
      <c r="I27">
        <v>11.2355</v>
      </c>
      <c r="J27">
        <v>10.174899999999999</v>
      </c>
      <c r="K27">
        <v>12.7637</v>
      </c>
      <c r="M27" s="1">
        <v>10.173</v>
      </c>
      <c r="N27" s="1">
        <v>7.61</v>
      </c>
      <c r="O27" s="1">
        <v>15.436</v>
      </c>
      <c r="Q27" s="1">
        <v>8.1744000000000003</v>
      </c>
      <c r="R27" s="1">
        <v>6.9759000000000002</v>
      </c>
      <c r="S27" s="1">
        <v>9.6812000000000005</v>
      </c>
      <c r="U27" s="1">
        <v>10.0611</v>
      </c>
      <c r="V27" s="1">
        <v>6.9870999999999999</v>
      </c>
      <c r="W27" s="1">
        <v>16.642199999999999</v>
      </c>
      <c r="Y27" s="1">
        <v>12.1656</v>
      </c>
      <c r="Z27" s="1">
        <v>9.7413000000000007</v>
      </c>
      <c r="AA27" s="1">
        <v>16.4664</v>
      </c>
    </row>
    <row r="28" spans="1:27" ht="18" customHeight="1">
      <c r="B28">
        <v>1100</v>
      </c>
      <c r="C28">
        <v>900</v>
      </c>
    </row>
    <row r="29" spans="1:27" ht="18" customHeight="1">
      <c r="B29">
        <v>1200</v>
      </c>
      <c r="C29">
        <v>800</v>
      </c>
      <c r="E29">
        <v>10.9101</v>
      </c>
      <c r="F29">
        <v>9.2560000000000002</v>
      </c>
      <c r="G29">
        <v>14.1355</v>
      </c>
      <c r="I29">
        <v>9.9624000000000006</v>
      </c>
      <c r="J29">
        <v>8.6424000000000003</v>
      </c>
      <c r="K29">
        <v>12.505699999999999</v>
      </c>
      <c r="M29" s="1">
        <v>10.7605</v>
      </c>
      <c r="N29" s="1">
        <v>8.8984000000000005</v>
      </c>
      <c r="O29" s="1">
        <v>15.493399999999999</v>
      </c>
      <c r="Q29" s="1">
        <v>9.2660999999999998</v>
      </c>
      <c r="R29" s="1">
        <v>9.4662000000000006</v>
      </c>
      <c r="S29" s="1">
        <v>9.0222999999999995</v>
      </c>
      <c r="U29" s="1">
        <v>8.3998000000000008</v>
      </c>
      <c r="V29" s="1">
        <v>5.6818999999999997</v>
      </c>
      <c r="W29" s="1">
        <v>16.670000000000002</v>
      </c>
      <c r="Y29" s="1">
        <v>11.0092</v>
      </c>
      <c r="Z29" s="1">
        <v>9.2791999999999994</v>
      </c>
      <c r="AA29" s="1">
        <v>14.990399999999999</v>
      </c>
    </row>
    <row r="30" spans="1:27" ht="18" customHeight="1">
      <c r="B30">
        <v>1300</v>
      </c>
      <c r="C30">
        <v>700</v>
      </c>
    </row>
    <row r="31" spans="1:27" ht="18" customHeight="1">
      <c r="B31">
        <v>1400</v>
      </c>
      <c r="C31">
        <v>600</v>
      </c>
      <c r="E31">
        <v>7.5644</v>
      </c>
      <c r="F31">
        <v>6.6683000000000003</v>
      </c>
      <c r="G31">
        <v>9.7011000000000003</v>
      </c>
      <c r="I31">
        <v>7.5644</v>
      </c>
      <c r="J31">
        <v>6.6683000000000003</v>
      </c>
      <c r="K31">
        <v>9.7011000000000003</v>
      </c>
      <c r="M31">
        <v>10.452199999999999</v>
      </c>
      <c r="N31">
        <v>9.1561000000000003</v>
      </c>
      <c r="O31">
        <v>15.4358</v>
      </c>
      <c r="Q31">
        <v>9.4129000000000005</v>
      </c>
      <c r="R31">
        <v>10.026</v>
      </c>
      <c r="S31">
        <v>8.4303000000000008</v>
      </c>
      <c r="U31">
        <v>9.4749999999999996</v>
      </c>
      <c r="V31">
        <v>7.7614999999999998</v>
      </c>
      <c r="W31">
        <v>16.6539</v>
      </c>
      <c r="Y31">
        <v>10.314299999999999</v>
      </c>
      <c r="Z31">
        <v>8.8097999999999992</v>
      </c>
      <c r="AA31">
        <v>15.9489</v>
      </c>
    </row>
    <row r="32" spans="1:27" ht="18" customHeight="1">
      <c r="B32">
        <v>1500</v>
      </c>
      <c r="C32">
        <v>500</v>
      </c>
    </row>
    <row r="33" spans="1:31" ht="18" customHeight="1"/>
    <row r="34" spans="1:31" ht="18" customHeight="1">
      <c r="B34">
        <v>1000</v>
      </c>
      <c r="C34">
        <v>1400</v>
      </c>
      <c r="E34">
        <v>9.9596</v>
      </c>
      <c r="F34">
        <v>7.1944999999999997</v>
      </c>
      <c r="G34">
        <v>12.9992</v>
      </c>
      <c r="I34">
        <v>9.4259000000000004</v>
      </c>
      <c r="J34">
        <v>6.8418999999999999</v>
      </c>
      <c r="K34">
        <v>12.14</v>
      </c>
      <c r="M34">
        <v>10.328099999999999</v>
      </c>
      <c r="N34">
        <v>6.5331999999999999</v>
      </c>
      <c r="O34">
        <v>16.217300000000002</v>
      </c>
      <c r="Q34">
        <v>9.1681000000000008</v>
      </c>
      <c r="R34">
        <v>9.9921000000000006</v>
      </c>
      <c r="S34">
        <v>8.6448</v>
      </c>
      <c r="U34">
        <v>8.1272000000000002</v>
      </c>
      <c r="V34">
        <v>3.5238999999999998</v>
      </c>
      <c r="W34">
        <v>16.670000000000002</v>
      </c>
      <c r="Y34">
        <v>11.2654</v>
      </c>
      <c r="Z34">
        <v>7.5812999999999997</v>
      </c>
      <c r="AA34">
        <v>16.095300000000002</v>
      </c>
    </row>
    <row r="35" spans="1:31" ht="18" customHeight="1">
      <c r="B35">
        <v>1200</v>
      </c>
      <c r="C35">
        <v>1200</v>
      </c>
      <c r="E35">
        <v>9.9609000000000005</v>
      </c>
      <c r="F35">
        <v>7.242</v>
      </c>
      <c r="G35">
        <v>13.834199999999999</v>
      </c>
      <c r="I35">
        <v>9.6783000000000001</v>
      </c>
      <c r="J35">
        <v>7.0548000000000002</v>
      </c>
      <c r="K35">
        <v>13.291</v>
      </c>
      <c r="M35">
        <v>9.3674999999999997</v>
      </c>
      <c r="N35">
        <v>6.0457000000000001</v>
      </c>
      <c r="O35">
        <v>15.5814</v>
      </c>
      <c r="Q35">
        <v>7.9192</v>
      </c>
      <c r="R35">
        <v>8.6034000000000006</v>
      </c>
      <c r="S35">
        <v>7.3676000000000004</v>
      </c>
      <c r="U35">
        <v>7.7954999999999997</v>
      </c>
      <c r="V35">
        <v>3.5951</v>
      </c>
      <c r="W35">
        <v>16.6495</v>
      </c>
      <c r="Y35">
        <v>9.7213999999999992</v>
      </c>
      <c r="Z35">
        <v>6.3086000000000002</v>
      </c>
      <c r="AA35">
        <v>15.919499999999999</v>
      </c>
    </row>
    <row r="36" spans="1:31" ht="18" customHeight="1">
      <c r="B36">
        <v>1400</v>
      </c>
      <c r="C36">
        <v>1000</v>
      </c>
      <c r="E36">
        <v>9.2944999999999993</v>
      </c>
      <c r="F36">
        <v>7.8060999999999998</v>
      </c>
      <c r="G36">
        <v>11.937099999999999</v>
      </c>
      <c r="I36">
        <v>7.4261999999999997</v>
      </c>
      <c r="J36">
        <v>6.0391000000000004</v>
      </c>
      <c r="K36">
        <v>9.7873999999999999</v>
      </c>
      <c r="M36">
        <v>8.6521000000000008</v>
      </c>
      <c r="N36">
        <v>5.8159999999999998</v>
      </c>
      <c r="O36">
        <v>15.907400000000001</v>
      </c>
      <c r="Q36">
        <v>8.5744000000000007</v>
      </c>
      <c r="R36">
        <v>10.093400000000001</v>
      </c>
      <c r="S36">
        <v>7.1497000000000002</v>
      </c>
      <c r="U36">
        <v>7.1300999999999997</v>
      </c>
      <c r="V36">
        <v>3.9443000000000001</v>
      </c>
      <c r="W36">
        <v>16.646000000000001</v>
      </c>
      <c r="Y36">
        <v>8.4261999999999997</v>
      </c>
      <c r="Z36">
        <v>5.4253999999999998</v>
      </c>
      <c r="AA36">
        <v>16.471</v>
      </c>
    </row>
    <row r="37" spans="1:31" s="2" customFormat="1" ht="18" customHeight="1">
      <c r="B37" s="2">
        <v>800</v>
      </c>
      <c r="C37" s="2">
        <v>800</v>
      </c>
      <c r="E37" s="2">
        <v>15.2822</v>
      </c>
      <c r="F37" s="2">
        <v>14.256600000000001</v>
      </c>
      <c r="G37" s="2">
        <v>16.536899999999999</v>
      </c>
      <c r="I37" s="2">
        <v>15.2822</v>
      </c>
      <c r="J37" s="2">
        <v>14.256600000000001</v>
      </c>
      <c r="K37" s="2">
        <v>16.536899999999999</v>
      </c>
      <c r="M37" s="2">
        <v>15.2691</v>
      </c>
      <c r="N37" s="2">
        <v>14.236700000000001</v>
      </c>
      <c r="O37" s="2">
        <v>16.543500000000002</v>
      </c>
      <c r="Q37" s="2">
        <v>16.2576</v>
      </c>
      <c r="R37" s="2">
        <v>16.105699999999999</v>
      </c>
      <c r="S37" s="2">
        <v>16.418600000000001</v>
      </c>
      <c r="U37" s="2">
        <v>12.532400000000001</v>
      </c>
      <c r="V37" s="2">
        <v>9.9921000000000006</v>
      </c>
      <c r="W37" s="2">
        <v>16.670000000000002</v>
      </c>
      <c r="Y37" s="2">
        <v>13.558299999999999</v>
      </c>
      <c r="Z37" s="2">
        <v>11.6393</v>
      </c>
      <c r="AA37" s="2">
        <v>16.3383</v>
      </c>
    </row>
    <row r="38" spans="1:31" ht="18" customHeight="1"/>
    <row r="39" spans="1:31" ht="18" customHeight="1">
      <c r="A39" t="s">
        <v>14</v>
      </c>
      <c r="B39">
        <v>500</v>
      </c>
      <c r="C39">
        <v>1500</v>
      </c>
    </row>
    <row r="40" spans="1:31" ht="18" customHeight="1">
      <c r="A40" t="s">
        <v>19</v>
      </c>
      <c r="B40">
        <v>600</v>
      </c>
      <c r="C40">
        <v>1400</v>
      </c>
      <c r="E40">
        <v>14.327199999999999</v>
      </c>
      <c r="F40">
        <v>11.122</v>
      </c>
      <c r="G40">
        <v>15.9968</v>
      </c>
      <c r="I40">
        <v>14.239699999999999</v>
      </c>
      <c r="J40">
        <v>11.1572</v>
      </c>
      <c r="K40">
        <v>15.8835</v>
      </c>
      <c r="M40">
        <v>12.1989</v>
      </c>
      <c r="N40">
        <v>6.1974</v>
      </c>
      <c r="O40">
        <v>16.670000000000002</v>
      </c>
      <c r="Q40">
        <v>14.610900000000001</v>
      </c>
      <c r="R40">
        <v>13.3536</v>
      </c>
      <c r="S40">
        <v>15.169700000000001</v>
      </c>
      <c r="U40">
        <v>12.1989</v>
      </c>
      <c r="V40">
        <v>6.1974</v>
      </c>
      <c r="W40">
        <v>16.670000000000002</v>
      </c>
      <c r="Y40">
        <v>14.8462</v>
      </c>
      <c r="Z40">
        <v>12.732900000000001</v>
      </c>
      <c r="AA40">
        <v>15.8551</v>
      </c>
      <c r="AC40">
        <v>13.5402</v>
      </c>
      <c r="AD40">
        <v>9.3872</v>
      </c>
      <c r="AE40">
        <v>16.000699999999998</v>
      </c>
    </row>
    <row r="41" spans="1:31" ht="18" customHeight="1">
      <c r="A41" t="s">
        <v>16</v>
      </c>
      <c r="B41">
        <v>700</v>
      </c>
      <c r="C41">
        <v>1300</v>
      </c>
    </row>
    <row r="42" spans="1:31" ht="18" customHeight="1">
      <c r="A42" t="s">
        <v>17</v>
      </c>
      <c r="B42">
        <v>800</v>
      </c>
      <c r="C42">
        <v>1200</v>
      </c>
      <c r="E42">
        <v>11.8627</v>
      </c>
      <c r="F42">
        <v>9.0710999999999995</v>
      </c>
      <c r="G42">
        <v>14.514900000000001</v>
      </c>
      <c r="I42">
        <v>11.2844</v>
      </c>
      <c r="J42">
        <v>8.3231999999999999</v>
      </c>
      <c r="K42">
        <v>13.983599999999999</v>
      </c>
      <c r="M42">
        <v>9.3588000000000005</v>
      </c>
      <c r="N42">
        <v>4.3407999999999998</v>
      </c>
      <c r="O42">
        <v>16.670000000000002</v>
      </c>
      <c r="Q42">
        <v>12.981999999999999</v>
      </c>
      <c r="R42">
        <v>12.8924</v>
      </c>
      <c r="S42">
        <v>13.038500000000001</v>
      </c>
      <c r="U42">
        <v>9.3588000000000005</v>
      </c>
      <c r="V42">
        <v>4.3407999999999998</v>
      </c>
      <c r="W42">
        <v>16.670000000000002</v>
      </c>
      <c r="Y42">
        <v>9.9633000000000003</v>
      </c>
      <c r="Z42">
        <v>5.0171000000000001</v>
      </c>
      <c r="AA42">
        <v>16.607700000000001</v>
      </c>
      <c r="AC42">
        <v>11.708600000000001</v>
      </c>
      <c r="AD42">
        <v>8.5678999999999998</v>
      </c>
      <c r="AE42">
        <v>14.7988</v>
      </c>
    </row>
    <row r="43" spans="1:31" ht="18" customHeight="1">
      <c r="B43">
        <v>900</v>
      </c>
      <c r="C43">
        <v>1100</v>
      </c>
    </row>
    <row r="44" spans="1:31" ht="18" customHeight="1">
      <c r="B44">
        <v>1000</v>
      </c>
      <c r="C44">
        <v>1000</v>
      </c>
      <c r="E44">
        <v>11.348000000000001</v>
      </c>
      <c r="F44">
        <v>9.9275000000000002</v>
      </c>
      <c r="G44">
        <v>13.180999999999999</v>
      </c>
      <c r="I44">
        <v>11.103300000000001</v>
      </c>
      <c r="J44">
        <v>9.1504999999999992</v>
      </c>
      <c r="K44">
        <v>13.792</v>
      </c>
      <c r="M44">
        <v>8.4448000000000008</v>
      </c>
      <c r="N44">
        <v>4.5945999999999998</v>
      </c>
      <c r="O44">
        <v>16.629300000000001</v>
      </c>
      <c r="Q44">
        <v>10.974</v>
      </c>
      <c r="R44">
        <v>10.2669</v>
      </c>
      <c r="S44">
        <v>11.7546</v>
      </c>
      <c r="U44">
        <v>8.4448000000000008</v>
      </c>
      <c r="V44">
        <v>4.5945999999999998</v>
      </c>
      <c r="W44">
        <v>16.629300000000001</v>
      </c>
      <c r="Y44">
        <v>9.0119000000000007</v>
      </c>
      <c r="Z44">
        <v>5.2157999999999998</v>
      </c>
      <c r="AA44">
        <v>16.555099999999999</v>
      </c>
      <c r="AC44">
        <v>11.348000000000001</v>
      </c>
      <c r="AD44">
        <v>9.9275000000000002</v>
      </c>
      <c r="AE44">
        <v>13.180999999999999</v>
      </c>
    </row>
    <row r="45" spans="1:31" ht="18" customHeight="1">
      <c r="B45">
        <v>1100</v>
      </c>
      <c r="C45">
        <v>900</v>
      </c>
    </row>
    <row r="46" spans="1:31" ht="18" customHeight="1">
      <c r="B46">
        <v>1200</v>
      </c>
      <c r="C46">
        <v>800</v>
      </c>
      <c r="E46">
        <v>10.6366</v>
      </c>
      <c r="F46">
        <v>9.5572999999999997</v>
      </c>
      <c r="G46">
        <v>12.374700000000001</v>
      </c>
      <c r="I46">
        <v>10.9795</v>
      </c>
      <c r="J46">
        <v>9.7772000000000006</v>
      </c>
      <c r="K46">
        <v>12.9786</v>
      </c>
      <c r="M46">
        <v>8.2005999999999997</v>
      </c>
      <c r="N46">
        <v>5.0914000000000001</v>
      </c>
      <c r="O46">
        <v>16.5595</v>
      </c>
      <c r="Q46">
        <v>10.1768</v>
      </c>
      <c r="R46">
        <v>10.984</v>
      </c>
      <c r="S46">
        <v>9.2530000000000001</v>
      </c>
      <c r="U46">
        <v>6.8341000000000003</v>
      </c>
      <c r="V46">
        <v>3.5991</v>
      </c>
      <c r="W46">
        <v>16.654399999999999</v>
      </c>
      <c r="Y46">
        <v>8.6823999999999995</v>
      </c>
      <c r="Z46">
        <v>5.6731999999999996</v>
      </c>
      <c r="AA46">
        <v>16.3736</v>
      </c>
      <c r="AC46">
        <v>10.793100000000001</v>
      </c>
      <c r="AD46">
        <v>9.6851000000000003</v>
      </c>
      <c r="AE46">
        <v>12.6036</v>
      </c>
    </row>
    <row r="47" spans="1:31" ht="18" customHeight="1">
      <c r="B47">
        <v>1300</v>
      </c>
      <c r="C47">
        <v>700</v>
      </c>
    </row>
    <row r="48" spans="1:31" ht="18" customHeight="1">
      <c r="B48">
        <v>1400</v>
      </c>
      <c r="C48">
        <v>600</v>
      </c>
      <c r="E48">
        <v>9.4155999999999995</v>
      </c>
      <c r="F48">
        <v>8.5742999999999991</v>
      </c>
      <c r="G48">
        <v>11.286099999999999</v>
      </c>
      <c r="I48">
        <v>9.3642000000000003</v>
      </c>
      <c r="J48">
        <v>8.4492999999999991</v>
      </c>
      <c r="K48">
        <v>11.350199999999999</v>
      </c>
      <c r="M48">
        <v>7.5254000000000003</v>
      </c>
      <c r="N48">
        <v>5.1525999999999996</v>
      </c>
      <c r="O48">
        <v>16.517099999999999</v>
      </c>
      <c r="Q48">
        <v>9.4521999999999995</v>
      </c>
      <c r="R48">
        <v>9.1748999999999992</v>
      </c>
      <c r="S48">
        <v>9.9893000000000001</v>
      </c>
      <c r="U48">
        <v>6.3625999999999996</v>
      </c>
      <c r="V48">
        <v>3.9011</v>
      </c>
      <c r="W48">
        <v>16.608699999999999</v>
      </c>
      <c r="Y48">
        <v>7.5351999999999997</v>
      </c>
      <c r="Z48">
        <v>5.157</v>
      </c>
      <c r="AA48">
        <v>16.414899999999999</v>
      </c>
      <c r="AC48">
        <v>9.4155999999999995</v>
      </c>
      <c r="AD48">
        <v>8.5742999999999991</v>
      </c>
      <c r="AE48">
        <v>11.286099999999999</v>
      </c>
    </row>
    <row r="49" spans="1:31" ht="18" customHeight="1">
      <c r="B49">
        <v>1500</v>
      </c>
      <c r="C49">
        <v>500</v>
      </c>
    </row>
    <row r="50" spans="1:31" ht="18" customHeight="1"/>
    <row r="51" spans="1:31" ht="18" customHeight="1">
      <c r="B51">
        <v>1000</v>
      </c>
      <c r="C51">
        <v>1400</v>
      </c>
      <c r="E51">
        <v>10.603899999999999</v>
      </c>
      <c r="F51">
        <v>8.2407000000000004</v>
      </c>
      <c r="G51">
        <v>12.8939</v>
      </c>
      <c r="I51">
        <v>10.5154</v>
      </c>
      <c r="J51">
        <v>8.5134000000000007</v>
      </c>
      <c r="K51">
        <v>12.455</v>
      </c>
      <c r="M51">
        <v>9.1346000000000007</v>
      </c>
      <c r="N51">
        <v>4.1717000000000004</v>
      </c>
      <c r="O51">
        <v>16.633900000000001</v>
      </c>
      <c r="Q51">
        <v>7.0262000000000002</v>
      </c>
      <c r="R51">
        <v>6.5613000000000001</v>
      </c>
      <c r="S51">
        <v>7.3490000000000002</v>
      </c>
      <c r="U51">
        <v>9.1346000000000007</v>
      </c>
      <c r="V51">
        <v>4.1717000000000004</v>
      </c>
      <c r="W51">
        <v>16.633900000000001</v>
      </c>
      <c r="Y51">
        <v>9.8856000000000002</v>
      </c>
      <c r="Z51">
        <v>5.4934000000000003</v>
      </c>
      <c r="AA51">
        <v>15.1286</v>
      </c>
      <c r="AC51">
        <v>9.5632000000000001</v>
      </c>
      <c r="AD51">
        <v>6.8361000000000001</v>
      </c>
      <c r="AE51">
        <v>12.3751</v>
      </c>
    </row>
    <row r="52" spans="1:31" ht="18" customHeight="1">
      <c r="B52">
        <v>1200</v>
      </c>
      <c r="C52">
        <v>1200</v>
      </c>
      <c r="E52">
        <v>10.030099999999999</v>
      </c>
      <c r="F52">
        <v>7.6170999999999998</v>
      </c>
      <c r="G52">
        <v>13.233499999999999</v>
      </c>
      <c r="I52">
        <v>10.212899999999999</v>
      </c>
      <c r="J52">
        <v>8.0374999999999996</v>
      </c>
      <c r="K52">
        <v>12.9201</v>
      </c>
      <c r="M52">
        <v>9.1471999999999998</v>
      </c>
      <c r="N52">
        <v>5.0831</v>
      </c>
      <c r="O52">
        <v>16.620999999999999</v>
      </c>
      <c r="Q52">
        <v>8.9890000000000008</v>
      </c>
      <c r="R52">
        <v>10.110099999999999</v>
      </c>
      <c r="S52">
        <v>8.1190999999999995</v>
      </c>
      <c r="U52">
        <v>7.8613</v>
      </c>
      <c r="V52">
        <v>3.6015999999999999</v>
      </c>
      <c r="W52">
        <v>16.659400000000002</v>
      </c>
      <c r="Y52">
        <v>9.1471999999999998</v>
      </c>
      <c r="Z52">
        <v>5.0831</v>
      </c>
      <c r="AA52">
        <v>16.620999999999999</v>
      </c>
      <c r="AC52">
        <v>10.030099999999999</v>
      </c>
      <c r="AD52">
        <v>7.6170999999999998</v>
      </c>
      <c r="AE52">
        <v>13.233499999999999</v>
      </c>
    </row>
    <row r="53" spans="1:31" ht="18" customHeight="1">
      <c r="B53">
        <v>1400</v>
      </c>
      <c r="C53">
        <v>1000</v>
      </c>
      <c r="E53">
        <v>9.1294000000000004</v>
      </c>
      <c r="F53">
        <v>7.4734999999999996</v>
      </c>
      <c r="G53">
        <v>11.960699999999999</v>
      </c>
      <c r="I53">
        <v>8.8927999999999994</v>
      </c>
      <c r="J53">
        <v>7.7492000000000001</v>
      </c>
      <c r="K53">
        <v>10.8178</v>
      </c>
      <c r="M53">
        <v>7.3955000000000002</v>
      </c>
      <c r="N53">
        <v>3.9319999999999999</v>
      </c>
      <c r="O53">
        <v>16.6038</v>
      </c>
      <c r="Q53">
        <v>8.8699999999999992</v>
      </c>
      <c r="R53">
        <v>8.4995999999999992</v>
      </c>
      <c r="S53">
        <v>9.3546999999999993</v>
      </c>
      <c r="U53">
        <v>6.4112999999999998</v>
      </c>
      <c r="V53">
        <v>2.8458000000000001</v>
      </c>
      <c r="W53">
        <v>16.653400000000001</v>
      </c>
      <c r="Y53">
        <v>7.3955000000000002</v>
      </c>
      <c r="Z53">
        <v>3.9319999999999999</v>
      </c>
      <c r="AA53">
        <v>16.6038</v>
      </c>
      <c r="AC53">
        <v>9.0488999999999997</v>
      </c>
      <c r="AD53">
        <v>7.4722999999999997</v>
      </c>
      <c r="AE53">
        <v>11.618600000000001</v>
      </c>
    </row>
    <row r="54" spans="1:31" ht="18" customHeight="1">
      <c r="B54">
        <v>800</v>
      </c>
      <c r="C54">
        <v>800</v>
      </c>
      <c r="E54">
        <v>13.007400000000001</v>
      </c>
      <c r="F54">
        <v>10.9003</v>
      </c>
      <c r="G54">
        <v>16.602699999999999</v>
      </c>
      <c r="I54">
        <v>13.5952</v>
      </c>
      <c r="J54">
        <v>11.9642</v>
      </c>
      <c r="K54">
        <v>15.730499999999999</v>
      </c>
      <c r="M54">
        <v>12.7113</v>
      </c>
      <c r="N54">
        <v>10.3649</v>
      </c>
      <c r="O54">
        <v>16.276299999999999</v>
      </c>
      <c r="Q54">
        <v>13.7241</v>
      </c>
      <c r="R54">
        <v>13.451499999999999</v>
      </c>
      <c r="S54">
        <v>14.0175</v>
      </c>
      <c r="U54">
        <v>10.2925</v>
      </c>
      <c r="V54">
        <v>7.0511999999999997</v>
      </c>
      <c r="W54">
        <v>16.474599999999999</v>
      </c>
      <c r="Y54">
        <v>14.2523</v>
      </c>
      <c r="Z54">
        <v>12.7216</v>
      </c>
      <c r="AA54">
        <v>16.235900000000001</v>
      </c>
      <c r="AC54">
        <v>13.007400000000001</v>
      </c>
      <c r="AD54">
        <v>10.9003</v>
      </c>
      <c r="AE54">
        <v>16.002700000000001</v>
      </c>
    </row>
    <row r="55" spans="1:31" ht="18" customHeight="1"/>
    <row r="56" spans="1:31" ht="18" customHeight="1">
      <c r="B56">
        <v>500</v>
      </c>
      <c r="C56">
        <v>1500</v>
      </c>
    </row>
    <row r="57" spans="1:31" ht="18" customHeight="1">
      <c r="A57" t="s">
        <v>18</v>
      </c>
      <c r="B57">
        <v>600</v>
      </c>
      <c r="C57">
        <v>1400</v>
      </c>
      <c r="E57">
        <v>13.8057</v>
      </c>
      <c r="F57">
        <v>10.4079</v>
      </c>
      <c r="G57">
        <v>15.824400000000001</v>
      </c>
      <c r="I57">
        <v>13.688700000000001</v>
      </c>
      <c r="J57">
        <v>10.456200000000001</v>
      </c>
      <c r="K57">
        <v>15.667899999999999</v>
      </c>
      <c r="M57">
        <v>11.238300000000001</v>
      </c>
      <c r="N57">
        <v>5.2160000000000002</v>
      </c>
      <c r="O57">
        <v>16.670000000000002</v>
      </c>
      <c r="Q57">
        <v>14.166600000000001</v>
      </c>
      <c r="R57">
        <v>12.9885</v>
      </c>
      <c r="S57">
        <v>14.7422</v>
      </c>
      <c r="U57">
        <v>11.238300000000001</v>
      </c>
      <c r="V57">
        <v>5.2159000000000004</v>
      </c>
      <c r="W57">
        <v>16.670000000000002</v>
      </c>
      <c r="Y57">
        <v>14.4587</v>
      </c>
      <c r="Z57">
        <v>12.2598</v>
      </c>
      <c r="AA57">
        <v>15.6358</v>
      </c>
      <c r="AC57">
        <v>12.858499999999999</v>
      </c>
      <c r="AD57">
        <v>8.6434999999999995</v>
      </c>
      <c r="AE57">
        <v>15.770200000000001</v>
      </c>
    </row>
    <row r="58" spans="1:31" ht="18" customHeight="1">
      <c r="B58">
        <v>700</v>
      </c>
      <c r="C58">
        <v>1300</v>
      </c>
    </row>
    <row r="59" spans="1:31" ht="18" customHeight="1">
      <c r="B59">
        <v>800</v>
      </c>
      <c r="C59">
        <v>1200</v>
      </c>
      <c r="E59">
        <v>11.041</v>
      </c>
      <c r="F59">
        <v>7.9374000000000002</v>
      </c>
      <c r="G59">
        <v>14.255800000000001</v>
      </c>
      <c r="I59">
        <v>10.332100000000001</v>
      </c>
      <c r="J59">
        <v>7.0266999999999999</v>
      </c>
      <c r="K59">
        <v>13.565</v>
      </c>
      <c r="M59">
        <v>8.1077999999999992</v>
      </c>
      <c r="N59">
        <v>3.1913999999999998</v>
      </c>
      <c r="O59">
        <v>16.670000000000002</v>
      </c>
      <c r="Q59">
        <v>12.650700000000001</v>
      </c>
      <c r="R59">
        <v>12.3956</v>
      </c>
      <c r="S59">
        <v>12.8049</v>
      </c>
      <c r="U59">
        <v>8.1077999999999992</v>
      </c>
      <c r="V59">
        <v>3.1913999999999998</v>
      </c>
      <c r="W59">
        <v>16.670000000000002</v>
      </c>
      <c r="Y59">
        <v>8.6489999999999991</v>
      </c>
      <c r="Z59">
        <v>3.6337999999999999</v>
      </c>
      <c r="AA59">
        <v>16.670000000000002</v>
      </c>
      <c r="AC59">
        <v>10.841900000000001</v>
      </c>
      <c r="AD59">
        <v>7.3391999999999999</v>
      </c>
      <c r="AE59">
        <v>14.6389</v>
      </c>
    </row>
    <row r="60" spans="1:31" ht="18" customHeight="1">
      <c r="B60">
        <v>900</v>
      </c>
      <c r="C60">
        <v>1100</v>
      </c>
    </row>
    <row r="61" spans="1:31" ht="17" customHeight="1">
      <c r="B61">
        <v>1000</v>
      </c>
      <c r="C61">
        <v>1000</v>
      </c>
      <c r="E61">
        <v>10.596500000000001</v>
      </c>
      <c r="F61">
        <v>9.0029000000000003</v>
      </c>
      <c r="G61">
        <v>12.9404</v>
      </c>
      <c r="I61">
        <v>10.1335</v>
      </c>
      <c r="J61">
        <v>8.2258999999999993</v>
      </c>
      <c r="K61">
        <v>13.186400000000001</v>
      </c>
      <c r="M61">
        <v>7.0254000000000003</v>
      </c>
      <c r="N61">
        <v>3.5409000000000002</v>
      </c>
      <c r="O61">
        <v>16.608499999999999</v>
      </c>
      <c r="Q61">
        <v>10.1442</v>
      </c>
      <c r="R61">
        <v>9.3859999999999992</v>
      </c>
      <c r="S61">
        <v>11.0471</v>
      </c>
      <c r="U61">
        <v>7.0254000000000003</v>
      </c>
      <c r="V61">
        <v>3.5409000000000002</v>
      </c>
      <c r="W61">
        <v>16.608499999999999</v>
      </c>
      <c r="Y61">
        <v>7.5301</v>
      </c>
      <c r="Z61">
        <v>3.9944999999999999</v>
      </c>
      <c r="AA61">
        <v>16.608799999999999</v>
      </c>
      <c r="AC61">
        <v>10.596500000000001</v>
      </c>
      <c r="AD61">
        <v>9.0029000000000003</v>
      </c>
      <c r="AE61">
        <v>12.9404</v>
      </c>
    </row>
    <row r="62" spans="1:31" ht="17" customHeight="1">
      <c r="B62">
        <v>1100</v>
      </c>
      <c r="C62">
        <v>900</v>
      </c>
    </row>
    <row r="63" spans="1:31" ht="17" customHeight="1">
      <c r="B63">
        <v>1200</v>
      </c>
      <c r="C63">
        <v>800</v>
      </c>
      <c r="E63">
        <v>9.7637</v>
      </c>
      <c r="F63">
        <v>8.5990000000000002</v>
      </c>
      <c r="G63">
        <v>11.770099999999999</v>
      </c>
      <c r="I63">
        <v>10.185499999999999</v>
      </c>
      <c r="J63">
        <v>8.8688000000000002</v>
      </c>
      <c r="K63">
        <v>12.553599999999999</v>
      </c>
      <c r="M63">
        <v>6.6614000000000004</v>
      </c>
      <c r="N63">
        <v>3.6831999999999998</v>
      </c>
      <c r="O63">
        <v>16.5991</v>
      </c>
      <c r="Q63">
        <v>9.2349999999999994</v>
      </c>
      <c r="R63">
        <v>10.291499999999999</v>
      </c>
      <c r="S63">
        <v>8.0577000000000005</v>
      </c>
      <c r="U63">
        <v>5.3787000000000003</v>
      </c>
      <c r="V63">
        <v>2.4258000000000002</v>
      </c>
      <c r="W63">
        <v>16.647300000000001</v>
      </c>
      <c r="Y63">
        <v>7.2167000000000003</v>
      </c>
      <c r="Z63">
        <v>4.3083</v>
      </c>
      <c r="AA63">
        <v>16.327999999999999</v>
      </c>
      <c r="AC63">
        <v>9.9564000000000004</v>
      </c>
      <c r="AD63">
        <v>8.7570999999999994</v>
      </c>
      <c r="AE63">
        <v>12.063499999999999</v>
      </c>
    </row>
    <row r="64" spans="1:31" ht="17" customHeight="1">
      <c r="B64">
        <v>1300</v>
      </c>
      <c r="C64">
        <v>700</v>
      </c>
    </row>
    <row r="65" spans="1:31" ht="17" customHeight="1">
      <c r="B65">
        <v>1400</v>
      </c>
      <c r="C65">
        <v>600</v>
      </c>
      <c r="E65">
        <v>8.3421000000000003</v>
      </c>
      <c r="F65">
        <v>7.5335000000000001</v>
      </c>
      <c r="G65">
        <v>10.300599999999999</v>
      </c>
      <c r="I65">
        <v>8.2672000000000008</v>
      </c>
      <c r="J65">
        <v>7.3612000000000002</v>
      </c>
      <c r="K65">
        <v>10.3963</v>
      </c>
      <c r="M65">
        <v>5.9462999999999999</v>
      </c>
      <c r="N65">
        <v>3.7921999999999998</v>
      </c>
      <c r="O65">
        <v>16.552299999999999</v>
      </c>
      <c r="Q65">
        <v>8.4049999999999994</v>
      </c>
      <c r="R65">
        <v>8.2276000000000007</v>
      </c>
      <c r="S65">
        <v>8.7651000000000003</v>
      </c>
      <c r="U65">
        <v>4.8954000000000004</v>
      </c>
      <c r="V65">
        <v>2.7513000000000001</v>
      </c>
      <c r="W65">
        <v>16.576699999999999</v>
      </c>
      <c r="Y65">
        <v>5.9489000000000001</v>
      </c>
      <c r="Z65">
        <v>3.7845</v>
      </c>
      <c r="AA65">
        <v>16.3964</v>
      </c>
      <c r="AC65">
        <v>8.3421000000000003</v>
      </c>
      <c r="AD65">
        <v>7.5335000000000001</v>
      </c>
      <c r="AE65">
        <v>10.300599999999999</v>
      </c>
    </row>
    <row r="66" spans="1:31" ht="17" customHeight="1">
      <c r="B66">
        <v>1500</v>
      </c>
      <c r="C66">
        <v>500</v>
      </c>
    </row>
    <row r="67" spans="1:31" ht="17" customHeight="1"/>
    <row r="68" spans="1:31" ht="17" customHeight="1">
      <c r="B68">
        <v>1000</v>
      </c>
      <c r="C68">
        <v>1400</v>
      </c>
      <c r="E68">
        <v>9.7516999999999996</v>
      </c>
      <c r="F68">
        <v>7.1917999999999997</v>
      </c>
      <c r="G68">
        <v>12.5357</v>
      </c>
      <c r="I68">
        <v>9.6381999999999994</v>
      </c>
      <c r="J68">
        <v>7.5225999999999997</v>
      </c>
      <c r="K68">
        <v>11.9383</v>
      </c>
      <c r="M68">
        <v>7.7504999999999997</v>
      </c>
      <c r="N68">
        <v>3.0779999999999998</v>
      </c>
      <c r="O68">
        <v>16.6173</v>
      </c>
      <c r="Q68">
        <v>5.7020999999999997</v>
      </c>
      <c r="R68">
        <v>5.1201999999999996</v>
      </c>
      <c r="S68">
        <v>6.1130000000000004</v>
      </c>
      <c r="U68">
        <v>7.7504999999999997</v>
      </c>
      <c r="V68">
        <v>3.0779999999999998</v>
      </c>
      <c r="W68">
        <v>16.6173</v>
      </c>
      <c r="Y68">
        <v>8.7218</v>
      </c>
      <c r="Z68">
        <v>4.1246999999999998</v>
      </c>
      <c r="AA68">
        <v>15.234500000000001</v>
      </c>
      <c r="AC68">
        <v>8.3758999999999997</v>
      </c>
      <c r="AD68">
        <v>5.6832000000000003</v>
      </c>
      <c r="AE68">
        <v>11.510300000000001</v>
      </c>
    </row>
    <row r="69" spans="1:31" ht="17" customHeight="1">
      <c r="B69">
        <v>1200</v>
      </c>
      <c r="C69">
        <v>1200</v>
      </c>
      <c r="E69">
        <v>9.1585999999999999</v>
      </c>
      <c r="F69">
        <v>6.3939000000000004</v>
      </c>
      <c r="G69">
        <v>13.034700000000001</v>
      </c>
      <c r="I69">
        <v>9.3792000000000009</v>
      </c>
      <c r="J69">
        <v>6.8547000000000002</v>
      </c>
      <c r="K69">
        <v>12.646000000000001</v>
      </c>
      <c r="M69">
        <v>7.8593000000000002</v>
      </c>
      <c r="N69">
        <v>3.6857000000000002</v>
      </c>
      <c r="O69">
        <v>16.659199999999998</v>
      </c>
      <c r="Q69">
        <v>7.9870999999999999</v>
      </c>
      <c r="R69">
        <v>9.2324000000000002</v>
      </c>
      <c r="S69">
        <v>7.0830000000000002</v>
      </c>
      <c r="U69">
        <v>6.6158999999999999</v>
      </c>
      <c r="V69">
        <v>2.4285999999999999</v>
      </c>
      <c r="W69">
        <v>16.6557</v>
      </c>
      <c r="Y69">
        <v>7.8593000000000002</v>
      </c>
      <c r="Z69">
        <v>3.6857000000000002</v>
      </c>
      <c r="AA69">
        <v>16.659199999999998</v>
      </c>
      <c r="AC69">
        <v>9.1585999999999999</v>
      </c>
      <c r="AD69">
        <v>6.3939000000000004</v>
      </c>
      <c r="AE69">
        <v>13.034700000000001</v>
      </c>
    </row>
    <row r="70" spans="1:31" ht="17" customHeight="1">
      <c r="B70">
        <v>1400</v>
      </c>
      <c r="C70">
        <v>1000</v>
      </c>
      <c r="E70">
        <v>8.1111000000000004</v>
      </c>
      <c r="F70">
        <v>6.3017000000000003</v>
      </c>
      <c r="G70">
        <v>11.3894</v>
      </c>
      <c r="I70">
        <v>7.8341000000000003</v>
      </c>
      <c r="J70">
        <v>6.6368999999999998</v>
      </c>
      <c r="K70">
        <v>9.9603000000000002</v>
      </c>
      <c r="M70">
        <v>5.8475000000000001</v>
      </c>
      <c r="N70">
        <v>2.4438</v>
      </c>
      <c r="O70">
        <v>16.647200000000002</v>
      </c>
      <c r="Q70">
        <v>7.8369999999999997</v>
      </c>
      <c r="R70">
        <v>7.4405999999999999</v>
      </c>
      <c r="S70">
        <v>8.3539999999999992</v>
      </c>
      <c r="U70">
        <v>4.9580000000000002</v>
      </c>
      <c r="V70">
        <v>1.5661</v>
      </c>
      <c r="W70">
        <v>16.646899999999999</v>
      </c>
      <c r="Y70">
        <v>5.8475000000000001</v>
      </c>
      <c r="Z70">
        <v>2.4438</v>
      </c>
      <c r="AA70">
        <v>16.647200000000002</v>
      </c>
      <c r="AC70">
        <v>8.0130999999999997</v>
      </c>
      <c r="AD70">
        <v>6.2755000000000001</v>
      </c>
      <c r="AE70">
        <v>10.9802</v>
      </c>
    </row>
    <row r="71" spans="1:31" ht="17" customHeight="1">
      <c r="B71">
        <v>800</v>
      </c>
      <c r="C71">
        <v>800</v>
      </c>
      <c r="E71">
        <v>12.3094</v>
      </c>
      <c r="F71">
        <v>9.8734000000000002</v>
      </c>
      <c r="G71">
        <v>16.071999999999999</v>
      </c>
      <c r="I71">
        <v>13.0778</v>
      </c>
      <c r="J71">
        <v>11.1913</v>
      </c>
      <c r="K71">
        <v>15.689299999999999</v>
      </c>
      <c r="M71">
        <v>11.946999999999999</v>
      </c>
      <c r="N71">
        <v>9.2673000000000005</v>
      </c>
      <c r="O71">
        <v>16.459399999999999</v>
      </c>
      <c r="Q71">
        <v>13.254200000000001</v>
      </c>
      <c r="R71">
        <v>13.123900000000001</v>
      </c>
      <c r="S71">
        <v>13.3924</v>
      </c>
      <c r="U71">
        <v>9.2311999999999994</v>
      </c>
      <c r="V71">
        <v>5.9566999999999997</v>
      </c>
      <c r="W71">
        <v>16.405899999999999</v>
      </c>
      <c r="Y71">
        <v>13.822100000000001</v>
      </c>
      <c r="Z71">
        <v>12.102600000000001</v>
      </c>
      <c r="AA71">
        <v>16.157</v>
      </c>
      <c r="AC71">
        <v>12.3094</v>
      </c>
      <c r="AD71">
        <v>9.8734000000000002</v>
      </c>
      <c r="AE71">
        <v>16.071999999999999</v>
      </c>
    </row>
    <row r="72" spans="1:31" ht="17" customHeight="1"/>
    <row r="73" spans="1:31" ht="17" customHeight="1">
      <c r="B73">
        <v>500</v>
      </c>
      <c r="C73">
        <v>1500</v>
      </c>
    </row>
    <row r="74" spans="1:31" ht="17" customHeight="1">
      <c r="A74" t="s">
        <v>20</v>
      </c>
      <c r="B74">
        <v>600</v>
      </c>
      <c r="C74">
        <v>1400</v>
      </c>
      <c r="E74">
        <v>12.539400000000001</v>
      </c>
      <c r="F74">
        <v>8.8703000000000003</v>
      </c>
      <c r="G74">
        <v>15.3904</v>
      </c>
      <c r="I74">
        <v>12.3028</v>
      </c>
      <c r="J74">
        <v>8.9685000000000006</v>
      </c>
      <c r="K74">
        <v>15.0459</v>
      </c>
      <c r="M74">
        <v>9.6905999999999999</v>
      </c>
      <c r="N74">
        <v>4.1634000000000002</v>
      </c>
      <c r="O74">
        <v>16.670000000000002</v>
      </c>
      <c r="Q74">
        <v>13.3565</v>
      </c>
      <c r="R74">
        <v>12.7745</v>
      </c>
      <c r="S74">
        <v>13.6785</v>
      </c>
      <c r="U74">
        <v>9.6905999999999999</v>
      </c>
      <c r="V74">
        <v>4.1634000000000002</v>
      </c>
      <c r="W74">
        <v>16.670000000000002</v>
      </c>
      <c r="Y74">
        <v>13.8156</v>
      </c>
      <c r="Z74">
        <v>11.2727</v>
      </c>
      <c r="AA74">
        <v>15.477499999999999</v>
      </c>
      <c r="AC74">
        <v>11.9922</v>
      </c>
      <c r="AD74">
        <v>7.5570000000000004</v>
      </c>
      <c r="AE74">
        <v>15.857100000000001</v>
      </c>
    </row>
    <row r="75" spans="1:31" ht="17" customHeight="1">
      <c r="B75">
        <v>700</v>
      </c>
      <c r="C75">
        <v>1300</v>
      </c>
    </row>
    <row r="76" spans="1:31" ht="17" customHeight="1">
      <c r="B76">
        <v>800</v>
      </c>
      <c r="C76">
        <v>1200</v>
      </c>
      <c r="E76">
        <v>10.723000000000001</v>
      </c>
      <c r="F76">
        <v>8.24</v>
      </c>
      <c r="G76">
        <v>13.593500000000001</v>
      </c>
      <c r="I76">
        <v>10.252700000000001</v>
      </c>
      <c r="J76">
        <v>6.4729999999999999</v>
      </c>
      <c r="K76">
        <v>14.8924</v>
      </c>
      <c r="M76">
        <v>7.2523</v>
      </c>
      <c r="N76">
        <v>2.8685999999999998</v>
      </c>
      <c r="O76">
        <v>16.670000000000002</v>
      </c>
      <c r="Q76">
        <v>12.7666</v>
      </c>
      <c r="R76">
        <v>11.918699999999999</v>
      </c>
      <c r="S76">
        <v>13.3614</v>
      </c>
      <c r="U76">
        <v>7.2523</v>
      </c>
      <c r="V76">
        <v>2.8685999999999998</v>
      </c>
      <c r="W76">
        <v>16.670000000000002</v>
      </c>
      <c r="Y76">
        <v>7.6942000000000004</v>
      </c>
      <c r="Z76">
        <v>3.2240000000000002</v>
      </c>
      <c r="AA76">
        <v>16.670000000000002</v>
      </c>
      <c r="AC76">
        <v>10.225</v>
      </c>
      <c r="AD76">
        <v>7.4820000000000002</v>
      </c>
      <c r="AE76">
        <v>13.666600000000001</v>
      </c>
    </row>
    <row r="77" spans="1:31" ht="17" customHeight="1">
      <c r="B77">
        <v>900</v>
      </c>
      <c r="C77">
        <v>1100</v>
      </c>
    </row>
    <row r="78" spans="1:31" ht="17" customHeight="1">
      <c r="B78">
        <v>1000</v>
      </c>
      <c r="C78">
        <v>1000</v>
      </c>
      <c r="E78">
        <v>10.2126</v>
      </c>
      <c r="F78">
        <v>9.4511000000000003</v>
      </c>
      <c r="G78">
        <v>11.4261</v>
      </c>
      <c r="I78">
        <v>9.5704999999999991</v>
      </c>
      <c r="J78">
        <v>7.7709000000000001</v>
      </c>
      <c r="K78">
        <v>12.5517</v>
      </c>
      <c r="M78">
        <v>6.1820000000000004</v>
      </c>
      <c r="N78">
        <v>2.8228</v>
      </c>
      <c r="O78">
        <v>16.6158</v>
      </c>
      <c r="Q78">
        <v>10.058199999999999</v>
      </c>
      <c r="R78">
        <v>9.0472000000000001</v>
      </c>
      <c r="S78">
        <v>11.486800000000001</v>
      </c>
      <c r="U78">
        <v>6.1820000000000004</v>
      </c>
      <c r="V78">
        <v>2.8228</v>
      </c>
      <c r="W78">
        <v>16.6158</v>
      </c>
      <c r="Y78">
        <v>6.6139999999999999</v>
      </c>
      <c r="Z78">
        <v>3.2124999999999999</v>
      </c>
      <c r="AA78">
        <v>16.616299999999999</v>
      </c>
      <c r="AC78">
        <v>10.2126</v>
      </c>
      <c r="AD78">
        <v>9.4511000000000003</v>
      </c>
      <c r="AE78">
        <v>11.4261</v>
      </c>
    </row>
    <row r="79" spans="1:31" ht="17" customHeight="1">
      <c r="B79">
        <v>1100</v>
      </c>
      <c r="C79">
        <v>900</v>
      </c>
    </row>
    <row r="80" spans="1:31" ht="17" customHeight="1">
      <c r="B80">
        <v>1200</v>
      </c>
      <c r="C80">
        <v>800</v>
      </c>
      <c r="E80">
        <v>8.3781999999999996</v>
      </c>
      <c r="F80">
        <v>7.1833999999999998</v>
      </c>
      <c r="G80">
        <v>11.772600000000001</v>
      </c>
      <c r="I80">
        <v>8.9130000000000003</v>
      </c>
      <c r="J80">
        <v>7.8343999999999996</v>
      </c>
      <c r="K80">
        <v>11.9956</v>
      </c>
      <c r="M80">
        <v>4.7260999999999997</v>
      </c>
      <c r="N80">
        <v>2.5779000000000001</v>
      </c>
      <c r="O80">
        <v>16.654399999999999</v>
      </c>
      <c r="Q80">
        <v>8.2888999999999999</v>
      </c>
      <c r="R80">
        <v>8.5457999999999998</v>
      </c>
      <c r="S80">
        <v>7.9457000000000004</v>
      </c>
      <c r="U80">
        <v>3.8054999999999999</v>
      </c>
      <c r="V80">
        <v>1.6823999999999999</v>
      </c>
      <c r="W80">
        <v>16.6114</v>
      </c>
      <c r="Y80">
        <v>5.1783999999999999</v>
      </c>
      <c r="Z80">
        <v>3.0259</v>
      </c>
      <c r="AA80">
        <v>16.670000000000002</v>
      </c>
      <c r="AC80">
        <v>8.6021999999999998</v>
      </c>
      <c r="AD80">
        <v>7.5148000000000001</v>
      </c>
      <c r="AE80">
        <v>11.748699999999999</v>
      </c>
    </row>
    <row r="81" spans="1:31" ht="17" customHeight="1">
      <c r="B81">
        <v>1300</v>
      </c>
      <c r="C81">
        <v>700</v>
      </c>
    </row>
    <row r="82" spans="1:31" ht="17" customHeight="1">
      <c r="B82">
        <v>1400</v>
      </c>
      <c r="C82">
        <v>600</v>
      </c>
      <c r="E82">
        <v>6.7644000000000002</v>
      </c>
      <c r="F82">
        <v>5.6077000000000004</v>
      </c>
      <c r="G82">
        <v>10.8035</v>
      </c>
      <c r="I82">
        <v>6.6143000000000001</v>
      </c>
      <c r="J82">
        <v>5.2552000000000003</v>
      </c>
      <c r="K82">
        <v>11.0944</v>
      </c>
      <c r="M82">
        <v>3.7372000000000001</v>
      </c>
      <c r="N82">
        <v>2.0768</v>
      </c>
      <c r="O82">
        <v>16.6447</v>
      </c>
      <c r="Q82">
        <v>7.1402000000000001</v>
      </c>
      <c r="R82">
        <v>6.45</v>
      </c>
      <c r="S82">
        <v>8.8138000000000005</v>
      </c>
      <c r="U82">
        <v>3.0541</v>
      </c>
      <c r="V82">
        <v>1.3988</v>
      </c>
      <c r="W82">
        <v>16.593800000000002</v>
      </c>
      <c r="Y82">
        <v>3.7021000000000002</v>
      </c>
      <c r="Z82">
        <v>2.0299999999999998</v>
      </c>
      <c r="AA82">
        <v>16.670000000000002</v>
      </c>
      <c r="AC82">
        <v>6.7644000000000002</v>
      </c>
      <c r="AD82">
        <v>5.6077000000000004</v>
      </c>
      <c r="AE82">
        <v>10.8035</v>
      </c>
    </row>
    <row r="83" spans="1:31" ht="17" customHeight="1">
      <c r="B83">
        <v>1500</v>
      </c>
      <c r="C83">
        <v>500</v>
      </c>
    </row>
    <row r="84" spans="1:31" ht="17" customHeight="1"/>
    <row r="85" spans="1:31" ht="17" customHeight="1">
      <c r="B85">
        <v>1000</v>
      </c>
      <c r="C85">
        <v>1400</v>
      </c>
      <c r="E85">
        <v>9.0957000000000008</v>
      </c>
      <c r="F85">
        <v>7.4569999999999999</v>
      </c>
      <c r="G85">
        <v>10.979100000000001</v>
      </c>
      <c r="I85">
        <v>8.8979999999999997</v>
      </c>
      <c r="J85">
        <v>8.0191999999999997</v>
      </c>
      <c r="K85">
        <v>9.9074000000000009</v>
      </c>
      <c r="M85">
        <v>6.8398000000000003</v>
      </c>
      <c r="N85">
        <v>2.3311000000000002</v>
      </c>
      <c r="O85">
        <v>16.670000000000002</v>
      </c>
      <c r="Q85">
        <v>4.9450000000000003</v>
      </c>
      <c r="R85">
        <v>3.9281000000000001</v>
      </c>
      <c r="S85">
        <v>5.7611999999999997</v>
      </c>
      <c r="U85">
        <v>6.8398000000000003</v>
      </c>
      <c r="V85">
        <v>2.3311000000000002</v>
      </c>
      <c r="W85">
        <v>16.670000000000002</v>
      </c>
      <c r="Y85">
        <v>7.5789999999999997</v>
      </c>
      <c r="Z85">
        <v>2.9428999999999998</v>
      </c>
      <c r="AA85">
        <v>16.670000000000002</v>
      </c>
      <c r="AC85">
        <v>7.8346999999999998</v>
      </c>
      <c r="AD85">
        <v>5.4454000000000002</v>
      </c>
      <c r="AE85">
        <v>11.0898</v>
      </c>
    </row>
    <row r="86" spans="1:31" ht="17" customHeight="1">
      <c r="B86">
        <v>1200</v>
      </c>
      <c r="C86">
        <v>1200</v>
      </c>
      <c r="E86">
        <v>7.2598000000000003</v>
      </c>
      <c r="F86">
        <v>5.6051000000000002</v>
      </c>
      <c r="G86">
        <v>11.283300000000001</v>
      </c>
      <c r="I86">
        <v>7.5522</v>
      </c>
      <c r="J86">
        <v>5.7352999999999996</v>
      </c>
      <c r="K86">
        <v>11.675599999999999</v>
      </c>
      <c r="M86">
        <v>5.3910999999999998</v>
      </c>
      <c r="N86">
        <v>2.5878000000000001</v>
      </c>
      <c r="O86">
        <v>16.638000000000002</v>
      </c>
      <c r="Q86">
        <v>7.5331000000000001</v>
      </c>
      <c r="R86">
        <v>7.4154999999999998</v>
      </c>
      <c r="S86">
        <v>7.6398999999999999</v>
      </c>
      <c r="U86">
        <v>4.4782000000000002</v>
      </c>
      <c r="V86">
        <v>1.6878</v>
      </c>
      <c r="W86">
        <v>16.627700000000001</v>
      </c>
      <c r="Y86">
        <v>5.3910999999999998</v>
      </c>
      <c r="Z86">
        <v>2.5878000000000001</v>
      </c>
      <c r="AA86">
        <v>16.638000000000002</v>
      </c>
      <c r="AC86">
        <v>7.2598000000000003</v>
      </c>
      <c r="AD86">
        <v>5.6051000000000002</v>
      </c>
      <c r="AE86">
        <v>11.283300000000001</v>
      </c>
    </row>
    <row r="87" spans="1:31" ht="17" customHeight="1">
      <c r="B87">
        <v>1400</v>
      </c>
      <c r="C87">
        <v>1000</v>
      </c>
      <c r="E87">
        <v>6.6683000000000003</v>
      </c>
      <c r="F87">
        <v>4.9382999999999999</v>
      </c>
      <c r="G87">
        <v>10.9511</v>
      </c>
      <c r="I87">
        <v>6.2743000000000002</v>
      </c>
      <c r="J87">
        <v>5.5130999999999997</v>
      </c>
      <c r="K87">
        <v>8.0746000000000002</v>
      </c>
      <c r="M87">
        <v>3.5878000000000001</v>
      </c>
      <c r="N87">
        <v>0.71970000000000001</v>
      </c>
      <c r="O87">
        <v>16.616700000000002</v>
      </c>
      <c r="Q87">
        <v>6.8689</v>
      </c>
      <c r="R87">
        <v>5.7655000000000003</v>
      </c>
      <c r="S87">
        <v>8.5353999999999992</v>
      </c>
      <c r="U87">
        <v>3.1833999999999998</v>
      </c>
      <c r="V87">
        <v>0.30180000000000001</v>
      </c>
      <c r="W87">
        <v>16.616099999999999</v>
      </c>
      <c r="Y87">
        <v>3.5878000000000001</v>
      </c>
      <c r="Z87">
        <v>0.71970000000000001</v>
      </c>
      <c r="AA87">
        <v>16.616700000000002</v>
      </c>
      <c r="AC87">
        <v>6.3727999999999998</v>
      </c>
      <c r="AD87">
        <v>4.5435999999999996</v>
      </c>
      <c r="AE87">
        <v>10.726900000000001</v>
      </c>
    </row>
    <row r="88" spans="1:31" s="2" customFormat="1" ht="17" customHeight="1">
      <c r="B88" s="2">
        <v>800</v>
      </c>
      <c r="C88" s="2">
        <v>800</v>
      </c>
      <c r="E88" s="2">
        <v>11.4651</v>
      </c>
      <c r="F88" s="2">
        <v>9.4987999999999992</v>
      </c>
      <c r="G88" s="2">
        <v>15.827</v>
      </c>
      <c r="I88" s="2">
        <v>12.970800000000001</v>
      </c>
      <c r="J88" s="2">
        <v>11.456099999999999</v>
      </c>
      <c r="K88" s="2">
        <v>15.7194</v>
      </c>
      <c r="M88" s="2">
        <v>11.642099999999999</v>
      </c>
      <c r="N88" s="2">
        <v>9.8176000000000005</v>
      </c>
      <c r="O88" s="2">
        <v>16.177499999999998</v>
      </c>
      <c r="Q88" s="2">
        <v>13.7265</v>
      </c>
      <c r="R88" s="2">
        <v>13.0623</v>
      </c>
      <c r="S88" s="2">
        <v>14.788600000000001</v>
      </c>
      <c r="U88" s="2">
        <v>8.6530000000000005</v>
      </c>
      <c r="V88" s="2">
        <v>6.1715999999999998</v>
      </c>
      <c r="W88" s="2">
        <v>16.526700000000002</v>
      </c>
      <c r="Y88" s="2">
        <v>13.513299999999999</v>
      </c>
      <c r="Z88" s="2">
        <v>12.253299999999999</v>
      </c>
      <c r="AA88" s="2">
        <v>15.9406</v>
      </c>
      <c r="AC88" s="2">
        <v>11.4651</v>
      </c>
      <c r="AD88" s="2">
        <v>9.4987999999999992</v>
      </c>
      <c r="AE88" s="2">
        <v>15.827</v>
      </c>
    </row>
    <row r="90" spans="1:31" ht="18" customHeight="1">
      <c r="A90" t="s">
        <v>14</v>
      </c>
      <c r="B90">
        <v>500</v>
      </c>
      <c r="C90">
        <v>1500</v>
      </c>
    </row>
    <row r="91" spans="1:31" ht="18" customHeight="1">
      <c r="A91" t="s">
        <v>21</v>
      </c>
      <c r="B91">
        <v>600</v>
      </c>
      <c r="C91">
        <v>1400</v>
      </c>
      <c r="E91">
        <v>12.5456</v>
      </c>
      <c r="F91">
        <v>8.2954000000000008</v>
      </c>
      <c r="G91">
        <v>15.417</v>
      </c>
      <c r="I91">
        <v>12.590199999999999</v>
      </c>
      <c r="J91">
        <v>8.8028999999999993</v>
      </c>
      <c r="K91">
        <v>14.9755</v>
      </c>
      <c r="M91">
        <v>11.4558</v>
      </c>
      <c r="N91">
        <v>5.1740000000000004</v>
      </c>
      <c r="O91">
        <v>16.670000000000002</v>
      </c>
      <c r="Q91">
        <v>12.2781</v>
      </c>
      <c r="R91">
        <v>12.290900000000001</v>
      </c>
      <c r="S91">
        <v>12.2727</v>
      </c>
      <c r="U91">
        <v>11.4558</v>
      </c>
      <c r="V91">
        <v>5.1740000000000004</v>
      </c>
      <c r="W91">
        <v>16.670000000000002</v>
      </c>
      <c r="Y91">
        <v>11.4558</v>
      </c>
      <c r="Z91">
        <v>5.1740000000000004</v>
      </c>
      <c r="AA91">
        <v>16.670000000000002</v>
      </c>
      <c r="AC91">
        <v>11.716200000000001</v>
      </c>
      <c r="AD91">
        <v>6.1127000000000002</v>
      </c>
      <c r="AE91">
        <v>16.044899999999998</v>
      </c>
    </row>
    <row r="92" spans="1:31" ht="18" customHeight="1">
      <c r="A92" t="s">
        <v>16</v>
      </c>
      <c r="B92">
        <v>700</v>
      </c>
      <c r="C92">
        <v>1300</v>
      </c>
    </row>
    <row r="93" spans="1:31" ht="18" customHeight="1">
      <c r="A93" t="s">
        <v>17</v>
      </c>
      <c r="B93">
        <v>800</v>
      </c>
      <c r="C93">
        <v>1200</v>
      </c>
    </row>
    <row r="94" spans="1:31" ht="18" customHeight="1">
      <c r="B94">
        <v>900</v>
      </c>
      <c r="C94">
        <v>1100</v>
      </c>
    </row>
    <row r="95" spans="1:31" ht="18" customHeight="1">
      <c r="B95">
        <v>1000</v>
      </c>
      <c r="C95">
        <v>1000</v>
      </c>
      <c r="E95">
        <v>10.638400000000001</v>
      </c>
      <c r="F95">
        <v>8.4844000000000008</v>
      </c>
      <c r="G95">
        <v>13.8796</v>
      </c>
      <c r="I95">
        <v>10.517899999999999</v>
      </c>
      <c r="J95">
        <v>8.5612999999999992</v>
      </c>
      <c r="K95">
        <v>13.2994</v>
      </c>
      <c r="M95">
        <v>8.4306000000000001</v>
      </c>
      <c r="N95">
        <v>4.5877999999999997</v>
      </c>
      <c r="O95">
        <v>16.603300000000001</v>
      </c>
      <c r="Q95">
        <v>10.9659</v>
      </c>
      <c r="R95">
        <v>9.9042999999999992</v>
      </c>
      <c r="S95">
        <v>12.240500000000001</v>
      </c>
      <c r="U95">
        <v>8.4306000000000001</v>
      </c>
      <c r="V95">
        <v>4.5877999999999997</v>
      </c>
      <c r="W95">
        <v>16.603300000000001</v>
      </c>
      <c r="Y95">
        <v>8.4306000000000001</v>
      </c>
      <c r="Z95">
        <v>4.5877999999999997</v>
      </c>
      <c r="AA95">
        <v>16.603300000000001</v>
      </c>
      <c r="AC95">
        <v>10.638400000000001</v>
      </c>
      <c r="AD95">
        <v>8.4844000000000008</v>
      </c>
      <c r="AE95">
        <v>13.8796</v>
      </c>
    </row>
    <row r="96" spans="1:31" ht="18" customHeight="1">
      <c r="B96">
        <v>1100</v>
      </c>
      <c r="C96">
        <v>900</v>
      </c>
    </row>
    <row r="97" spans="1:31" ht="18" customHeight="1">
      <c r="B97">
        <v>1200</v>
      </c>
      <c r="C97">
        <v>800</v>
      </c>
    </row>
    <row r="98" spans="1:31" ht="18" customHeight="1">
      <c r="B98">
        <v>1300</v>
      </c>
      <c r="C98">
        <v>700</v>
      </c>
    </row>
    <row r="99" spans="1:31" ht="18" customHeight="1">
      <c r="B99">
        <v>1400</v>
      </c>
      <c r="C99">
        <v>600</v>
      </c>
      <c r="E99">
        <v>8.0023</v>
      </c>
      <c r="F99">
        <v>6.4576000000000002</v>
      </c>
      <c r="G99">
        <v>12.506600000000001</v>
      </c>
      <c r="I99">
        <v>8.0023</v>
      </c>
      <c r="J99">
        <v>6.4576000000000002</v>
      </c>
      <c r="K99">
        <v>12.506600000000001</v>
      </c>
      <c r="M99">
        <v>6.6418999999999997</v>
      </c>
      <c r="N99">
        <v>4.2774000000000001</v>
      </c>
      <c r="O99">
        <v>16.471499999999999</v>
      </c>
      <c r="Q99">
        <v>7.0167000000000002</v>
      </c>
      <c r="R99">
        <v>5.4806999999999997</v>
      </c>
      <c r="S99">
        <v>11.4846</v>
      </c>
      <c r="U99">
        <v>6.6418999999999997</v>
      </c>
      <c r="V99">
        <v>4.2774000000000001</v>
      </c>
      <c r="W99">
        <v>16.471499999999999</v>
      </c>
      <c r="Y99">
        <v>6.6418999999999997</v>
      </c>
      <c r="Z99">
        <v>4.2774000000000001</v>
      </c>
      <c r="AA99">
        <v>16.471499999999999</v>
      </c>
      <c r="AC99">
        <v>8.0023</v>
      </c>
      <c r="AD99">
        <v>6.4576000000000002</v>
      </c>
      <c r="AE99">
        <v>12.506600000000001</v>
      </c>
    </row>
    <row r="100" spans="1:31" ht="18" customHeight="1">
      <c r="B100">
        <v>1500</v>
      </c>
      <c r="C100">
        <v>500</v>
      </c>
    </row>
    <row r="101" spans="1:31" ht="18" customHeight="1"/>
    <row r="102" spans="1:31" ht="18" customHeight="1">
      <c r="B102">
        <v>1200</v>
      </c>
      <c r="C102">
        <v>1200</v>
      </c>
      <c r="E102">
        <v>8.2531999999999996</v>
      </c>
      <c r="F102">
        <v>5.4336000000000002</v>
      </c>
      <c r="G102">
        <v>12.5915</v>
      </c>
      <c r="I102">
        <v>8.1867999999999999</v>
      </c>
      <c r="J102">
        <v>5.5278999999999998</v>
      </c>
      <c r="K102">
        <v>11.8787</v>
      </c>
      <c r="M102">
        <v>7.8384</v>
      </c>
      <c r="N102">
        <v>3.5709</v>
      </c>
      <c r="O102">
        <v>16.661999999999999</v>
      </c>
      <c r="Q102">
        <v>8.1511999999999993</v>
      </c>
      <c r="R102">
        <v>7.3795999999999999</v>
      </c>
      <c r="S102">
        <v>8.9521999999999995</v>
      </c>
      <c r="U102">
        <v>7.8384</v>
      </c>
      <c r="V102">
        <v>3.5709</v>
      </c>
      <c r="W102">
        <v>16.661999999999999</v>
      </c>
      <c r="Y102">
        <v>7.8384</v>
      </c>
      <c r="Z102">
        <v>3.5709</v>
      </c>
      <c r="AA102">
        <v>16.661999999999999</v>
      </c>
      <c r="AC102">
        <v>8.1450999999999993</v>
      </c>
      <c r="AD102">
        <v>5.1820000000000004</v>
      </c>
      <c r="AE102">
        <v>12.767200000000001</v>
      </c>
    </row>
    <row r="103" spans="1:31" ht="18" customHeight="1"/>
    <row r="104" spans="1:31" ht="18" customHeight="1">
      <c r="B104">
        <v>500</v>
      </c>
      <c r="C104">
        <v>1500</v>
      </c>
    </row>
    <row r="105" spans="1:31" ht="18" customHeight="1">
      <c r="A105" t="s">
        <v>18</v>
      </c>
      <c r="B105">
        <v>600</v>
      </c>
      <c r="C105">
        <v>1400</v>
      </c>
      <c r="E105">
        <v>11.821099999999999</v>
      </c>
      <c r="F105">
        <v>7.8228999999999997</v>
      </c>
      <c r="G105">
        <v>15.004799999999999</v>
      </c>
      <c r="I105">
        <v>11.8621</v>
      </c>
      <c r="J105">
        <v>8.3673000000000002</v>
      </c>
      <c r="K105">
        <v>14.4268</v>
      </c>
      <c r="M105">
        <v>10.499700000000001</v>
      </c>
      <c r="N105">
        <v>4.4317000000000002</v>
      </c>
      <c r="O105">
        <v>16.670000000000002</v>
      </c>
      <c r="Q105">
        <v>11.5299</v>
      </c>
      <c r="R105">
        <v>12.283799999999999</v>
      </c>
      <c r="S105">
        <v>11.1889</v>
      </c>
      <c r="U105">
        <v>10.499700000000001</v>
      </c>
      <c r="V105">
        <v>4.4317000000000002</v>
      </c>
      <c r="W105">
        <v>16.670000000000002</v>
      </c>
      <c r="Y105">
        <v>10.499700000000001</v>
      </c>
      <c r="Z105">
        <v>4.4317000000000002</v>
      </c>
      <c r="AA105">
        <v>16.670000000000002</v>
      </c>
      <c r="AC105">
        <v>10.806900000000001</v>
      </c>
      <c r="AD105">
        <v>5.4341999999999997</v>
      </c>
      <c r="AE105">
        <v>15.8269</v>
      </c>
    </row>
    <row r="106" spans="1:31" ht="18" customHeight="1">
      <c r="B106">
        <v>700</v>
      </c>
      <c r="C106">
        <v>1300</v>
      </c>
    </row>
    <row r="107" spans="1:31" ht="18" customHeight="1">
      <c r="B107">
        <v>800</v>
      </c>
      <c r="C107">
        <v>1200</v>
      </c>
    </row>
    <row r="108" spans="1:31" ht="18" customHeight="1">
      <c r="B108">
        <v>900</v>
      </c>
      <c r="C108">
        <v>1100</v>
      </c>
    </row>
    <row r="109" spans="1:31" ht="18" customHeight="1">
      <c r="B109">
        <v>1000</v>
      </c>
      <c r="C109">
        <v>1000</v>
      </c>
      <c r="E109">
        <v>9.7341999999999995</v>
      </c>
      <c r="F109">
        <v>7.8948999999999998</v>
      </c>
      <c r="G109">
        <v>12.965999999999999</v>
      </c>
      <c r="I109">
        <v>9.5922000000000001</v>
      </c>
      <c r="J109">
        <v>7.98</v>
      </c>
      <c r="K109">
        <v>12.212899999999999</v>
      </c>
      <c r="M109">
        <v>7.0109000000000004</v>
      </c>
      <c r="N109">
        <v>3.5354999999999999</v>
      </c>
      <c r="O109">
        <v>16.569299999999998</v>
      </c>
      <c r="Q109">
        <v>10.1652</v>
      </c>
      <c r="R109">
        <v>9.4739000000000004</v>
      </c>
      <c r="S109">
        <v>11.068199999999999</v>
      </c>
      <c r="U109">
        <v>7.0109000000000004</v>
      </c>
      <c r="V109">
        <v>3.5354999999999999</v>
      </c>
      <c r="W109">
        <v>16.569299999999998</v>
      </c>
      <c r="Y109">
        <v>7.0109000000000004</v>
      </c>
      <c r="Z109">
        <v>3.5354999999999999</v>
      </c>
      <c r="AA109">
        <v>16.569299999999998</v>
      </c>
      <c r="AC109">
        <v>9.7341999999999995</v>
      </c>
      <c r="AD109">
        <v>7.8948999999999998</v>
      </c>
      <c r="AE109">
        <v>12.965999999999999</v>
      </c>
    </row>
    <row r="110" spans="1:31" ht="18" customHeight="1">
      <c r="B110">
        <v>1100</v>
      </c>
      <c r="C110">
        <v>900</v>
      </c>
    </row>
    <row r="111" spans="1:31" ht="18" customHeight="1">
      <c r="B111">
        <v>1200</v>
      </c>
      <c r="C111">
        <v>800</v>
      </c>
    </row>
    <row r="112" spans="1:31" ht="18" customHeight="1">
      <c r="B112">
        <v>1300</v>
      </c>
      <c r="C112">
        <v>700</v>
      </c>
    </row>
    <row r="113" spans="1:31" ht="18" customHeight="1">
      <c r="B113">
        <v>1400</v>
      </c>
      <c r="C113">
        <v>600</v>
      </c>
      <c r="E113">
        <v>6.9284999999999997</v>
      </c>
      <c r="F113">
        <v>5.5688000000000004</v>
      </c>
      <c r="G113">
        <v>11.484500000000001</v>
      </c>
      <c r="I113">
        <v>6.9284999999999997</v>
      </c>
      <c r="J113">
        <v>5.5688000000000004</v>
      </c>
      <c r="K113">
        <v>11.484500000000001</v>
      </c>
      <c r="M113">
        <v>5.2488999999999999</v>
      </c>
      <c r="N113">
        <v>3.1981999999999999</v>
      </c>
      <c r="O113">
        <v>16.369299999999999</v>
      </c>
      <c r="Q113">
        <v>5.7054</v>
      </c>
      <c r="R113">
        <v>4.3948999999999998</v>
      </c>
      <c r="S113">
        <v>10.0761</v>
      </c>
      <c r="U113">
        <v>5.2488999999999999</v>
      </c>
      <c r="V113">
        <v>3.1981999999999999</v>
      </c>
      <c r="W113">
        <v>16.369299999999999</v>
      </c>
      <c r="Y113">
        <v>5.2488999999999999</v>
      </c>
      <c r="Z113">
        <v>3.1981999999999999</v>
      </c>
      <c r="AA113">
        <v>16.369299999999999</v>
      </c>
      <c r="AC113">
        <v>6.9284999999999997</v>
      </c>
      <c r="AD113">
        <v>5.5688000000000004</v>
      </c>
      <c r="AE113">
        <v>11.484500000000001</v>
      </c>
    </row>
    <row r="114" spans="1:31" ht="18" customHeight="1">
      <c r="B114">
        <v>1500</v>
      </c>
      <c r="C114">
        <v>500</v>
      </c>
    </row>
    <row r="115" spans="1:31" ht="18" customHeight="1"/>
    <row r="116" spans="1:31" ht="18" customHeight="1">
      <c r="B116">
        <v>1200</v>
      </c>
      <c r="C116">
        <v>1200</v>
      </c>
      <c r="E116">
        <v>7.1920999999999999</v>
      </c>
      <c r="F116">
        <v>4.4278000000000004</v>
      </c>
      <c r="G116">
        <v>11.7514</v>
      </c>
      <c r="I116">
        <v>7.1219000000000001</v>
      </c>
      <c r="J116">
        <v>4.4980000000000002</v>
      </c>
      <c r="K116">
        <v>10.9381</v>
      </c>
      <c r="M116">
        <v>6.5891000000000002</v>
      </c>
      <c r="N116">
        <v>2.3944000000000001</v>
      </c>
      <c r="O116">
        <v>16.659199999999998</v>
      </c>
      <c r="Q116">
        <v>7.1490999999999998</v>
      </c>
      <c r="R116">
        <v>6.5194999999999999</v>
      </c>
      <c r="S116">
        <v>7.7941000000000003</v>
      </c>
      <c r="U116">
        <v>6.5891000000000002</v>
      </c>
      <c r="V116">
        <v>2.3944000000000001</v>
      </c>
      <c r="W116">
        <v>16.659199999999998</v>
      </c>
      <c r="Y116">
        <v>6.5891000000000002</v>
      </c>
      <c r="Z116">
        <v>2.3944000000000001</v>
      </c>
      <c r="AA116">
        <v>16.659199999999998</v>
      </c>
      <c r="AC116">
        <v>7.0148999999999999</v>
      </c>
      <c r="AD116">
        <v>4.1932</v>
      </c>
      <c r="AE116">
        <v>11.747999999999999</v>
      </c>
    </row>
    <row r="117" spans="1:31" ht="18" customHeight="1"/>
    <row r="118" spans="1:31" ht="18" customHeight="1">
      <c r="B118">
        <v>500</v>
      </c>
      <c r="C118">
        <v>1500</v>
      </c>
    </row>
    <row r="119" spans="1:31" ht="18" customHeight="1">
      <c r="A119" t="s">
        <v>20</v>
      </c>
      <c r="B119">
        <v>600</v>
      </c>
      <c r="C119">
        <v>1400</v>
      </c>
      <c r="E119">
        <v>11.500400000000001</v>
      </c>
      <c r="F119">
        <v>8.4687000000000001</v>
      </c>
      <c r="G119">
        <v>14.271699999999999</v>
      </c>
      <c r="I119">
        <v>11.7052</v>
      </c>
      <c r="J119">
        <v>9.1637000000000004</v>
      </c>
      <c r="K119">
        <v>13.715299999999999</v>
      </c>
      <c r="M119">
        <v>9.0945999999999998</v>
      </c>
      <c r="N119">
        <v>3.6166999999999998</v>
      </c>
      <c r="O119">
        <v>16.670000000000002</v>
      </c>
      <c r="Q119">
        <v>11.2105</v>
      </c>
      <c r="R119">
        <v>12.6709</v>
      </c>
      <c r="S119">
        <v>10.5381</v>
      </c>
      <c r="U119">
        <v>9.0946999999999996</v>
      </c>
      <c r="V119">
        <v>3.6166999999999998</v>
      </c>
      <c r="W119">
        <v>16.670000000000002</v>
      </c>
      <c r="Y119">
        <v>9.0946999999999996</v>
      </c>
      <c r="Z119">
        <v>3.6166999999999998</v>
      </c>
      <c r="AA119">
        <v>16.670000000000002</v>
      </c>
      <c r="AC119">
        <v>9.6286000000000005</v>
      </c>
      <c r="AD119">
        <v>4.5327000000000002</v>
      </c>
      <c r="AE119">
        <v>15.8127</v>
      </c>
    </row>
    <row r="120" spans="1:31" ht="18" customHeight="1">
      <c r="B120">
        <v>700</v>
      </c>
      <c r="C120">
        <v>1300</v>
      </c>
    </row>
    <row r="121" spans="1:31" ht="18" customHeight="1">
      <c r="B121">
        <v>800</v>
      </c>
      <c r="C121">
        <v>1200</v>
      </c>
    </row>
    <row r="122" spans="1:31" ht="18" customHeight="1">
      <c r="B122">
        <v>900</v>
      </c>
      <c r="C122">
        <v>1100</v>
      </c>
    </row>
    <row r="123" spans="1:31" ht="18" customHeight="1">
      <c r="B123">
        <v>1000</v>
      </c>
      <c r="C123">
        <v>1000</v>
      </c>
      <c r="E123">
        <v>9.8268000000000004</v>
      </c>
      <c r="F123">
        <v>8.2418999999999993</v>
      </c>
      <c r="G123">
        <v>12.639200000000001</v>
      </c>
      <c r="I123">
        <v>9.9108999999999998</v>
      </c>
      <c r="J123">
        <v>8.2757000000000005</v>
      </c>
      <c r="K123">
        <v>12.807600000000001</v>
      </c>
      <c r="M123">
        <v>6.1932</v>
      </c>
      <c r="N123">
        <v>2.8494999999999999</v>
      </c>
      <c r="O123">
        <v>16.571999999999999</v>
      </c>
      <c r="Q123">
        <v>10.5631</v>
      </c>
      <c r="R123">
        <v>9.6692999999999998</v>
      </c>
      <c r="S123">
        <v>11.787800000000001</v>
      </c>
      <c r="U123">
        <v>6.1932</v>
      </c>
      <c r="V123">
        <v>2.8494999999999999</v>
      </c>
      <c r="W123">
        <v>16.571999999999999</v>
      </c>
      <c r="Y123">
        <v>6.1932</v>
      </c>
      <c r="Z123">
        <v>2.8494999999999999</v>
      </c>
      <c r="AA123">
        <v>16.571999999999999</v>
      </c>
      <c r="AC123">
        <v>9.8268000000000004</v>
      </c>
      <c r="AD123">
        <v>8.2420000000000009</v>
      </c>
      <c r="AE123">
        <v>12.639200000000001</v>
      </c>
    </row>
    <row r="124" spans="1:31" ht="18" customHeight="1">
      <c r="B124">
        <v>1100</v>
      </c>
      <c r="C124">
        <v>900</v>
      </c>
    </row>
    <row r="125" spans="1:31" ht="18" customHeight="1">
      <c r="B125">
        <v>1200</v>
      </c>
      <c r="C125">
        <v>800</v>
      </c>
    </row>
    <row r="126" spans="1:31" ht="18" customHeight="1">
      <c r="B126">
        <v>1300</v>
      </c>
      <c r="C126">
        <v>700</v>
      </c>
    </row>
    <row r="127" spans="1:31" ht="18" customHeight="1">
      <c r="B127">
        <v>1400</v>
      </c>
      <c r="C127">
        <v>600</v>
      </c>
      <c r="E127">
        <v>5.6829000000000001</v>
      </c>
      <c r="F127">
        <v>4.6863000000000001</v>
      </c>
      <c r="G127">
        <v>9.9408999999999992</v>
      </c>
      <c r="I127">
        <v>5.6829000000000001</v>
      </c>
      <c r="J127">
        <v>4.6863000000000001</v>
      </c>
      <c r="K127">
        <v>9.9408999999999992</v>
      </c>
      <c r="M127">
        <v>3.4365999999999999</v>
      </c>
      <c r="N127">
        <v>1.7885</v>
      </c>
      <c r="O127">
        <v>16.5929</v>
      </c>
      <c r="Q127">
        <v>3.3841000000000001</v>
      </c>
      <c r="R127">
        <v>2.3980000000000001</v>
      </c>
      <c r="S127">
        <v>7.4417</v>
      </c>
      <c r="U127">
        <v>3.4365999999999999</v>
      </c>
      <c r="V127">
        <v>1.7885</v>
      </c>
      <c r="W127">
        <v>16.5929</v>
      </c>
      <c r="Y127">
        <v>3.4365999999999999</v>
      </c>
      <c r="Z127">
        <v>1.7885</v>
      </c>
      <c r="AA127">
        <v>16.5929</v>
      </c>
      <c r="AC127">
        <v>5.6829000000000001</v>
      </c>
      <c r="AD127">
        <v>4.6863000000000001</v>
      </c>
      <c r="AE127">
        <v>9.9408999999999992</v>
      </c>
    </row>
    <row r="128" spans="1:31" ht="18" customHeight="1">
      <c r="B128">
        <v>1500</v>
      </c>
      <c r="C128">
        <v>500</v>
      </c>
    </row>
    <row r="129" spans="1:31" ht="18" customHeight="1"/>
    <row r="130" spans="1:31" ht="18" customHeight="1">
      <c r="B130">
        <v>1200</v>
      </c>
      <c r="C130">
        <v>1200</v>
      </c>
      <c r="E130">
        <v>5.8532000000000002</v>
      </c>
      <c r="F130">
        <v>3.9969999999999999</v>
      </c>
      <c r="G130">
        <v>9.9835999999999991</v>
      </c>
      <c r="I130">
        <v>5.8609999999999998</v>
      </c>
      <c r="J130">
        <v>3.3519000000000001</v>
      </c>
      <c r="K130">
        <v>11.084899999999999</v>
      </c>
      <c r="M130">
        <v>4.4314</v>
      </c>
      <c r="N130">
        <v>1.6335999999999999</v>
      </c>
      <c r="O130">
        <v>16.638000000000002</v>
      </c>
      <c r="Q130">
        <v>6.6444999999999999</v>
      </c>
      <c r="R130">
        <v>5.7403000000000004</v>
      </c>
      <c r="S130">
        <v>7.7325999999999997</v>
      </c>
      <c r="U130">
        <v>4.4314</v>
      </c>
      <c r="V130">
        <v>1.6335999999999999</v>
      </c>
      <c r="W130">
        <v>16.638000000000002</v>
      </c>
      <c r="Y130">
        <v>4.4314</v>
      </c>
      <c r="Z130">
        <v>1.6335999999999999</v>
      </c>
      <c r="AA130">
        <v>16.638000000000002</v>
      </c>
      <c r="AC130">
        <v>5.8669000000000002</v>
      </c>
      <c r="AD130">
        <v>3.8279000000000001</v>
      </c>
      <c r="AE130">
        <v>10.477</v>
      </c>
    </row>
    <row r="131" spans="1:31" s="2" customFormat="1"/>
    <row r="134" spans="1:31">
      <c r="A134" t="s">
        <v>14</v>
      </c>
      <c r="B134">
        <v>600</v>
      </c>
      <c r="C134">
        <v>1400</v>
      </c>
      <c r="E134">
        <v>14.1191</v>
      </c>
      <c r="F134">
        <v>10.558999999999999</v>
      </c>
      <c r="G134">
        <v>16.184000000000001</v>
      </c>
      <c r="I134">
        <v>14.1191</v>
      </c>
      <c r="J134">
        <v>10.558999999999999</v>
      </c>
      <c r="K134">
        <v>16.184000000000001</v>
      </c>
      <c r="M134">
        <v>13.9716</v>
      </c>
      <c r="N134">
        <v>9.7730999999999995</v>
      </c>
      <c r="O134">
        <v>16.497399999999999</v>
      </c>
      <c r="Q134">
        <v>13.672700000000001</v>
      </c>
      <c r="R134">
        <v>13.1134</v>
      </c>
      <c r="S134">
        <v>13.914899999999999</v>
      </c>
      <c r="U134">
        <v>13.193300000000001</v>
      </c>
      <c r="V134">
        <v>8.0728000000000009</v>
      </c>
      <c r="W134">
        <v>16.657499999999999</v>
      </c>
      <c r="Y134">
        <v>14.882300000000001</v>
      </c>
      <c r="Z134">
        <v>11.9908</v>
      </c>
      <c r="AA134">
        <v>16.3414</v>
      </c>
      <c r="AC134">
        <v>13.6938</v>
      </c>
      <c r="AD134">
        <v>10.001899999999999</v>
      </c>
      <c r="AE134">
        <v>15.904400000000001</v>
      </c>
    </row>
    <row r="135" spans="1:31">
      <c r="A135" t="s">
        <v>52</v>
      </c>
    </row>
    <row r="136" spans="1:31">
      <c r="A136" t="s">
        <v>16</v>
      </c>
      <c r="B136">
        <v>1000</v>
      </c>
      <c r="C136">
        <v>1000</v>
      </c>
      <c r="E136">
        <v>11.3748</v>
      </c>
      <c r="F136">
        <v>9.3613</v>
      </c>
      <c r="G136">
        <v>14.26676</v>
      </c>
      <c r="I136">
        <v>12.806100000000001</v>
      </c>
      <c r="J136">
        <v>11.168799999999999</v>
      </c>
      <c r="K136">
        <v>14.870699999999999</v>
      </c>
      <c r="M136">
        <v>9.8257999999999992</v>
      </c>
      <c r="N136">
        <v>7.0739999999999998</v>
      </c>
      <c r="O136">
        <v>14.0489</v>
      </c>
      <c r="Q136">
        <v>10.5296</v>
      </c>
      <c r="R136">
        <v>10.476599999999999</v>
      </c>
      <c r="S136">
        <v>10.581899999999999</v>
      </c>
      <c r="U136">
        <v>9.3544999999999998</v>
      </c>
      <c r="V136">
        <v>5.6345000000000001</v>
      </c>
      <c r="W136">
        <v>16.646899999999999</v>
      </c>
      <c r="Y136">
        <v>12.046200000000001</v>
      </c>
      <c r="Z136">
        <v>9.2824000000000009</v>
      </c>
      <c r="AA136">
        <v>16.199100000000001</v>
      </c>
      <c r="AC136">
        <v>11.3748</v>
      </c>
      <c r="AD136">
        <v>9.3613</v>
      </c>
      <c r="AE136">
        <v>14.2676</v>
      </c>
    </row>
    <row r="137" spans="1:31">
      <c r="A137" t="s">
        <v>17</v>
      </c>
    </row>
    <row r="138" spans="1:31">
      <c r="B138">
        <v>1400</v>
      </c>
      <c r="C138">
        <v>600</v>
      </c>
      <c r="E138">
        <v>10.8996</v>
      </c>
      <c r="F138">
        <v>9.9550000000000001</v>
      </c>
      <c r="G138">
        <v>13.3637</v>
      </c>
      <c r="I138">
        <v>9.6748999999999992</v>
      </c>
      <c r="J138">
        <v>9.3980999999999995</v>
      </c>
      <c r="K138">
        <v>10.2295</v>
      </c>
      <c r="M138">
        <v>10.535299999999999</v>
      </c>
      <c r="N138">
        <v>8.7219999999999995</v>
      </c>
      <c r="O138">
        <v>16.289100000000001</v>
      </c>
      <c r="Q138">
        <v>7.5015000000000001</v>
      </c>
      <c r="R138">
        <v>7.4337999999999997</v>
      </c>
      <c r="S138">
        <v>7.6214000000000004</v>
      </c>
      <c r="U138">
        <v>10.3628</v>
      </c>
      <c r="V138">
        <v>8.4300999999999995</v>
      </c>
      <c r="W138">
        <v>16.6555</v>
      </c>
      <c r="Y138">
        <v>10.714700000000001</v>
      </c>
      <c r="Z138">
        <v>8.8856999999999999</v>
      </c>
      <c r="AA138">
        <v>16.418500000000002</v>
      </c>
      <c r="AC138">
        <v>10.695399999999999</v>
      </c>
      <c r="AD138">
        <v>9.9030000000000005</v>
      </c>
      <c r="AE138">
        <v>12.7057</v>
      </c>
    </row>
    <row r="140" spans="1:31">
      <c r="B140">
        <v>1200</v>
      </c>
      <c r="C140">
        <v>1200</v>
      </c>
      <c r="E140">
        <v>10.3565</v>
      </c>
      <c r="F140">
        <v>7.7823000000000002</v>
      </c>
      <c r="G140">
        <v>13.9833</v>
      </c>
      <c r="I140">
        <v>9.4924999999999997</v>
      </c>
      <c r="J140">
        <v>7.0297999999999998</v>
      </c>
      <c r="K140">
        <v>12.685700000000001</v>
      </c>
      <c r="M140">
        <v>9.1532</v>
      </c>
      <c r="N140">
        <v>5.0709999999999997</v>
      </c>
      <c r="O140">
        <v>16.6675</v>
      </c>
      <c r="Q140">
        <v>8.8412000000000006</v>
      </c>
      <c r="R140">
        <v>10.616099999999999</v>
      </c>
      <c r="S140">
        <v>7.5757000000000003</v>
      </c>
      <c r="U140">
        <v>9.1530000000000005</v>
      </c>
      <c r="V140">
        <v>5.0702999999999996</v>
      </c>
      <c r="W140">
        <v>16.6676</v>
      </c>
      <c r="Y140">
        <v>9.8821999999999992</v>
      </c>
      <c r="Z140">
        <v>6.0423999999999998</v>
      </c>
      <c r="AA140">
        <v>16.552199999999999</v>
      </c>
      <c r="AC140">
        <v>10.149900000000001</v>
      </c>
      <c r="AD140">
        <v>8.3780999999999999</v>
      </c>
      <c r="AE140">
        <v>12.3582</v>
      </c>
    </row>
    <row r="143" spans="1:31">
      <c r="A143" t="s">
        <v>18</v>
      </c>
      <c r="B143">
        <v>600</v>
      </c>
      <c r="C143">
        <v>1400</v>
      </c>
      <c r="E143">
        <v>13.577400000000001</v>
      </c>
      <c r="F143">
        <v>9.9718</v>
      </c>
      <c r="G143">
        <v>16.013500000000001</v>
      </c>
      <c r="I143">
        <v>13.577500000000001</v>
      </c>
      <c r="J143">
        <v>9.9718</v>
      </c>
      <c r="K143">
        <v>16.013500000000001</v>
      </c>
      <c r="M143">
        <v>13.396100000000001</v>
      </c>
      <c r="N143">
        <v>9.0861999999999998</v>
      </c>
      <c r="O143">
        <v>16.436399999999999</v>
      </c>
      <c r="Q143">
        <v>12.976900000000001</v>
      </c>
      <c r="R143">
        <v>12.591900000000001</v>
      </c>
      <c r="S143">
        <v>13.158300000000001</v>
      </c>
      <c r="U143">
        <v>12.4419</v>
      </c>
      <c r="V143">
        <v>7.234</v>
      </c>
      <c r="W143">
        <v>16.652999999999999</v>
      </c>
      <c r="Y143">
        <v>14.486000000000001</v>
      </c>
      <c r="Z143">
        <v>11.2895</v>
      </c>
      <c r="AA143">
        <v>16.3185</v>
      </c>
      <c r="AC143">
        <v>13.042999999999999</v>
      </c>
      <c r="AD143">
        <v>9.3480000000000008</v>
      </c>
      <c r="AE143">
        <v>15.634600000000001</v>
      </c>
    </row>
    <row r="145" spans="1:31">
      <c r="B145">
        <v>1000</v>
      </c>
      <c r="C145">
        <v>1000</v>
      </c>
      <c r="E145">
        <v>10.718999999999999</v>
      </c>
      <c r="F145">
        <v>8.4654000000000007</v>
      </c>
      <c r="G145">
        <v>14.5169</v>
      </c>
      <c r="I145">
        <v>12.5557</v>
      </c>
      <c r="J145">
        <v>10.6067</v>
      </c>
      <c r="K145">
        <v>15.3432</v>
      </c>
      <c r="M145">
        <v>8.6102000000000007</v>
      </c>
      <c r="N145">
        <v>6.1212999999999997</v>
      </c>
      <c r="O145">
        <v>13.0687</v>
      </c>
      <c r="Q145">
        <v>9.7628000000000004</v>
      </c>
      <c r="R145">
        <v>9.7695000000000007</v>
      </c>
      <c r="S145">
        <v>9.7559000000000005</v>
      </c>
      <c r="U145">
        <v>8.0616000000000003</v>
      </c>
      <c r="V145">
        <v>4.6338999999999997</v>
      </c>
      <c r="W145">
        <v>16.635100000000001</v>
      </c>
      <c r="Y145">
        <v>11.169700000000001</v>
      </c>
      <c r="Z145">
        <v>8.4030000000000005</v>
      </c>
      <c r="AA145">
        <v>16.208300000000001</v>
      </c>
      <c r="AC145">
        <v>10.718999999999999</v>
      </c>
      <c r="AD145">
        <v>8.4654000000000007</v>
      </c>
      <c r="AE145">
        <v>14.5169</v>
      </c>
    </row>
    <row r="147" spans="1:31">
      <c r="B147">
        <v>1400</v>
      </c>
      <c r="C147">
        <v>600</v>
      </c>
      <c r="E147">
        <v>10.0679</v>
      </c>
      <c r="F147">
        <v>9.0446000000000009</v>
      </c>
      <c r="G147">
        <v>13.130699999999999</v>
      </c>
      <c r="I147">
        <v>8.6038999999999994</v>
      </c>
      <c r="J147">
        <v>8.3572000000000006</v>
      </c>
      <c r="K147">
        <v>9.1236999999999995</v>
      </c>
      <c r="M147">
        <v>9.3567999999999998</v>
      </c>
      <c r="N147">
        <v>7.6504000000000003</v>
      </c>
      <c r="O147">
        <v>16.095199999999998</v>
      </c>
      <c r="Q147">
        <v>6.0724</v>
      </c>
      <c r="R147">
        <v>5.9337</v>
      </c>
      <c r="S147">
        <v>6.3213999999999997</v>
      </c>
      <c r="U147">
        <v>9.1395</v>
      </c>
      <c r="V147">
        <v>7.3067000000000002</v>
      </c>
      <c r="W147">
        <v>16.6479</v>
      </c>
      <c r="Y147">
        <v>9.5622000000000007</v>
      </c>
      <c r="Z147">
        <v>7.8235999999999999</v>
      </c>
      <c r="AA147">
        <v>16.289899999999999</v>
      </c>
      <c r="AC147">
        <v>9.8124000000000002</v>
      </c>
      <c r="AD147">
        <v>8.9753000000000007</v>
      </c>
      <c r="AE147">
        <v>12.224500000000001</v>
      </c>
    </row>
    <row r="149" spans="1:31">
      <c r="B149">
        <v>1200</v>
      </c>
      <c r="C149">
        <v>1200</v>
      </c>
      <c r="E149">
        <v>9.3123000000000005</v>
      </c>
      <c r="F149">
        <v>6.5953999999999997</v>
      </c>
      <c r="G149">
        <v>13.402200000000001</v>
      </c>
      <c r="I149">
        <v>8.5189000000000004</v>
      </c>
      <c r="J149">
        <v>5.6158000000000001</v>
      </c>
      <c r="K149">
        <v>12.446</v>
      </c>
      <c r="M149">
        <v>7.7962999999999996</v>
      </c>
      <c r="N149">
        <v>3.5861999999999998</v>
      </c>
      <c r="O149">
        <v>16.666799999999999</v>
      </c>
      <c r="Q149">
        <v>7.7881999999999998</v>
      </c>
      <c r="R149">
        <v>9.5076000000000001</v>
      </c>
      <c r="S149">
        <v>6.6656000000000004</v>
      </c>
      <c r="U149">
        <v>7.7972000000000001</v>
      </c>
      <c r="V149">
        <v>3.5872000000000002</v>
      </c>
      <c r="W149">
        <v>16.666799999999999</v>
      </c>
      <c r="Y149">
        <v>8.6501000000000001</v>
      </c>
      <c r="Z149">
        <v>4.6490999999999998</v>
      </c>
      <c r="AA149">
        <v>16.511800000000001</v>
      </c>
      <c r="AC149">
        <v>9.0798000000000005</v>
      </c>
      <c r="AD149">
        <v>7.2685000000000004</v>
      </c>
      <c r="AE149">
        <v>11.417299999999999</v>
      </c>
    </row>
    <row r="152" spans="1:31">
      <c r="A152" t="s">
        <v>20</v>
      </c>
      <c r="B152">
        <v>600</v>
      </c>
      <c r="C152">
        <v>1400</v>
      </c>
      <c r="E152">
        <v>12.944800000000001</v>
      </c>
      <c r="F152">
        <v>9.8391000000000002</v>
      </c>
      <c r="G152">
        <v>15.580500000000001</v>
      </c>
      <c r="I152">
        <v>12.944800000000001</v>
      </c>
      <c r="J152">
        <v>9.8391000000000002</v>
      </c>
      <c r="K152">
        <v>15.580500000000001</v>
      </c>
      <c r="M152">
        <v>12.621700000000001</v>
      </c>
      <c r="N152">
        <v>8.423</v>
      </c>
      <c r="O152">
        <v>16.453700000000001</v>
      </c>
      <c r="Q152">
        <v>11.8653</v>
      </c>
      <c r="R152">
        <v>12.000500000000001</v>
      </c>
      <c r="S152">
        <v>11.7928</v>
      </c>
      <c r="U152">
        <v>11.4457</v>
      </c>
      <c r="V152">
        <v>6.5519999999999996</v>
      </c>
      <c r="W152">
        <v>16.670000000000002</v>
      </c>
      <c r="Y152">
        <v>13.678599999999999</v>
      </c>
      <c r="Z152">
        <v>9.9130000000000003</v>
      </c>
      <c r="AA152">
        <v>16.508900000000001</v>
      </c>
      <c r="AC152">
        <v>11.9605</v>
      </c>
      <c r="AD152">
        <v>8.8353999999999999</v>
      </c>
      <c r="AE152">
        <v>14.7857</v>
      </c>
    </row>
    <row r="154" spans="1:31">
      <c r="B154">
        <v>1000</v>
      </c>
      <c r="C154">
        <v>1000</v>
      </c>
      <c r="E154">
        <v>10.2301</v>
      </c>
      <c r="F154">
        <v>8.1646000000000001</v>
      </c>
      <c r="G154">
        <v>14.261200000000001</v>
      </c>
      <c r="I154">
        <v>12.239000000000001</v>
      </c>
      <c r="J154">
        <v>9.8748000000000005</v>
      </c>
      <c r="K154">
        <v>16.037199999999999</v>
      </c>
      <c r="M154">
        <v>7.9557000000000002</v>
      </c>
      <c r="N154">
        <v>5.3323999999999998</v>
      </c>
      <c r="O154">
        <v>12.3985</v>
      </c>
      <c r="Q154">
        <v>9.5775000000000006</v>
      </c>
      <c r="R154">
        <v>8.9581</v>
      </c>
      <c r="S154">
        <v>10.3528</v>
      </c>
      <c r="U154">
        <v>7.1082000000000001</v>
      </c>
      <c r="V154">
        <v>3.6663000000000001</v>
      </c>
      <c r="W154">
        <v>16.6601</v>
      </c>
      <c r="Y154">
        <v>10.8546</v>
      </c>
      <c r="Z154">
        <v>7.8449</v>
      </c>
      <c r="AA154">
        <v>16.664100000000001</v>
      </c>
      <c r="AC154">
        <v>10.2301</v>
      </c>
      <c r="AD154">
        <v>8.1646000000000001</v>
      </c>
      <c r="AE154">
        <v>14.261200000000001</v>
      </c>
    </row>
    <row r="156" spans="1:31">
      <c r="B156">
        <v>1400</v>
      </c>
      <c r="C156">
        <v>600</v>
      </c>
      <c r="E156">
        <v>9.0657999999999994</v>
      </c>
      <c r="F156">
        <v>8.3735999999999997</v>
      </c>
      <c r="G156">
        <v>12.039</v>
      </c>
      <c r="I156">
        <v>7.0122999999999998</v>
      </c>
      <c r="J156">
        <v>6.6214000000000004</v>
      </c>
      <c r="K156">
        <v>7.8640999999999996</v>
      </c>
      <c r="M156">
        <v>7.5560999999999998</v>
      </c>
      <c r="N156">
        <v>6.0754999999999999</v>
      </c>
      <c r="O156">
        <v>16.136500000000002</v>
      </c>
      <c r="Q156">
        <v>4.1845999999999997</v>
      </c>
      <c r="R156">
        <v>3.4380999999999999</v>
      </c>
      <c r="S156">
        <v>5.6398000000000001</v>
      </c>
      <c r="U156">
        <v>7.1031000000000004</v>
      </c>
      <c r="V156">
        <v>5.5526999999999997</v>
      </c>
      <c r="W156">
        <v>16.6128</v>
      </c>
      <c r="Y156">
        <v>7.4142999999999999</v>
      </c>
      <c r="Z156">
        <v>5.7739000000000003</v>
      </c>
      <c r="AA156">
        <v>16.6311</v>
      </c>
      <c r="AC156">
        <v>8.5972000000000008</v>
      </c>
      <c r="AD156">
        <v>8.2459000000000007</v>
      </c>
      <c r="AE156">
        <v>9.9784000000000006</v>
      </c>
    </row>
    <row r="158" spans="1:31">
      <c r="B158">
        <v>1200</v>
      </c>
      <c r="C158">
        <v>1200</v>
      </c>
      <c r="E158">
        <v>7.5879000000000003</v>
      </c>
      <c r="F158">
        <v>5.8623000000000003</v>
      </c>
      <c r="G158">
        <v>11.3118</v>
      </c>
      <c r="I158">
        <v>6.7275</v>
      </c>
      <c r="J158">
        <v>4.6742999999999997</v>
      </c>
      <c r="K158">
        <v>11.628</v>
      </c>
      <c r="M158">
        <v>5.3616999999999999</v>
      </c>
      <c r="N158">
        <v>2.5459000000000001</v>
      </c>
      <c r="O158">
        <v>16.660599999999999</v>
      </c>
      <c r="Q158">
        <v>7.3399000000000001</v>
      </c>
      <c r="R158">
        <v>7.8068</v>
      </c>
      <c r="S158">
        <v>6.9726999999999997</v>
      </c>
      <c r="U158">
        <v>5.3605999999999998</v>
      </c>
      <c r="V158">
        <v>2.5445000000000002</v>
      </c>
      <c r="W158">
        <v>16.660599999999999</v>
      </c>
      <c r="Y158">
        <v>6.2793999999999999</v>
      </c>
      <c r="Z158">
        <v>3.4729999999999999</v>
      </c>
      <c r="AA158">
        <v>16.660599999999999</v>
      </c>
      <c r="AC158">
        <v>7.4497999999999998</v>
      </c>
      <c r="AD158">
        <v>6.9368999999999996</v>
      </c>
      <c r="AE158">
        <v>8.2576999999999998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9281-3A57-A54C-91A4-77967218E05B}">
  <dimension ref="A2:AE158"/>
  <sheetViews>
    <sheetView workbookViewId="0">
      <pane xSplit="3" ySplit="3" topLeftCell="D42" activePane="bottomRight" state="frozen"/>
      <selection pane="topRight" activeCell="D1" sqref="D1"/>
      <selection pane="bottomLeft" activeCell="A4" sqref="A4"/>
      <selection pane="bottomRight" activeCell="AC159" sqref="AC159"/>
    </sheetView>
  </sheetViews>
  <sheetFormatPr baseColWidth="10" defaultRowHeight="20"/>
  <cols>
    <col min="4" max="4" width="3" customWidth="1"/>
    <col min="5" max="7" width="9.85546875" customWidth="1"/>
    <col min="8" max="8" width="3.140625" customWidth="1"/>
    <col min="9" max="11" width="10" customWidth="1"/>
    <col min="12" max="12" width="3.140625" customWidth="1"/>
    <col min="13" max="15" width="9.85546875" customWidth="1"/>
    <col min="16" max="16" width="3.140625" customWidth="1"/>
    <col min="17" max="19" width="10" customWidth="1"/>
    <col min="20" max="20" width="3.140625" customWidth="1"/>
    <col min="21" max="23" width="9.85546875" customWidth="1"/>
    <col min="24" max="24" width="3.5703125" customWidth="1"/>
    <col min="25" max="27" width="10" customWidth="1"/>
  </cols>
  <sheetData>
    <row r="2" spans="1:27">
      <c r="B2" t="s">
        <v>0</v>
      </c>
      <c r="C2" t="s">
        <v>1</v>
      </c>
      <c r="E2" t="s">
        <v>3</v>
      </c>
      <c r="F2" t="s">
        <v>4</v>
      </c>
      <c r="I2" t="s">
        <v>3</v>
      </c>
      <c r="J2" t="s">
        <v>8</v>
      </c>
      <c r="M2" t="s">
        <v>9</v>
      </c>
      <c r="Q2" t="s">
        <v>11</v>
      </c>
      <c r="U2" t="s">
        <v>12</v>
      </c>
      <c r="Y2" t="s">
        <v>13</v>
      </c>
    </row>
    <row r="3" spans="1:27">
      <c r="B3" t="s">
        <v>2</v>
      </c>
      <c r="C3" t="s">
        <v>2</v>
      </c>
      <c r="E3" s="1" t="s">
        <v>5</v>
      </c>
      <c r="F3" s="1" t="s">
        <v>6</v>
      </c>
      <c r="G3" s="1" t="s">
        <v>7</v>
      </c>
      <c r="I3" s="1" t="s">
        <v>5</v>
      </c>
      <c r="J3" s="1" t="s">
        <v>6</v>
      </c>
      <c r="K3" s="1" t="s">
        <v>7</v>
      </c>
      <c r="M3" s="1" t="s">
        <v>10</v>
      </c>
      <c r="N3" s="1" t="s">
        <v>6</v>
      </c>
      <c r="O3" s="1" t="s">
        <v>7</v>
      </c>
      <c r="Q3" s="1" t="s">
        <v>10</v>
      </c>
      <c r="R3" s="1" t="s">
        <v>6</v>
      </c>
      <c r="S3" s="1" t="s">
        <v>7</v>
      </c>
      <c r="U3" s="1" t="s">
        <v>10</v>
      </c>
      <c r="V3" s="1" t="s">
        <v>6</v>
      </c>
      <c r="W3" s="1" t="s">
        <v>7</v>
      </c>
      <c r="Y3" s="1" t="s">
        <v>10</v>
      </c>
      <c r="Z3" s="1" t="s">
        <v>6</v>
      </c>
      <c r="AA3" s="1" t="s">
        <v>7</v>
      </c>
    </row>
    <row r="4" spans="1:27" ht="18" customHeight="1"/>
    <row r="5" spans="1:27" ht="18" customHeight="1">
      <c r="A5" t="s">
        <v>14</v>
      </c>
      <c r="B5">
        <v>500</v>
      </c>
      <c r="C5">
        <v>1500</v>
      </c>
    </row>
    <row r="6" spans="1:27" ht="18" customHeight="1">
      <c r="A6" t="s">
        <v>15</v>
      </c>
      <c r="B6">
        <v>600</v>
      </c>
      <c r="C6">
        <v>1400</v>
      </c>
      <c r="E6">
        <v>14.3689</v>
      </c>
      <c r="F6">
        <v>11.3293</v>
      </c>
      <c r="G6">
        <v>16.039400000000001</v>
      </c>
      <c r="I6">
        <v>14.3689</v>
      </c>
      <c r="J6">
        <v>11.3293</v>
      </c>
      <c r="K6">
        <v>16.039400000000001</v>
      </c>
      <c r="M6">
        <v>13.800800000000001</v>
      </c>
      <c r="N6">
        <v>9.5498999999999992</v>
      </c>
      <c r="O6">
        <v>16.509699999999999</v>
      </c>
      <c r="Q6">
        <v>12.717700000000001</v>
      </c>
      <c r="R6">
        <v>8.7111999999999998</v>
      </c>
      <c r="S6">
        <v>15.4293</v>
      </c>
      <c r="U6">
        <v>12.454700000000001</v>
      </c>
      <c r="V6">
        <v>7.0526999999999997</v>
      </c>
      <c r="W6">
        <v>16.670000000000002</v>
      </c>
      <c r="Y6">
        <v>14.170999999999999</v>
      </c>
      <c r="Z6">
        <v>10.4405</v>
      </c>
      <c r="AA6">
        <v>16.4057</v>
      </c>
    </row>
    <row r="7" spans="1:27" ht="18" customHeight="1">
      <c r="A7" t="s">
        <v>16</v>
      </c>
      <c r="B7">
        <v>700</v>
      </c>
      <c r="C7">
        <v>1300</v>
      </c>
    </row>
    <row r="8" spans="1:27" ht="18" customHeight="1">
      <c r="A8" t="s">
        <v>17</v>
      </c>
      <c r="B8">
        <v>800</v>
      </c>
      <c r="C8">
        <v>1200</v>
      </c>
      <c r="E8">
        <v>11.9817</v>
      </c>
      <c r="F8">
        <v>10.473000000000001</v>
      </c>
      <c r="G8">
        <v>13.276899999999999</v>
      </c>
      <c r="I8">
        <v>12.8447</v>
      </c>
      <c r="J8">
        <v>10.7745</v>
      </c>
      <c r="K8">
        <v>14.7788</v>
      </c>
      <c r="M8">
        <v>13.3421</v>
      </c>
      <c r="N8">
        <v>10.429399999999999</v>
      </c>
      <c r="O8">
        <v>16.290099999999999</v>
      </c>
      <c r="Q8">
        <v>11.374000000000001</v>
      </c>
      <c r="R8">
        <v>11.1386</v>
      </c>
      <c r="S8">
        <v>11.5504</v>
      </c>
      <c r="U8">
        <v>12.7957</v>
      </c>
      <c r="V8">
        <v>9.1914999999999996</v>
      </c>
      <c r="W8">
        <v>16.670000000000002</v>
      </c>
      <c r="Y8">
        <v>13.277799999999999</v>
      </c>
      <c r="Z8">
        <v>10.1236</v>
      </c>
      <c r="AA8">
        <v>16.479500000000002</v>
      </c>
    </row>
    <row r="9" spans="1:27" ht="18" customHeight="1">
      <c r="B9">
        <v>900</v>
      </c>
      <c r="C9">
        <v>1100</v>
      </c>
    </row>
    <row r="10" spans="1:27" ht="18" customHeight="1">
      <c r="B10">
        <v>1000</v>
      </c>
      <c r="C10">
        <v>1000</v>
      </c>
      <c r="E10">
        <v>14.547700000000001</v>
      </c>
      <c r="F10">
        <v>14.3202</v>
      </c>
      <c r="G10">
        <v>14.790900000000001</v>
      </c>
      <c r="I10">
        <v>14.547700000000001</v>
      </c>
      <c r="J10">
        <v>14.3202</v>
      </c>
      <c r="K10">
        <v>14.790900000000001</v>
      </c>
      <c r="M10" s="1">
        <v>14.6877</v>
      </c>
      <c r="N10" s="1">
        <v>13.237</v>
      </c>
      <c r="O10" s="1">
        <v>16.483000000000001</v>
      </c>
      <c r="Q10" s="1">
        <v>11.938000000000001</v>
      </c>
      <c r="R10" s="1">
        <v>13.1557</v>
      </c>
      <c r="S10" s="1">
        <v>10.748799999999999</v>
      </c>
      <c r="U10" s="1">
        <v>13.0054</v>
      </c>
      <c r="V10" s="1">
        <v>10.4245</v>
      </c>
      <c r="W10" s="1">
        <v>16.670000000000002</v>
      </c>
      <c r="Y10" s="1">
        <v>14.0685</v>
      </c>
      <c r="Z10" s="1">
        <v>12.2149</v>
      </c>
      <c r="AA10" s="1">
        <v>16.514700000000001</v>
      </c>
    </row>
    <row r="11" spans="1:27" ht="18" customHeight="1">
      <c r="B11">
        <v>1100</v>
      </c>
      <c r="C11">
        <v>900</v>
      </c>
    </row>
    <row r="12" spans="1:27" ht="18" customHeight="1">
      <c r="B12">
        <v>1200</v>
      </c>
      <c r="C12">
        <v>800</v>
      </c>
      <c r="E12">
        <v>10.4724</v>
      </c>
      <c r="F12">
        <v>9.3445</v>
      </c>
      <c r="G12">
        <v>12.572100000000001</v>
      </c>
      <c r="I12">
        <v>10.4664</v>
      </c>
      <c r="J12">
        <v>9.0256000000000007</v>
      </c>
      <c r="K12">
        <v>13.2423</v>
      </c>
      <c r="M12" s="1">
        <v>12.070600000000001</v>
      </c>
      <c r="N12" s="1">
        <v>10.2636</v>
      </c>
      <c r="O12" s="1">
        <v>15.991</v>
      </c>
      <c r="Q12" s="1">
        <v>10.140499999999999</v>
      </c>
      <c r="R12" s="1">
        <v>10.170199999999999</v>
      </c>
      <c r="S12" s="1">
        <v>10.100099999999999</v>
      </c>
      <c r="U12" s="1">
        <v>11.0532</v>
      </c>
      <c r="V12" s="1">
        <v>8.7218999999999998</v>
      </c>
      <c r="W12" s="1">
        <v>16.670000000000002</v>
      </c>
      <c r="Y12" s="1">
        <v>12.0238</v>
      </c>
      <c r="Z12" s="1">
        <v>10.0593</v>
      </c>
      <c r="AA12" s="1">
        <v>16.278400000000001</v>
      </c>
    </row>
    <row r="13" spans="1:27" ht="18" customHeight="1">
      <c r="B13">
        <v>1300</v>
      </c>
      <c r="C13">
        <v>700</v>
      </c>
    </row>
    <row r="14" spans="1:27" ht="18" customHeight="1">
      <c r="B14">
        <v>1400</v>
      </c>
      <c r="C14">
        <v>600</v>
      </c>
      <c r="E14">
        <v>12.010300000000001</v>
      </c>
      <c r="F14">
        <v>11.383699999999999</v>
      </c>
      <c r="G14">
        <v>13.6479</v>
      </c>
      <c r="I14">
        <v>13.11</v>
      </c>
      <c r="J14">
        <v>12.2615</v>
      </c>
      <c r="K14">
        <v>15.383699999999999</v>
      </c>
      <c r="M14">
        <v>12.425800000000001</v>
      </c>
      <c r="N14">
        <v>11.187200000000001</v>
      </c>
      <c r="O14">
        <v>16.034600000000001</v>
      </c>
      <c r="Q14">
        <v>10.275399999999999</v>
      </c>
      <c r="R14">
        <v>11.805300000000001</v>
      </c>
      <c r="S14">
        <v>7.2</v>
      </c>
      <c r="U14">
        <v>11.799799999999999</v>
      </c>
      <c r="V14">
        <v>10.2532</v>
      </c>
      <c r="W14">
        <v>16.670000000000002</v>
      </c>
      <c r="Y14">
        <v>13.1457</v>
      </c>
      <c r="Z14">
        <v>12.087199999999999</v>
      </c>
      <c r="AA14">
        <v>16.0884</v>
      </c>
    </row>
    <row r="15" spans="1:27" ht="18" customHeight="1">
      <c r="B15">
        <v>1500</v>
      </c>
      <c r="C15">
        <v>500</v>
      </c>
    </row>
    <row r="16" spans="1:27" ht="18" customHeight="1"/>
    <row r="17" spans="1:27" ht="18" customHeight="1">
      <c r="B17">
        <v>1000</v>
      </c>
      <c r="C17">
        <v>1400</v>
      </c>
      <c r="E17">
        <v>12.361700000000001</v>
      </c>
      <c r="F17">
        <v>10.250500000000001</v>
      </c>
      <c r="G17">
        <v>14.2692</v>
      </c>
      <c r="I17">
        <v>12.202199999999999</v>
      </c>
      <c r="J17">
        <v>11.052199999999999</v>
      </c>
      <c r="K17">
        <v>13.106199999999999</v>
      </c>
      <c r="M17">
        <v>12.1303</v>
      </c>
      <c r="N17">
        <v>8.4353999999999996</v>
      </c>
      <c r="O17">
        <v>16.365400000000001</v>
      </c>
      <c r="Q17">
        <v>11.221</v>
      </c>
      <c r="R17">
        <v>11.8672</v>
      </c>
      <c r="S17">
        <v>10.7622</v>
      </c>
      <c r="U17">
        <v>11.2742</v>
      </c>
      <c r="V17">
        <v>6.9417999999999997</v>
      </c>
      <c r="W17">
        <v>16.670000000000002</v>
      </c>
      <c r="Y17">
        <v>13.4305</v>
      </c>
      <c r="Z17">
        <v>10.656499999999999</v>
      </c>
      <c r="AA17">
        <v>16.139399999999998</v>
      </c>
    </row>
    <row r="18" spans="1:27" ht="18" customHeight="1">
      <c r="B18">
        <v>1200</v>
      </c>
      <c r="C18">
        <v>1200</v>
      </c>
      <c r="E18">
        <v>9.4689999999999994</v>
      </c>
      <c r="F18">
        <v>7.8353000000000002</v>
      </c>
      <c r="G18">
        <v>11.5527</v>
      </c>
      <c r="I18">
        <v>9.7612000000000005</v>
      </c>
      <c r="J18">
        <v>7.4484000000000004</v>
      </c>
      <c r="K18">
        <v>13.0474</v>
      </c>
      <c r="M18">
        <v>10.673299999999999</v>
      </c>
      <c r="N18">
        <v>7.7449000000000003</v>
      </c>
      <c r="O18">
        <v>15.537699999999999</v>
      </c>
      <c r="Q18">
        <v>9.5332000000000008</v>
      </c>
      <c r="R18">
        <v>10.2028</v>
      </c>
      <c r="S18">
        <v>8.9047000000000001</v>
      </c>
      <c r="U18">
        <v>9.7129999999999992</v>
      </c>
      <c r="V18">
        <v>5.95</v>
      </c>
      <c r="W18">
        <v>16.664300000000001</v>
      </c>
      <c r="Y18">
        <v>11.4473</v>
      </c>
      <c r="Z18">
        <v>8.4600000000000009</v>
      </c>
      <c r="AA18">
        <v>16.238700000000001</v>
      </c>
    </row>
    <row r="19" spans="1:27" ht="18" customHeight="1">
      <c r="B19">
        <v>1400</v>
      </c>
      <c r="C19">
        <v>1000</v>
      </c>
      <c r="E19">
        <v>9.9187999999999992</v>
      </c>
      <c r="F19">
        <v>8.8148</v>
      </c>
      <c r="G19">
        <v>11.803800000000001</v>
      </c>
      <c r="I19">
        <v>10.0931</v>
      </c>
      <c r="J19">
        <v>9.1852</v>
      </c>
      <c r="K19">
        <v>11.633800000000001</v>
      </c>
      <c r="M19">
        <v>11.815899999999999</v>
      </c>
      <c r="N19">
        <v>9.7331000000000003</v>
      </c>
      <c r="O19">
        <v>15.803000000000001</v>
      </c>
      <c r="Q19">
        <v>10.117000000000001</v>
      </c>
      <c r="R19">
        <v>9.3229000000000006</v>
      </c>
      <c r="S19">
        <v>11.296099999999999</v>
      </c>
      <c r="U19">
        <v>11.257099999999999</v>
      </c>
      <c r="V19">
        <v>8.7111000000000001</v>
      </c>
      <c r="W19">
        <v>16.670000000000002</v>
      </c>
      <c r="Y19">
        <v>12.622</v>
      </c>
      <c r="Z19">
        <v>10.675800000000001</v>
      </c>
      <c r="AA19">
        <v>16.1721</v>
      </c>
    </row>
    <row r="20" spans="1:27" ht="18" customHeight="1">
      <c r="B20">
        <v>800</v>
      </c>
      <c r="C20">
        <v>800</v>
      </c>
      <c r="E20">
        <v>15.838200000000001</v>
      </c>
      <c r="F20">
        <v>15.3444</v>
      </c>
      <c r="G20">
        <v>16.425599999999999</v>
      </c>
      <c r="I20">
        <v>15.3773</v>
      </c>
      <c r="J20">
        <v>15.3698</v>
      </c>
      <c r="K20">
        <v>15.3857</v>
      </c>
      <c r="M20">
        <v>15.1975</v>
      </c>
      <c r="N20">
        <v>14.1915</v>
      </c>
      <c r="O20">
        <v>16.458300000000001</v>
      </c>
      <c r="Q20">
        <v>15.109</v>
      </c>
      <c r="R20">
        <v>14.4079</v>
      </c>
      <c r="S20">
        <v>15.9605</v>
      </c>
      <c r="U20">
        <v>14.8666</v>
      </c>
      <c r="V20">
        <v>13.4778</v>
      </c>
      <c r="W20">
        <v>16.670000000000002</v>
      </c>
      <c r="Y20">
        <v>15.8987</v>
      </c>
      <c r="Z20">
        <v>15.3406</v>
      </c>
      <c r="AA20">
        <v>16.5625</v>
      </c>
    </row>
    <row r="21" spans="1:27" ht="18" customHeight="1"/>
    <row r="22" spans="1:27" ht="18" customHeight="1">
      <c r="B22">
        <v>500</v>
      </c>
      <c r="C22">
        <v>1500</v>
      </c>
    </row>
    <row r="23" spans="1:27" ht="18" customHeight="1">
      <c r="A23" t="s">
        <v>18</v>
      </c>
      <c r="B23">
        <v>600</v>
      </c>
      <c r="C23">
        <v>1400</v>
      </c>
      <c r="E23">
        <v>13.9846</v>
      </c>
      <c r="F23">
        <v>10.4887</v>
      </c>
      <c r="G23">
        <v>15.954000000000001</v>
      </c>
      <c r="I23">
        <v>13.9846</v>
      </c>
      <c r="J23">
        <v>10.4887</v>
      </c>
      <c r="K23">
        <v>15.954000000000001</v>
      </c>
      <c r="M23">
        <v>13.2867</v>
      </c>
      <c r="N23">
        <v>8.4559999999999995</v>
      </c>
      <c r="O23">
        <v>16.552299999999999</v>
      </c>
      <c r="Q23">
        <v>11.9642</v>
      </c>
      <c r="R23">
        <v>7.5389999999999997</v>
      </c>
      <c r="S23">
        <v>15.1754</v>
      </c>
      <c r="U23">
        <v>11.754300000000001</v>
      </c>
      <c r="V23">
        <v>6.0350999999999999</v>
      </c>
      <c r="W23">
        <v>16.670000000000002</v>
      </c>
      <c r="Y23">
        <v>13.7401</v>
      </c>
      <c r="Z23">
        <v>9.4665999999999997</v>
      </c>
      <c r="AA23">
        <v>16.4191</v>
      </c>
    </row>
    <row r="24" spans="1:27" ht="18" customHeight="1">
      <c r="B24">
        <v>700</v>
      </c>
      <c r="C24">
        <v>1300</v>
      </c>
    </row>
    <row r="25" spans="1:27" ht="18" customHeight="1">
      <c r="B25">
        <v>800</v>
      </c>
      <c r="C25">
        <v>1200</v>
      </c>
      <c r="E25">
        <v>10.8879</v>
      </c>
      <c r="F25">
        <v>9.0617999999999999</v>
      </c>
      <c r="G25">
        <v>12.449</v>
      </c>
      <c r="I25">
        <v>11.921200000000001</v>
      </c>
      <c r="J25">
        <v>9.4499999999999993</v>
      </c>
      <c r="K25">
        <v>14.270300000000001</v>
      </c>
      <c r="M25">
        <v>12.5366</v>
      </c>
      <c r="N25">
        <v>9.0734999999999992</v>
      </c>
      <c r="O25">
        <v>16.180299999999999</v>
      </c>
      <c r="Q25">
        <v>10.206899999999999</v>
      </c>
      <c r="R25">
        <v>9.8556000000000008</v>
      </c>
      <c r="S25">
        <v>10.461</v>
      </c>
      <c r="U25">
        <v>11.864699999999999</v>
      </c>
      <c r="V25">
        <v>7.6284000000000001</v>
      </c>
      <c r="W25">
        <v>16.670000000000002</v>
      </c>
      <c r="Y25">
        <v>12.448</v>
      </c>
      <c r="Z25">
        <v>8.6836000000000002</v>
      </c>
      <c r="AA25">
        <v>16.424199999999999</v>
      </c>
    </row>
    <row r="26" spans="1:27" ht="18" customHeight="1">
      <c r="B26">
        <v>900</v>
      </c>
      <c r="C26">
        <v>1100</v>
      </c>
    </row>
    <row r="27" spans="1:27" ht="18" customHeight="1">
      <c r="B27">
        <v>1000</v>
      </c>
      <c r="C27">
        <v>1000</v>
      </c>
      <c r="E27">
        <v>14.0046</v>
      </c>
      <c r="F27">
        <v>13.7522</v>
      </c>
      <c r="G27">
        <v>14.273099999999999</v>
      </c>
      <c r="I27">
        <v>14.0046</v>
      </c>
      <c r="J27">
        <v>13.7522</v>
      </c>
      <c r="K27">
        <v>14.273099999999999</v>
      </c>
      <c r="M27" s="1">
        <v>14.1952</v>
      </c>
      <c r="N27" s="1">
        <v>12.4521</v>
      </c>
      <c r="O27" s="1">
        <v>16.430499999999999</v>
      </c>
      <c r="Q27" s="1">
        <v>10.8428</v>
      </c>
      <c r="R27" s="1">
        <v>12.3405</v>
      </c>
      <c r="S27" s="1">
        <v>9.4172999999999991</v>
      </c>
      <c r="U27" s="1">
        <v>12.136900000000001</v>
      </c>
      <c r="V27" s="1">
        <v>9.1572999999999993</v>
      </c>
      <c r="W27" s="1">
        <v>16.670000000000002</v>
      </c>
      <c r="Y27" s="1">
        <v>13.4345</v>
      </c>
      <c r="Z27" s="1">
        <v>11.249499999999999</v>
      </c>
      <c r="AA27" s="1">
        <v>16.471399999999999</v>
      </c>
    </row>
    <row r="28" spans="1:27" ht="18" customHeight="1">
      <c r="B28">
        <v>1100</v>
      </c>
      <c r="C28">
        <v>900</v>
      </c>
    </row>
    <row r="29" spans="1:27" ht="18" customHeight="1">
      <c r="B29">
        <v>1200</v>
      </c>
      <c r="C29">
        <v>800</v>
      </c>
      <c r="E29">
        <v>9.3389000000000006</v>
      </c>
      <c r="F29">
        <v>8.2157999999999998</v>
      </c>
      <c r="G29">
        <v>11.6959</v>
      </c>
      <c r="I29">
        <v>9.3179999999999996</v>
      </c>
      <c r="J29">
        <v>7.8324999999999996</v>
      </c>
      <c r="K29">
        <v>12.585000000000001</v>
      </c>
      <c r="M29" s="1">
        <v>11.1402</v>
      </c>
      <c r="N29" s="1">
        <v>9.3490000000000002</v>
      </c>
      <c r="O29" s="1">
        <v>15.854799999999999</v>
      </c>
      <c r="Q29" s="1">
        <v>9.0787999999999993</v>
      </c>
      <c r="R29" s="1">
        <v>9.0806000000000004</v>
      </c>
      <c r="S29" s="1">
        <v>9.0762999999999998</v>
      </c>
      <c r="U29" s="1">
        <v>9.9936000000000007</v>
      </c>
      <c r="V29" s="1">
        <v>7.7530999999999999</v>
      </c>
      <c r="W29" s="1">
        <v>16.670000000000002</v>
      </c>
      <c r="Y29" s="1">
        <v>11.0754</v>
      </c>
      <c r="Z29" s="1">
        <v>9.0875000000000004</v>
      </c>
      <c r="AA29" s="1">
        <v>16.286799999999999</v>
      </c>
    </row>
    <row r="30" spans="1:27" ht="18" customHeight="1">
      <c r="B30">
        <v>1300</v>
      </c>
      <c r="C30">
        <v>700</v>
      </c>
    </row>
    <row r="31" spans="1:27" ht="18" customHeight="1">
      <c r="B31">
        <v>1400</v>
      </c>
      <c r="C31">
        <v>600</v>
      </c>
      <c r="E31">
        <v>10.980600000000001</v>
      </c>
      <c r="F31">
        <v>10.410299999999999</v>
      </c>
      <c r="G31">
        <v>12.6289</v>
      </c>
      <c r="I31">
        <v>12.305099999999999</v>
      </c>
      <c r="J31">
        <v>11.436999999999999</v>
      </c>
      <c r="K31">
        <v>14.914</v>
      </c>
      <c r="M31">
        <v>11.4978</v>
      </c>
      <c r="N31">
        <v>10.3201</v>
      </c>
      <c r="O31">
        <v>15.794600000000001</v>
      </c>
      <c r="Q31">
        <v>9.0085999999999995</v>
      </c>
      <c r="R31">
        <v>10.9526</v>
      </c>
      <c r="S31">
        <v>5.0033000000000003</v>
      </c>
      <c r="U31">
        <v>10.7652</v>
      </c>
      <c r="V31">
        <v>9.1618999999999993</v>
      </c>
      <c r="W31">
        <v>16.670000000000002</v>
      </c>
      <c r="Y31">
        <v>12.362299999999999</v>
      </c>
      <c r="Z31">
        <v>11.248799999999999</v>
      </c>
      <c r="AA31">
        <v>15.870900000000001</v>
      </c>
    </row>
    <row r="32" spans="1:27" ht="18" customHeight="1">
      <c r="B32">
        <v>1500</v>
      </c>
      <c r="C32">
        <v>500</v>
      </c>
    </row>
    <row r="33" spans="1:31" ht="18" customHeight="1"/>
    <row r="34" spans="1:31" ht="18" customHeight="1">
      <c r="B34">
        <v>1000</v>
      </c>
      <c r="C34">
        <v>1400</v>
      </c>
      <c r="E34">
        <v>11.5177</v>
      </c>
      <c r="F34">
        <v>8.9937000000000005</v>
      </c>
      <c r="G34">
        <v>13.807700000000001</v>
      </c>
      <c r="I34">
        <v>11.3429</v>
      </c>
      <c r="J34">
        <v>9.8970000000000002</v>
      </c>
      <c r="K34">
        <v>12.4495</v>
      </c>
      <c r="M34">
        <v>11.347200000000001</v>
      </c>
      <c r="N34">
        <v>7.2366999999999999</v>
      </c>
      <c r="O34">
        <v>16.295400000000001</v>
      </c>
      <c r="Q34">
        <v>10.1945</v>
      </c>
      <c r="R34">
        <v>10.8826</v>
      </c>
      <c r="S34">
        <v>9.7286000000000001</v>
      </c>
      <c r="U34">
        <v>10.360099999999999</v>
      </c>
      <c r="V34">
        <v>5.6108000000000002</v>
      </c>
      <c r="W34">
        <v>16.670000000000002</v>
      </c>
      <c r="Y34">
        <v>12.7782</v>
      </c>
      <c r="Z34">
        <v>9.4925999999999995</v>
      </c>
      <c r="AA34">
        <v>16.060300000000002</v>
      </c>
    </row>
    <row r="35" spans="1:31" ht="18" customHeight="1">
      <c r="B35">
        <v>1200</v>
      </c>
      <c r="C35">
        <v>1200</v>
      </c>
      <c r="E35">
        <v>8.3585999999999991</v>
      </c>
      <c r="F35">
        <v>6.4484000000000004</v>
      </c>
      <c r="G35">
        <v>10.8187</v>
      </c>
      <c r="I35">
        <v>8.6830999999999996</v>
      </c>
      <c r="J35">
        <v>6.0235000000000003</v>
      </c>
      <c r="K35">
        <v>12.5915</v>
      </c>
      <c r="M35">
        <v>9.6254000000000008</v>
      </c>
      <c r="N35">
        <v>6.4406999999999996</v>
      </c>
      <c r="O35">
        <v>15.324299999999999</v>
      </c>
      <c r="Q35">
        <v>8.5543999999999993</v>
      </c>
      <c r="R35">
        <v>9.1217000000000006</v>
      </c>
      <c r="S35">
        <v>8.0493000000000006</v>
      </c>
      <c r="U35">
        <v>8.5911000000000008</v>
      </c>
      <c r="V35">
        <v>4.5983999999999998</v>
      </c>
      <c r="W35">
        <v>16.662600000000001</v>
      </c>
      <c r="Y35">
        <v>10.555400000000001</v>
      </c>
      <c r="Z35">
        <v>7.2443</v>
      </c>
      <c r="AA35">
        <v>16.232299999999999</v>
      </c>
    </row>
    <row r="36" spans="1:31" ht="18" customHeight="1">
      <c r="B36">
        <v>1400</v>
      </c>
      <c r="C36">
        <v>1000</v>
      </c>
      <c r="E36">
        <v>8.7491000000000003</v>
      </c>
      <c r="F36">
        <v>7.5911</v>
      </c>
      <c r="G36">
        <v>10.7898</v>
      </c>
      <c r="I36">
        <v>8.9314</v>
      </c>
      <c r="J36">
        <v>7.9999000000000002</v>
      </c>
      <c r="K36">
        <v>10.5623</v>
      </c>
      <c r="M36">
        <v>10.914199999999999</v>
      </c>
      <c r="N36">
        <v>8.5983999999999998</v>
      </c>
      <c r="O36">
        <v>15.6373</v>
      </c>
      <c r="Q36">
        <v>8.9893999999999998</v>
      </c>
      <c r="R36">
        <v>8.1206999999999994</v>
      </c>
      <c r="S36">
        <v>10.2835</v>
      </c>
      <c r="U36">
        <v>10.359299999999999</v>
      </c>
      <c r="V36">
        <v>7.6281999999999996</v>
      </c>
      <c r="W36">
        <v>16.670000000000002</v>
      </c>
      <c r="Y36">
        <v>11.873900000000001</v>
      </c>
      <c r="Z36">
        <v>9.6706000000000003</v>
      </c>
      <c r="AA36">
        <v>16.1143</v>
      </c>
    </row>
    <row r="37" spans="1:31" s="2" customFormat="1" ht="18" customHeight="1">
      <c r="B37" s="2">
        <v>800</v>
      </c>
      <c r="C37" s="2">
        <v>800</v>
      </c>
      <c r="E37" s="2">
        <v>15.6066</v>
      </c>
      <c r="F37" s="2">
        <v>14.8705</v>
      </c>
      <c r="G37" s="2">
        <v>16.377800000000001</v>
      </c>
      <c r="I37" s="2">
        <v>15.030099999999999</v>
      </c>
      <c r="J37" s="2">
        <v>14.9041</v>
      </c>
      <c r="K37" s="2">
        <v>15.1523</v>
      </c>
      <c r="M37" s="2">
        <v>14.803000000000001</v>
      </c>
      <c r="N37" s="2">
        <v>13.3674</v>
      </c>
      <c r="O37" s="2">
        <v>16.417000000000002</v>
      </c>
      <c r="Q37" s="2">
        <v>14.6898</v>
      </c>
      <c r="R37" s="2">
        <v>13.639699999999999</v>
      </c>
      <c r="S37" s="2">
        <v>15.8245</v>
      </c>
      <c r="U37" s="2">
        <v>14.3904</v>
      </c>
      <c r="V37" s="2">
        <v>12.453799999999999</v>
      </c>
      <c r="W37" s="2">
        <v>16.670000000000002</v>
      </c>
      <c r="Y37" s="2">
        <v>15.6839</v>
      </c>
      <c r="Z37" s="2">
        <v>14.865399999999999</v>
      </c>
      <c r="AA37" s="2">
        <v>16.541499999999999</v>
      </c>
    </row>
    <row r="38" spans="1:31" ht="18" customHeight="1"/>
    <row r="39" spans="1:31" ht="18" customHeight="1">
      <c r="A39" t="s">
        <v>14</v>
      </c>
      <c r="B39">
        <v>500</v>
      </c>
      <c r="C39">
        <v>1500</v>
      </c>
    </row>
    <row r="40" spans="1:31" ht="18" customHeight="1">
      <c r="A40" t="s">
        <v>19</v>
      </c>
      <c r="B40">
        <v>600</v>
      </c>
      <c r="C40">
        <v>1400</v>
      </c>
      <c r="E40">
        <v>14.2766</v>
      </c>
      <c r="F40">
        <v>11.1999</v>
      </c>
      <c r="G40">
        <v>15.926399999999999</v>
      </c>
      <c r="I40">
        <v>14.285600000000001</v>
      </c>
      <c r="J40">
        <v>12.166600000000001</v>
      </c>
      <c r="K40">
        <v>15.317399999999999</v>
      </c>
      <c r="M40">
        <v>12.3856</v>
      </c>
      <c r="N40">
        <v>6.8155999999999999</v>
      </c>
      <c r="O40">
        <v>16.5853</v>
      </c>
      <c r="Q40">
        <v>13.6767</v>
      </c>
      <c r="R40">
        <v>14.33</v>
      </c>
      <c r="S40">
        <v>13.402799999999999</v>
      </c>
      <c r="U40">
        <v>11.1652</v>
      </c>
      <c r="V40">
        <v>5.0678999999999998</v>
      </c>
      <c r="W40">
        <v>16.670000000000002</v>
      </c>
      <c r="Y40">
        <v>14.4085</v>
      </c>
      <c r="Z40">
        <v>11.1159</v>
      </c>
      <c r="AA40">
        <v>16.186299999999999</v>
      </c>
      <c r="AC40">
        <v>14.299099999999999</v>
      </c>
      <c r="AD40">
        <v>11.141</v>
      </c>
      <c r="AE40">
        <v>15.992599999999999</v>
      </c>
    </row>
    <row r="41" spans="1:31" ht="18" customHeight="1">
      <c r="A41" t="s">
        <v>16</v>
      </c>
      <c r="B41">
        <v>700</v>
      </c>
      <c r="C41">
        <v>1300</v>
      </c>
    </row>
    <row r="42" spans="1:31" ht="18" customHeight="1">
      <c r="A42" t="s">
        <v>17</v>
      </c>
      <c r="B42">
        <v>800</v>
      </c>
      <c r="C42">
        <v>1200</v>
      </c>
      <c r="E42">
        <v>11.2461</v>
      </c>
      <c r="F42">
        <v>8.6518999999999995</v>
      </c>
      <c r="G42">
        <v>13.7941</v>
      </c>
      <c r="I42">
        <v>11.3306</v>
      </c>
      <c r="J42">
        <v>8.9628999999999994</v>
      </c>
      <c r="K42">
        <v>13.6036</v>
      </c>
      <c r="M42">
        <v>11.020300000000001</v>
      </c>
      <c r="N42">
        <v>6.6619999999999999</v>
      </c>
      <c r="O42">
        <v>16.478000000000002</v>
      </c>
      <c r="Q42">
        <v>11.5825</v>
      </c>
      <c r="R42">
        <v>11.2767</v>
      </c>
      <c r="S42">
        <v>11.8063</v>
      </c>
      <c r="U42">
        <v>8.9063999999999997</v>
      </c>
      <c r="V42">
        <v>4.1001000000000003</v>
      </c>
      <c r="W42">
        <v>16.670000000000002</v>
      </c>
      <c r="Y42">
        <v>11.347300000000001</v>
      </c>
      <c r="Z42">
        <v>7.4977999999999998</v>
      </c>
      <c r="AA42">
        <v>15.5839</v>
      </c>
      <c r="AC42">
        <v>11.427099999999999</v>
      </c>
      <c r="AD42">
        <v>8.6513000000000009</v>
      </c>
      <c r="AE42">
        <v>14.207700000000001</v>
      </c>
    </row>
    <row r="43" spans="1:31" ht="18" customHeight="1">
      <c r="B43">
        <v>900</v>
      </c>
      <c r="C43">
        <v>1100</v>
      </c>
    </row>
    <row r="44" spans="1:31" ht="18" customHeight="1">
      <c r="B44">
        <v>1000</v>
      </c>
      <c r="C44">
        <v>1000</v>
      </c>
      <c r="E44">
        <v>11.854699999999999</v>
      </c>
      <c r="F44">
        <v>9.7995999999999999</v>
      </c>
      <c r="G44">
        <v>14.6424</v>
      </c>
      <c r="I44">
        <v>11.875999999999999</v>
      </c>
      <c r="J44">
        <v>9.9495000000000005</v>
      </c>
      <c r="K44">
        <v>14.4603</v>
      </c>
      <c r="M44">
        <v>11.4369</v>
      </c>
      <c r="N44">
        <v>8.1914999999999996</v>
      </c>
      <c r="O44">
        <v>16.379899999999999</v>
      </c>
      <c r="Q44">
        <v>11.716200000000001</v>
      </c>
      <c r="R44">
        <v>10.92</v>
      </c>
      <c r="S44">
        <v>12.638199999999999</v>
      </c>
      <c r="U44">
        <v>7.6891999999999996</v>
      </c>
      <c r="V44">
        <v>3.7185999999999999</v>
      </c>
      <c r="W44">
        <v>16.6326</v>
      </c>
      <c r="Y44">
        <v>11.4369</v>
      </c>
      <c r="Z44">
        <v>8.1914999999999996</v>
      </c>
      <c r="AA44">
        <v>16.379899999999999</v>
      </c>
      <c r="AC44">
        <v>11.854699999999999</v>
      </c>
      <c r="AD44">
        <v>9.7995999999999999</v>
      </c>
      <c r="AE44">
        <v>14.6424</v>
      </c>
    </row>
    <row r="45" spans="1:31" ht="18" customHeight="1">
      <c r="B45">
        <v>1100</v>
      </c>
      <c r="C45">
        <v>900</v>
      </c>
    </row>
    <row r="46" spans="1:31" ht="18" customHeight="1">
      <c r="B46">
        <v>1200</v>
      </c>
      <c r="C46">
        <v>800</v>
      </c>
      <c r="E46">
        <v>9.0776000000000003</v>
      </c>
      <c r="F46">
        <v>6.9923999999999999</v>
      </c>
      <c r="G46">
        <v>13.5534</v>
      </c>
      <c r="I46">
        <v>9.0776000000000003</v>
      </c>
      <c r="J46">
        <v>6.9923999999999999</v>
      </c>
      <c r="K46">
        <v>13.5534</v>
      </c>
      <c r="M46">
        <v>7.8300999999999998</v>
      </c>
      <c r="N46">
        <v>4.7938000000000001</v>
      </c>
      <c r="O46">
        <v>16.433399999999999</v>
      </c>
      <c r="Q46">
        <v>9.5226000000000006</v>
      </c>
      <c r="R46">
        <v>8.4402000000000008</v>
      </c>
      <c r="S46">
        <v>11.446999999999999</v>
      </c>
      <c r="U46">
        <v>7.3978999999999999</v>
      </c>
      <c r="V46">
        <v>4.3085000000000004</v>
      </c>
      <c r="W46">
        <v>16.6646</v>
      </c>
      <c r="Y46">
        <v>8.2033000000000005</v>
      </c>
      <c r="Z46">
        <v>5.3006000000000002</v>
      </c>
      <c r="AA46">
        <v>15.8028</v>
      </c>
      <c r="AC46">
        <v>9.8102</v>
      </c>
      <c r="AD46">
        <v>7.9321000000000002</v>
      </c>
      <c r="AE46">
        <v>13.8614</v>
      </c>
    </row>
    <row r="47" spans="1:31" ht="18" customHeight="1">
      <c r="B47">
        <v>1300</v>
      </c>
      <c r="C47">
        <v>700</v>
      </c>
    </row>
    <row r="48" spans="1:31" ht="18" customHeight="1">
      <c r="B48">
        <v>1400</v>
      </c>
      <c r="C48">
        <v>600</v>
      </c>
      <c r="E48">
        <v>9.2171000000000003</v>
      </c>
      <c r="F48">
        <v>8.4711999999999996</v>
      </c>
      <c r="G48">
        <v>10.874700000000001</v>
      </c>
      <c r="I48">
        <v>9.2171000000000003</v>
      </c>
      <c r="J48">
        <v>8.4711999999999996</v>
      </c>
      <c r="K48">
        <v>10.874700000000001</v>
      </c>
      <c r="M48">
        <v>7.8719000000000001</v>
      </c>
      <c r="N48">
        <v>5.6212999999999997</v>
      </c>
      <c r="O48">
        <v>16.4724</v>
      </c>
      <c r="Q48">
        <v>8.9444999999999997</v>
      </c>
      <c r="R48">
        <v>8.2536000000000005</v>
      </c>
      <c r="S48">
        <v>10.415699999999999</v>
      </c>
      <c r="U48">
        <v>7.4039999999999999</v>
      </c>
      <c r="V48">
        <v>5.0968999999999998</v>
      </c>
      <c r="W48">
        <v>16.566500000000001</v>
      </c>
      <c r="Y48">
        <v>8.0303000000000004</v>
      </c>
      <c r="Z48">
        <v>5.7748999999999997</v>
      </c>
      <c r="AA48">
        <v>16.381900000000002</v>
      </c>
      <c r="AC48">
        <v>9.2171000000000003</v>
      </c>
      <c r="AD48">
        <v>8.4711999999999996</v>
      </c>
      <c r="AE48">
        <v>10.874700000000001</v>
      </c>
    </row>
    <row r="49" spans="1:31" ht="18" customHeight="1">
      <c r="B49">
        <v>1500</v>
      </c>
      <c r="C49">
        <v>500</v>
      </c>
    </row>
    <row r="50" spans="1:31" ht="18" customHeight="1"/>
    <row r="51" spans="1:31" ht="18" customHeight="1">
      <c r="B51">
        <v>1000</v>
      </c>
      <c r="C51">
        <v>1400</v>
      </c>
      <c r="E51">
        <v>11.830399999999999</v>
      </c>
      <c r="F51">
        <v>9.5417000000000005</v>
      </c>
      <c r="G51">
        <v>13.896800000000001</v>
      </c>
      <c r="I51">
        <v>11.555199999999999</v>
      </c>
      <c r="J51">
        <v>9.3849</v>
      </c>
      <c r="K51">
        <v>13.5136</v>
      </c>
      <c r="M51">
        <v>10.2075</v>
      </c>
      <c r="N51">
        <v>5.3948</v>
      </c>
      <c r="O51">
        <v>16.636600000000001</v>
      </c>
      <c r="Q51">
        <v>10.651400000000001</v>
      </c>
      <c r="R51">
        <v>11.103199999999999</v>
      </c>
      <c r="S51">
        <v>10.3363</v>
      </c>
      <c r="U51">
        <v>8.7096</v>
      </c>
      <c r="V51">
        <v>3.6738</v>
      </c>
      <c r="W51">
        <v>16.670000000000002</v>
      </c>
      <c r="Y51">
        <v>10.2075</v>
      </c>
      <c r="Z51">
        <v>5.3948</v>
      </c>
      <c r="AA51">
        <v>16.636600000000001</v>
      </c>
      <c r="AC51">
        <v>11.7155</v>
      </c>
      <c r="AD51">
        <v>9.2542000000000009</v>
      </c>
      <c r="AE51">
        <v>13.981400000000001</v>
      </c>
    </row>
    <row r="52" spans="1:31" ht="18" customHeight="1">
      <c r="B52">
        <v>1200</v>
      </c>
      <c r="C52">
        <v>1200</v>
      </c>
      <c r="E52">
        <v>9.1734000000000009</v>
      </c>
      <c r="F52">
        <v>7.4245000000000001</v>
      </c>
      <c r="G52">
        <v>11.6442</v>
      </c>
      <c r="I52">
        <v>9.1166</v>
      </c>
      <c r="J52">
        <v>7.1142000000000003</v>
      </c>
      <c r="K52">
        <v>12.021699999999999</v>
      </c>
      <c r="M52">
        <v>8.6882000000000001</v>
      </c>
      <c r="N52">
        <v>4.6947999999999999</v>
      </c>
      <c r="O52">
        <v>16.473800000000001</v>
      </c>
      <c r="Q52">
        <v>9.4205000000000005</v>
      </c>
      <c r="R52">
        <v>8.1372999999999998</v>
      </c>
      <c r="S52">
        <v>11.007</v>
      </c>
      <c r="U52">
        <v>8.2591000000000001</v>
      </c>
      <c r="V52">
        <v>4.1837999999999997</v>
      </c>
      <c r="W52">
        <v>16.628900000000002</v>
      </c>
      <c r="Y52">
        <v>9.0350999999999999</v>
      </c>
      <c r="Z52">
        <v>5.2131999999999996</v>
      </c>
      <c r="AA52">
        <v>15.9854</v>
      </c>
      <c r="AC52">
        <v>8.9202999999999992</v>
      </c>
      <c r="AD52">
        <v>6.5260999999999996</v>
      </c>
      <c r="AE52">
        <v>12.6112</v>
      </c>
    </row>
    <row r="53" spans="1:31" ht="18" customHeight="1">
      <c r="B53">
        <v>1400</v>
      </c>
      <c r="C53">
        <v>1000</v>
      </c>
      <c r="E53">
        <v>9.4899000000000004</v>
      </c>
      <c r="F53">
        <v>7.8769999999999998</v>
      </c>
      <c r="G53">
        <v>12.1732</v>
      </c>
      <c r="I53">
        <v>9.4899000000000004</v>
      </c>
      <c r="J53">
        <v>7.8769999999999998</v>
      </c>
      <c r="K53">
        <v>12.1732</v>
      </c>
      <c r="M53">
        <v>9.3056000000000001</v>
      </c>
      <c r="N53">
        <v>6.0983000000000001</v>
      </c>
      <c r="O53">
        <v>16.486799999999999</v>
      </c>
      <c r="Q53">
        <v>9.2520000000000007</v>
      </c>
      <c r="R53">
        <v>7.9337</v>
      </c>
      <c r="S53">
        <v>11.319699999999999</v>
      </c>
      <c r="U53">
        <v>8.2323000000000004</v>
      </c>
      <c r="V53">
        <v>4.7912999999999997</v>
      </c>
      <c r="W53">
        <v>16.631699999999999</v>
      </c>
      <c r="Y53">
        <v>10.226900000000001</v>
      </c>
      <c r="Z53">
        <v>7.8314000000000004</v>
      </c>
      <c r="AA53">
        <v>14.440099999999999</v>
      </c>
      <c r="AC53">
        <v>9.4899000000000004</v>
      </c>
      <c r="AD53">
        <v>7.8769999999999998</v>
      </c>
      <c r="AE53">
        <v>12.1732</v>
      </c>
    </row>
    <row r="54" spans="1:31" ht="18" customHeight="1">
      <c r="B54">
        <v>800</v>
      </c>
      <c r="C54">
        <v>800</v>
      </c>
      <c r="E54">
        <v>14.9702</v>
      </c>
      <c r="F54">
        <v>14.487399999999999</v>
      </c>
      <c r="G54">
        <v>15.5388</v>
      </c>
      <c r="I54">
        <v>14.9702</v>
      </c>
      <c r="J54">
        <v>14.487399999999999</v>
      </c>
      <c r="K54">
        <v>15.5388</v>
      </c>
      <c r="M54">
        <v>14.922599999999999</v>
      </c>
      <c r="N54">
        <v>13.909700000000001</v>
      </c>
      <c r="O54">
        <v>16.193000000000001</v>
      </c>
      <c r="Q54">
        <v>14.6409</v>
      </c>
      <c r="R54">
        <v>14.744300000000001</v>
      </c>
      <c r="S54">
        <v>14.5245</v>
      </c>
      <c r="U54">
        <v>8.8874999999999993</v>
      </c>
      <c r="V54">
        <v>5.4878</v>
      </c>
      <c r="W54">
        <v>16.567799999999998</v>
      </c>
      <c r="Y54">
        <v>14.877599999999999</v>
      </c>
      <c r="Z54">
        <v>13.700900000000001</v>
      </c>
      <c r="AA54">
        <v>16.3935</v>
      </c>
      <c r="AC54">
        <v>14.9702</v>
      </c>
      <c r="AD54">
        <v>14.487399999999999</v>
      </c>
      <c r="AE54">
        <v>15.5388</v>
      </c>
    </row>
    <row r="55" spans="1:31" ht="18" customHeight="1"/>
    <row r="56" spans="1:31" ht="18" customHeight="1">
      <c r="B56">
        <v>500</v>
      </c>
      <c r="C56">
        <v>1500</v>
      </c>
    </row>
    <row r="57" spans="1:31" ht="18" customHeight="1">
      <c r="A57" t="s">
        <v>18</v>
      </c>
      <c r="B57">
        <v>600</v>
      </c>
      <c r="C57">
        <v>1400</v>
      </c>
      <c r="E57">
        <v>13.855399999999999</v>
      </c>
      <c r="F57">
        <v>10.163399999999999</v>
      </c>
      <c r="G57">
        <v>15.873200000000001</v>
      </c>
      <c r="I57">
        <v>13.872199999999999</v>
      </c>
      <c r="J57">
        <v>11.311</v>
      </c>
      <c r="K57">
        <v>15.1122</v>
      </c>
      <c r="M57">
        <v>11.588699999999999</v>
      </c>
      <c r="N57">
        <v>5.4645000000000001</v>
      </c>
      <c r="O57">
        <v>16.646000000000001</v>
      </c>
      <c r="Q57">
        <v>13.120200000000001</v>
      </c>
      <c r="R57">
        <v>14.0063</v>
      </c>
      <c r="S57">
        <v>12.765000000000001</v>
      </c>
      <c r="U57">
        <v>10.2561</v>
      </c>
      <c r="V57">
        <v>3.9468999999999999</v>
      </c>
      <c r="W57">
        <v>16.670000000000002</v>
      </c>
      <c r="Y57">
        <v>14.017899999999999</v>
      </c>
      <c r="Z57">
        <v>10.055199999999999</v>
      </c>
      <c r="AA57">
        <v>16.2028</v>
      </c>
      <c r="AC57">
        <v>13.883699999999999</v>
      </c>
      <c r="AD57">
        <v>10.090199999999999</v>
      </c>
      <c r="AE57">
        <v>15.957000000000001</v>
      </c>
    </row>
    <row r="58" spans="1:31" ht="18" customHeight="1">
      <c r="B58">
        <v>700</v>
      </c>
      <c r="C58">
        <v>1300</v>
      </c>
    </row>
    <row r="59" spans="1:31" ht="18" customHeight="1">
      <c r="B59">
        <v>800</v>
      </c>
      <c r="C59">
        <v>1200</v>
      </c>
      <c r="E59">
        <v>10.205399999999999</v>
      </c>
      <c r="F59">
        <v>7.1889000000000003</v>
      </c>
      <c r="G59">
        <v>13.238899999999999</v>
      </c>
      <c r="I59">
        <v>10.3093</v>
      </c>
      <c r="J59">
        <v>7.5476000000000001</v>
      </c>
      <c r="K59">
        <v>13.009499999999999</v>
      </c>
      <c r="M59">
        <v>9.9464000000000006</v>
      </c>
      <c r="N59">
        <v>5.1120999999999999</v>
      </c>
      <c r="O59">
        <v>16.517199999999999</v>
      </c>
      <c r="Q59">
        <v>10.6006</v>
      </c>
      <c r="R59">
        <v>10.168900000000001</v>
      </c>
      <c r="S59">
        <v>10.9024</v>
      </c>
      <c r="U59">
        <v>7.8060999999999998</v>
      </c>
      <c r="V59">
        <v>2.9287999999999998</v>
      </c>
      <c r="W59">
        <v>16.670000000000002</v>
      </c>
      <c r="Y59">
        <v>10.3049</v>
      </c>
      <c r="Z59">
        <v>5.8564999999999996</v>
      </c>
      <c r="AA59">
        <v>15.4589</v>
      </c>
      <c r="AC59">
        <v>10.4201</v>
      </c>
      <c r="AD59">
        <v>7.1938000000000004</v>
      </c>
      <c r="AE59">
        <v>13.745100000000001</v>
      </c>
    </row>
    <row r="60" spans="1:31" ht="18" customHeight="1">
      <c r="B60">
        <v>900</v>
      </c>
      <c r="C60">
        <v>1100</v>
      </c>
    </row>
    <row r="61" spans="1:31" ht="18" customHeight="1">
      <c r="B61">
        <v>1000</v>
      </c>
      <c r="C61">
        <v>1000</v>
      </c>
      <c r="E61">
        <v>10.939299999999999</v>
      </c>
      <c r="F61">
        <v>8.6097999999999999</v>
      </c>
      <c r="G61">
        <v>14.2639</v>
      </c>
      <c r="I61">
        <v>10.9641</v>
      </c>
      <c r="J61">
        <v>8.7828999999999997</v>
      </c>
      <c r="K61">
        <v>14.0343</v>
      </c>
      <c r="M61">
        <v>10.424099999999999</v>
      </c>
      <c r="N61">
        <v>6.7480000000000002</v>
      </c>
      <c r="O61">
        <v>16.490200000000002</v>
      </c>
      <c r="Q61">
        <v>10.772500000000001</v>
      </c>
      <c r="R61">
        <v>9.8887</v>
      </c>
      <c r="S61">
        <v>11.808400000000001</v>
      </c>
      <c r="U61">
        <v>6.5105000000000004</v>
      </c>
      <c r="V61">
        <v>2.6017000000000001</v>
      </c>
      <c r="W61">
        <v>16.621200000000002</v>
      </c>
      <c r="Y61">
        <v>10.424099999999999</v>
      </c>
      <c r="Z61">
        <v>6.7480000000000002</v>
      </c>
      <c r="AA61">
        <v>16.492000000000001</v>
      </c>
      <c r="AC61">
        <v>10.939299999999999</v>
      </c>
      <c r="AD61">
        <v>8.6097999999999999</v>
      </c>
      <c r="AE61">
        <v>14.2639</v>
      </c>
    </row>
    <row r="62" spans="1:31" ht="18" customHeight="1">
      <c r="B62">
        <v>1100</v>
      </c>
      <c r="C62">
        <v>900</v>
      </c>
    </row>
    <row r="63" spans="1:31" ht="18" customHeight="1">
      <c r="B63">
        <v>1200</v>
      </c>
      <c r="C63">
        <v>800</v>
      </c>
      <c r="E63">
        <v>7.7953000000000001</v>
      </c>
      <c r="F63">
        <v>5.8135000000000003</v>
      </c>
      <c r="G63">
        <v>12.745900000000001</v>
      </c>
      <c r="I63">
        <v>7.7953000000000001</v>
      </c>
      <c r="J63">
        <v>5.8135000000000003</v>
      </c>
      <c r="K63">
        <v>12.745900000000001</v>
      </c>
      <c r="M63">
        <v>6.2567000000000004</v>
      </c>
      <c r="N63">
        <v>3.3908</v>
      </c>
      <c r="O63">
        <v>16.640999999999998</v>
      </c>
      <c r="Q63">
        <v>8.3451000000000004</v>
      </c>
      <c r="R63">
        <v>7.4566999999999997</v>
      </c>
      <c r="S63">
        <v>10.083600000000001</v>
      </c>
      <c r="U63">
        <v>5.8478000000000003</v>
      </c>
      <c r="V63">
        <v>3.0413999999999999</v>
      </c>
      <c r="W63">
        <v>16.661899999999999</v>
      </c>
      <c r="Y63">
        <v>6.7138999999999998</v>
      </c>
      <c r="Z63">
        <v>3.9106000000000001</v>
      </c>
      <c r="AA63">
        <v>15.861599999999999</v>
      </c>
      <c r="AC63">
        <v>8.6664999999999992</v>
      </c>
      <c r="AD63">
        <v>6.8967000000000001</v>
      </c>
      <c r="AE63">
        <v>13.1408</v>
      </c>
    </row>
    <row r="64" spans="1:31" ht="18" customHeight="1">
      <c r="B64">
        <v>1300</v>
      </c>
      <c r="C64">
        <v>700</v>
      </c>
    </row>
    <row r="65" spans="1:31" ht="18" customHeight="1">
      <c r="B65">
        <v>1400</v>
      </c>
      <c r="C65">
        <v>600</v>
      </c>
      <c r="E65">
        <v>8.2127999999999997</v>
      </c>
      <c r="F65">
        <v>7.3281999999999998</v>
      </c>
      <c r="G65">
        <v>10.256600000000001</v>
      </c>
      <c r="I65">
        <v>8.2127999999999997</v>
      </c>
      <c r="J65">
        <v>7.3281999999999998</v>
      </c>
      <c r="K65">
        <v>10.256600000000001</v>
      </c>
      <c r="M65">
        <v>6.4683000000000002</v>
      </c>
      <c r="N65">
        <v>4.2826000000000004</v>
      </c>
      <c r="O65">
        <v>16.488199999999999</v>
      </c>
      <c r="Q65">
        <v>7.9348999999999998</v>
      </c>
      <c r="R65">
        <v>7.1071</v>
      </c>
      <c r="S65">
        <v>9.7475000000000005</v>
      </c>
      <c r="U65">
        <v>6.0244</v>
      </c>
      <c r="V65">
        <v>3.8338999999999999</v>
      </c>
      <c r="W65">
        <v>16.526</v>
      </c>
      <c r="Y65">
        <v>6.6334999999999997</v>
      </c>
      <c r="Z65">
        <v>4.4005999999999998</v>
      </c>
      <c r="AA65">
        <v>16.4895</v>
      </c>
      <c r="AC65">
        <v>8.2127999999999997</v>
      </c>
      <c r="AD65">
        <v>7.3281999999999998</v>
      </c>
      <c r="AE65">
        <v>10.256600000000001</v>
      </c>
    </row>
    <row r="66" spans="1:31" ht="18" customHeight="1">
      <c r="B66">
        <v>1500</v>
      </c>
      <c r="C66">
        <v>500</v>
      </c>
    </row>
    <row r="67" spans="1:31" ht="18" customHeight="1"/>
    <row r="68" spans="1:31" ht="18" customHeight="1">
      <c r="B68">
        <v>1000</v>
      </c>
      <c r="C68">
        <v>1400</v>
      </c>
      <c r="E68">
        <v>11.0427</v>
      </c>
      <c r="F68">
        <v>8.3553999999999995</v>
      </c>
      <c r="G68">
        <v>13.4749</v>
      </c>
      <c r="I68">
        <v>10.716699999999999</v>
      </c>
      <c r="J68">
        <v>8.1769999999999996</v>
      </c>
      <c r="K68">
        <v>13.0138</v>
      </c>
      <c r="M68">
        <v>9.1554000000000002</v>
      </c>
      <c r="N68">
        <v>3.9706000000000001</v>
      </c>
      <c r="O68">
        <v>16.670000000000002</v>
      </c>
      <c r="Q68">
        <v>9.6805000000000003</v>
      </c>
      <c r="R68">
        <v>10.158200000000001</v>
      </c>
      <c r="S68">
        <v>9.3637999999999995</v>
      </c>
      <c r="U68">
        <v>7.6931000000000003</v>
      </c>
      <c r="V68">
        <v>2.5508000000000002</v>
      </c>
      <c r="W68">
        <v>16.670000000000002</v>
      </c>
      <c r="Y68">
        <v>9.1554000000000002</v>
      </c>
      <c r="Z68">
        <v>3.9706000000000001</v>
      </c>
      <c r="AA68">
        <v>16.670000000000002</v>
      </c>
      <c r="AC68">
        <v>10.899699999999999</v>
      </c>
      <c r="AD68">
        <v>8.0166000000000004</v>
      </c>
      <c r="AE68">
        <v>13.5717</v>
      </c>
    </row>
    <row r="69" spans="1:31" ht="18" customHeight="1">
      <c r="B69">
        <v>1200</v>
      </c>
      <c r="C69">
        <v>1200</v>
      </c>
      <c r="E69">
        <v>8.1292000000000009</v>
      </c>
      <c r="F69">
        <v>6.3268000000000004</v>
      </c>
      <c r="G69">
        <v>10.7514</v>
      </c>
      <c r="I69">
        <v>8.0673999999999992</v>
      </c>
      <c r="J69">
        <v>5.9804000000000004</v>
      </c>
      <c r="K69">
        <v>11.202</v>
      </c>
      <c r="M69">
        <v>7.4920999999999998</v>
      </c>
      <c r="N69">
        <v>3.2755000000000001</v>
      </c>
      <c r="O69">
        <v>16.609500000000001</v>
      </c>
      <c r="Q69">
        <v>8.4210999999999991</v>
      </c>
      <c r="R69">
        <v>7.0989000000000004</v>
      </c>
      <c r="S69">
        <v>10.0594</v>
      </c>
      <c r="U69">
        <v>7.0750999999999999</v>
      </c>
      <c r="V69">
        <v>2.8965999999999998</v>
      </c>
      <c r="W69">
        <v>16.616800000000001</v>
      </c>
      <c r="Y69">
        <v>7.9157000000000002</v>
      </c>
      <c r="Z69">
        <v>3.8089</v>
      </c>
      <c r="AA69">
        <v>16.072600000000001</v>
      </c>
      <c r="AC69">
        <v>7.8287000000000004</v>
      </c>
      <c r="AD69">
        <v>5.3164999999999996</v>
      </c>
      <c r="AE69">
        <v>11.89</v>
      </c>
    </row>
    <row r="70" spans="1:31" ht="18" customHeight="1">
      <c r="B70">
        <v>1400</v>
      </c>
      <c r="C70">
        <v>1000</v>
      </c>
      <c r="E70">
        <v>8.3588000000000005</v>
      </c>
      <c r="F70">
        <v>6.6313000000000004</v>
      </c>
      <c r="G70">
        <v>11.301600000000001</v>
      </c>
      <c r="I70">
        <v>8.3588000000000005</v>
      </c>
      <c r="J70">
        <v>6.6313000000000004</v>
      </c>
      <c r="K70">
        <v>11.301600000000001</v>
      </c>
      <c r="M70">
        <v>8.0894999999999992</v>
      </c>
      <c r="N70">
        <v>4.6624999999999996</v>
      </c>
      <c r="O70">
        <v>16.498100000000001</v>
      </c>
      <c r="Q70">
        <v>8.0519999999999996</v>
      </c>
      <c r="R70">
        <v>6.641</v>
      </c>
      <c r="S70">
        <v>10.2918</v>
      </c>
      <c r="U70">
        <v>6.9057000000000004</v>
      </c>
      <c r="V70">
        <v>3.3281999999999998</v>
      </c>
      <c r="W70">
        <v>16.620799999999999</v>
      </c>
      <c r="Y70">
        <v>9.1736000000000004</v>
      </c>
      <c r="Z70">
        <v>6.5262000000000002</v>
      </c>
      <c r="AA70">
        <v>14.0077</v>
      </c>
      <c r="AC70">
        <v>8.3588000000000005</v>
      </c>
      <c r="AD70">
        <v>6.6313000000000004</v>
      </c>
      <c r="AE70">
        <v>11.301600000000001</v>
      </c>
    </row>
    <row r="71" spans="1:31" ht="18" customHeight="1">
      <c r="B71">
        <v>800</v>
      </c>
      <c r="C71">
        <v>800</v>
      </c>
      <c r="E71">
        <v>14.7904</v>
      </c>
      <c r="F71">
        <v>14.1478</v>
      </c>
      <c r="G71">
        <v>15.456200000000001</v>
      </c>
      <c r="I71">
        <v>14.7904</v>
      </c>
      <c r="J71">
        <v>14.1478</v>
      </c>
      <c r="K71">
        <v>15.456200000000001</v>
      </c>
      <c r="M71">
        <v>14.728899999999999</v>
      </c>
      <c r="N71">
        <v>13.388199999999999</v>
      </c>
      <c r="O71">
        <v>16.231100000000001</v>
      </c>
      <c r="Q71">
        <v>14.376799999999999</v>
      </c>
      <c r="R71">
        <v>14.4885</v>
      </c>
      <c r="S71">
        <v>14.267200000000001</v>
      </c>
      <c r="U71">
        <v>7.8697999999999997</v>
      </c>
      <c r="V71">
        <v>4.1246</v>
      </c>
      <c r="W71">
        <v>16.548300000000001</v>
      </c>
      <c r="Y71">
        <v>14.672700000000001</v>
      </c>
      <c r="Z71">
        <v>13.1211</v>
      </c>
      <c r="AA71">
        <v>16.4709</v>
      </c>
      <c r="AC71">
        <v>14.7904</v>
      </c>
      <c r="AD71">
        <v>14.1478</v>
      </c>
      <c r="AE71">
        <v>15.456200000000001</v>
      </c>
    </row>
    <row r="72" spans="1:31" ht="18" customHeight="1"/>
    <row r="73" spans="1:31" ht="18" customHeight="1">
      <c r="B73">
        <v>500</v>
      </c>
      <c r="C73">
        <v>1500</v>
      </c>
    </row>
    <row r="74" spans="1:31" ht="18" customHeight="1">
      <c r="A74" t="s">
        <v>20</v>
      </c>
      <c r="B74">
        <v>600</v>
      </c>
      <c r="C74">
        <v>1400</v>
      </c>
      <c r="E74">
        <v>12.288600000000001</v>
      </c>
      <c r="F74">
        <v>6.3680000000000003</v>
      </c>
      <c r="G74">
        <v>15.8104</v>
      </c>
      <c r="I74">
        <v>13.0091</v>
      </c>
      <c r="J74">
        <v>7.9363000000000001</v>
      </c>
      <c r="K74">
        <v>15.3969</v>
      </c>
      <c r="M74">
        <v>9.6478999999999999</v>
      </c>
      <c r="N74">
        <v>2.8546999999999998</v>
      </c>
      <c r="O74">
        <v>16.670000000000002</v>
      </c>
      <c r="Q74">
        <v>11.721399999999999</v>
      </c>
      <c r="R74">
        <v>12.822100000000001</v>
      </c>
      <c r="S74">
        <v>11.364699999999999</v>
      </c>
      <c r="U74">
        <v>8.5803999999999991</v>
      </c>
      <c r="V74">
        <v>2.0899000000000001</v>
      </c>
      <c r="W74">
        <v>16.670000000000002</v>
      </c>
      <c r="Y74">
        <v>12.6614</v>
      </c>
      <c r="Z74">
        <v>6.1601999999999997</v>
      </c>
      <c r="AA74">
        <v>16.6005</v>
      </c>
      <c r="AC74">
        <v>12.343999999999999</v>
      </c>
      <c r="AD74">
        <v>6.2325999999999997</v>
      </c>
      <c r="AE74">
        <v>15.979200000000001</v>
      </c>
    </row>
    <row r="75" spans="1:31" ht="18" customHeight="1">
      <c r="B75">
        <v>700</v>
      </c>
      <c r="C75">
        <v>1300</v>
      </c>
    </row>
    <row r="76" spans="1:31" ht="18" customHeight="1">
      <c r="B76">
        <v>800</v>
      </c>
      <c r="C76">
        <v>1200</v>
      </c>
      <c r="E76">
        <v>8.2827000000000002</v>
      </c>
      <c r="F76">
        <v>5.6992000000000003</v>
      </c>
      <c r="G76">
        <v>11.6745</v>
      </c>
      <c r="I76">
        <v>8.4770000000000003</v>
      </c>
      <c r="J76">
        <v>6.2575000000000003</v>
      </c>
      <c r="K76">
        <v>11.240600000000001</v>
      </c>
      <c r="M76">
        <v>7.7873999999999999</v>
      </c>
      <c r="N76">
        <v>3.2412999999999998</v>
      </c>
      <c r="O76">
        <v>16.670000000000002</v>
      </c>
      <c r="Q76">
        <v>9.0660000000000007</v>
      </c>
      <c r="R76">
        <v>8.2224000000000004</v>
      </c>
      <c r="S76">
        <v>9.6927000000000003</v>
      </c>
      <c r="U76">
        <v>6.0776000000000003</v>
      </c>
      <c r="V76">
        <v>1.9001999999999999</v>
      </c>
      <c r="W76">
        <v>16.670000000000002</v>
      </c>
      <c r="Y76">
        <v>8.3789999999999996</v>
      </c>
      <c r="Z76">
        <v>3.673</v>
      </c>
      <c r="AA76">
        <v>16.670000000000002</v>
      </c>
      <c r="AC76">
        <v>8.6529000000000007</v>
      </c>
      <c r="AD76">
        <v>5.7191999999999998</v>
      </c>
      <c r="AE76">
        <v>12.706799999999999</v>
      </c>
    </row>
    <row r="77" spans="1:31" ht="18" customHeight="1">
      <c r="B77">
        <v>900</v>
      </c>
      <c r="C77">
        <v>1100</v>
      </c>
    </row>
    <row r="78" spans="1:31" ht="18" customHeight="1">
      <c r="B78">
        <v>1000</v>
      </c>
      <c r="C78">
        <v>1000</v>
      </c>
      <c r="E78">
        <v>8.8783999999999992</v>
      </c>
      <c r="F78">
        <v>6.8602999999999996</v>
      </c>
      <c r="G78">
        <v>12.331799999999999</v>
      </c>
      <c r="I78">
        <v>8.9146000000000001</v>
      </c>
      <c r="J78">
        <v>7.1174999999999997</v>
      </c>
      <c r="K78">
        <v>11.916399999999999</v>
      </c>
      <c r="M78">
        <v>8</v>
      </c>
      <c r="N78">
        <v>4.1462000000000003</v>
      </c>
      <c r="O78">
        <v>16.5976</v>
      </c>
      <c r="Q78">
        <v>8.8322000000000003</v>
      </c>
      <c r="R78">
        <v>8.0582999999999991</v>
      </c>
      <c r="S78">
        <v>9.8119999999999994</v>
      </c>
      <c r="U78">
        <v>4.9635999999999996</v>
      </c>
      <c r="V78">
        <v>1.4970000000000001</v>
      </c>
      <c r="W78">
        <v>16.569700000000001</v>
      </c>
      <c r="Y78">
        <v>8</v>
      </c>
      <c r="Z78">
        <v>4.1462000000000003</v>
      </c>
      <c r="AA78">
        <v>16.5976</v>
      </c>
      <c r="AC78">
        <v>8.8783999999999992</v>
      </c>
      <c r="AD78">
        <v>6.8602999999999996</v>
      </c>
      <c r="AE78">
        <v>12.331799999999999</v>
      </c>
    </row>
    <row r="79" spans="1:31" ht="18" customHeight="1">
      <c r="B79">
        <v>1100</v>
      </c>
      <c r="C79">
        <v>900</v>
      </c>
    </row>
    <row r="80" spans="1:31" ht="18" customHeight="1">
      <c r="B80">
        <v>1200</v>
      </c>
      <c r="C80">
        <v>800</v>
      </c>
      <c r="E80">
        <v>6.4657</v>
      </c>
      <c r="F80">
        <v>4.6106999999999996</v>
      </c>
      <c r="G80">
        <v>12.792899999999999</v>
      </c>
      <c r="I80">
        <v>6.4657</v>
      </c>
      <c r="J80">
        <v>4.6106999999999996</v>
      </c>
      <c r="K80">
        <v>12.792899999999999</v>
      </c>
      <c r="M80">
        <v>4.0433000000000003</v>
      </c>
      <c r="N80">
        <v>1.8531</v>
      </c>
      <c r="O80">
        <v>16.670000000000002</v>
      </c>
      <c r="Q80">
        <v>7.4592999999999998</v>
      </c>
      <c r="R80">
        <v>6.5495000000000001</v>
      </c>
      <c r="S80">
        <v>9.7901000000000007</v>
      </c>
      <c r="U80">
        <v>3.7770999999999999</v>
      </c>
      <c r="V80">
        <v>1.6079000000000001</v>
      </c>
      <c r="W80">
        <v>16.6496</v>
      </c>
      <c r="Y80">
        <v>4.367</v>
      </c>
      <c r="Z80">
        <v>2.1469</v>
      </c>
      <c r="AA80">
        <v>16.670000000000002</v>
      </c>
      <c r="AC80">
        <v>7.6962000000000002</v>
      </c>
      <c r="AD80">
        <v>6.3101000000000003</v>
      </c>
      <c r="AE80">
        <v>12.446899999999999</v>
      </c>
    </row>
    <row r="81" spans="1:31" ht="18" customHeight="1">
      <c r="B81">
        <v>1300</v>
      </c>
      <c r="C81">
        <v>700</v>
      </c>
    </row>
    <row r="82" spans="1:31" ht="18" customHeight="1">
      <c r="B82">
        <v>1400</v>
      </c>
      <c r="C82">
        <v>600</v>
      </c>
      <c r="E82">
        <v>7.2599</v>
      </c>
      <c r="F82">
        <v>6.1406999999999998</v>
      </c>
      <c r="G82">
        <v>11.200799999999999</v>
      </c>
      <c r="I82">
        <v>7.2599</v>
      </c>
      <c r="J82">
        <v>6.1406999999999998</v>
      </c>
      <c r="K82">
        <v>11.200799999999999</v>
      </c>
      <c r="M82">
        <v>4.4325999999999999</v>
      </c>
      <c r="N82">
        <v>2.7088999999999999</v>
      </c>
      <c r="O82">
        <v>16.4316</v>
      </c>
      <c r="Q82">
        <v>6.9459999999999997</v>
      </c>
      <c r="R82">
        <v>5.4309000000000003</v>
      </c>
      <c r="S82">
        <v>11.561400000000001</v>
      </c>
      <c r="U82">
        <v>4.03</v>
      </c>
      <c r="V82">
        <v>2.2843</v>
      </c>
      <c r="W82">
        <v>16.481300000000001</v>
      </c>
      <c r="Y82">
        <v>4.3556999999999997</v>
      </c>
      <c r="Z82">
        <v>2.6025999999999998</v>
      </c>
      <c r="AA82">
        <v>16.476199999999999</v>
      </c>
      <c r="AC82">
        <v>7.2599</v>
      </c>
      <c r="AD82">
        <v>6.1406999999999998</v>
      </c>
      <c r="AE82">
        <v>11.200799999999999</v>
      </c>
    </row>
    <row r="83" spans="1:31" ht="18" customHeight="1">
      <c r="B83">
        <v>1500</v>
      </c>
      <c r="C83">
        <v>500</v>
      </c>
    </row>
    <row r="84" spans="1:31" ht="18" customHeight="1"/>
    <row r="85" spans="1:31" ht="18" customHeight="1">
      <c r="B85">
        <v>1000</v>
      </c>
      <c r="C85">
        <v>1400</v>
      </c>
      <c r="E85">
        <v>9.2613000000000003</v>
      </c>
      <c r="F85">
        <v>6.2544000000000004</v>
      </c>
      <c r="G85">
        <v>12.5703</v>
      </c>
      <c r="I85">
        <v>8.7327999999999992</v>
      </c>
      <c r="J85">
        <v>6.0080999999999998</v>
      </c>
      <c r="K85">
        <v>11.717499999999999</v>
      </c>
      <c r="M85">
        <v>7.3426999999999998</v>
      </c>
      <c r="N85">
        <v>2.3252000000000002</v>
      </c>
      <c r="O85">
        <v>16.670000000000002</v>
      </c>
      <c r="Q85">
        <v>8.1098999999999997</v>
      </c>
      <c r="R85">
        <v>8.0052000000000003</v>
      </c>
      <c r="S85">
        <v>8.18</v>
      </c>
      <c r="U85">
        <v>6.2293000000000003</v>
      </c>
      <c r="V85">
        <v>1.4162999999999999</v>
      </c>
      <c r="W85">
        <v>16.670000000000002</v>
      </c>
      <c r="Y85">
        <v>7.3426999999999998</v>
      </c>
      <c r="Z85">
        <v>2.3252000000000002</v>
      </c>
      <c r="AA85">
        <v>16.670000000000002</v>
      </c>
      <c r="AC85">
        <v>9.0004000000000008</v>
      </c>
      <c r="AD85">
        <v>5.7523999999999997</v>
      </c>
      <c r="AE85">
        <v>12.730600000000001</v>
      </c>
    </row>
    <row r="86" spans="1:31" ht="18" customHeight="1">
      <c r="B86">
        <v>1200</v>
      </c>
      <c r="C86">
        <v>1200</v>
      </c>
      <c r="E86">
        <v>6.9016999999999999</v>
      </c>
      <c r="F86">
        <v>5.4964000000000004</v>
      </c>
      <c r="G86">
        <v>9.0848999999999993</v>
      </c>
      <c r="I86">
        <v>7.0125000000000002</v>
      </c>
      <c r="J86">
        <v>5.2321999999999997</v>
      </c>
      <c r="K86">
        <v>9.8887</v>
      </c>
      <c r="M86">
        <v>5.6380999999999997</v>
      </c>
      <c r="N86">
        <v>1.6689000000000001</v>
      </c>
      <c r="O86">
        <v>16.651700000000002</v>
      </c>
      <c r="Q86">
        <v>7.6586999999999996</v>
      </c>
      <c r="R86">
        <v>5.9378000000000002</v>
      </c>
      <c r="S86">
        <v>9.9846000000000004</v>
      </c>
      <c r="U86">
        <v>5.3381999999999996</v>
      </c>
      <c r="V86">
        <v>1.3728</v>
      </c>
      <c r="W86">
        <v>16.654499999999999</v>
      </c>
      <c r="Y86">
        <v>6.0067000000000004</v>
      </c>
      <c r="Z86">
        <v>2.0173000000000001</v>
      </c>
      <c r="AA86">
        <v>16.622900000000001</v>
      </c>
      <c r="AC86">
        <v>6.4999000000000002</v>
      </c>
      <c r="AD86">
        <v>4.4451000000000001</v>
      </c>
      <c r="AE86">
        <v>10.1183</v>
      </c>
    </row>
    <row r="87" spans="1:31" ht="18" customHeight="1">
      <c r="B87">
        <v>1400</v>
      </c>
      <c r="C87">
        <v>1000</v>
      </c>
      <c r="E87">
        <v>6.9568000000000003</v>
      </c>
      <c r="F87">
        <v>4.7939999999999996</v>
      </c>
      <c r="G87">
        <v>11.343999999999999</v>
      </c>
      <c r="I87">
        <v>6.9568000000000003</v>
      </c>
      <c r="J87">
        <v>4.7939999999999996</v>
      </c>
      <c r="K87">
        <v>11.343999999999999</v>
      </c>
      <c r="M87">
        <v>5.9741</v>
      </c>
      <c r="N87">
        <v>2.5636999999999999</v>
      </c>
      <c r="O87">
        <v>16.617100000000001</v>
      </c>
      <c r="Q87">
        <v>6.1966999999999999</v>
      </c>
      <c r="R87">
        <v>4.2584999999999997</v>
      </c>
      <c r="S87">
        <v>9.6445000000000007</v>
      </c>
      <c r="U87">
        <v>5.2609000000000004</v>
      </c>
      <c r="V87">
        <v>1.8375999999999999</v>
      </c>
      <c r="W87">
        <v>16.5883</v>
      </c>
      <c r="Y87">
        <v>7.4898999999999996</v>
      </c>
      <c r="Z87">
        <v>3.7408000000000001</v>
      </c>
      <c r="AA87">
        <v>16.408300000000001</v>
      </c>
      <c r="AC87">
        <v>6.9568000000000003</v>
      </c>
      <c r="AD87">
        <v>4.7939999999999996</v>
      </c>
      <c r="AE87">
        <v>11.343999999999999</v>
      </c>
    </row>
    <row r="88" spans="1:31" s="2" customFormat="1" ht="18" customHeight="1">
      <c r="B88" s="2">
        <v>800</v>
      </c>
      <c r="C88" s="2">
        <v>800</v>
      </c>
      <c r="E88" s="2">
        <v>13.905200000000001</v>
      </c>
      <c r="F88" s="2">
        <v>13.49</v>
      </c>
      <c r="G88" s="2">
        <v>14.3551</v>
      </c>
      <c r="I88" s="2">
        <v>13.905200000000001</v>
      </c>
      <c r="J88" s="2">
        <v>13.49</v>
      </c>
      <c r="K88" s="2">
        <v>14.3551</v>
      </c>
      <c r="M88" s="2">
        <v>13.7462</v>
      </c>
      <c r="N88" s="2">
        <v>12.092499999999999</v>
      </c>
      <c r="O88" s="2">
        <v>15.853199999999999</v>
      </c>
      <c r="Q88" s="2">
        <v>13.0884</v>
      </c>
      <c r="R88" s="2">
        <v>14.157999999999999</v>
      </c>
      <c r="S88" s="2">
        <v>12.0496</v>
      </c>
      <c r="U88" s="2">
        <v>6.0918000000000001</v>
      </c>
      <c r="V88" s="2">
        <v>2.8496000000000001</v>
      </c>
      <c r="W88" s="2">
        <v>16.5121</v>
      </c>
      <c r="Y88" s="2">
        <v>13.637600000000001</v>
      </c>
      <c r="Z88" s="2">
        <v>11.6313</v>
      </c>
      <c r="AA88" s="2">
        <v>16.378</v>
      </c>
      <c r="AC88" s="2">
        <v>13.905200000000001</v>
      </c>
      <c r="AD88" s="2">
        <v>13.49</v>
      </c>
      <c r="AE88" s="2">
        <v>14.3551</v>
      </c>
    </row>
    <row r="89" spans="1:31" ht="18" customHeight="1"/>
    <row r="90" spans="1:31" ht="18" customHeight="1">
      <c r="A90" t="s">
        <v>14</v>
      </c>
      <c r="B90">
        <v>500</v>
      </c>
      <c r="C90">
        <v>1500</v>
      </c>
    </row>
    <row r="91" spans="1:31" ht="18" customHeight="1">
      <c r="A91" t="s">
        <v>21</v>
      </c>
      <c r="B91">
        <v>600</v>
      </c>
      <c r="C91">
        <v>1400</v>
      </c>
      <c r="E91">
        <v>10.833</v>
      </c>
      <c r="F91">
        <v>5.8844000000000003</v>
      </c>
      <c r="G91">
        <v>14.8537</v>
      </c>
      <c r="I91">
        <v>10.447699999999999</v>
      </c>
      <c r="J91">
        <v>6.3582999999999998</v>
      </c>
      <c r="K91">
        <v>13.6952</v>
      </c>
      <c r="M91">
        <v>10.6249</v>
      </c>
      <c r="N91">
        <v>4.3898000000000001</v>
      </c>
      <c r="O91">
        <v>16.670000000000002</v>
      </c>
      <c r="Q91">
        <v>9.8781999999999996</v>
      </c>
      <c r="R91">
        <v>10.9902</v>
      </c>
      <c r="S91">
        <v>9.3566000000000003</v>
      </c>
      <c r="U91">
        <v>10.6249</v>
      </c>
      <c r="V91">
        <v>4.3898000000000001</v>
      </c>
      <c r="W91">
        <v>16.670000000000002</v>
      </c>
      <c r="Y91">
        <v>10.6249</v>
      </c>
      <c r="Z91">
        <v>4.3898000000000001</v>
      </c>
      <c r="AA91">
        <v>16.670000000000002</v>
      </c>
      <c r="AC91">
        <v>10.4427</v>
      </c>
      <c r="AD91">
        <v>5.8807</v>
      </c>
      <c r="AE91">
        <v>14.313700000000001</v>
      </c>
    </row>
    <row r="92" spans="1:31" ht="18" customHeight="1">
      <c r="A92" t="s">
        <v>16</v>
      </c>
      <c r="B92">
        <v>700</v>
      </c>
      <c r="C92">
        <v>1300</v>
      </c>
    </row>
    <row r="93" spans="1:31" ht="18" customHeight="1">
      <c r="A93" t="s">
        <v>17</v>
      </c>
      <c r="B93">
        <v>800</v>
      </c>
      <c r="C93">
        <v>1200</v>
      </c>
    </row>
    <row r="94" spans="1:31" ht="18" customHeight="1">
      <c r="B94">
        <v>900</v>
      </c>
      <c r="C94">
        <v>1100</v>
      </c>
    </row>
    <row r="95" spans="1:31" ht="18" customHeight="1">
      <c r="B95">
        <v>1000</v>
      </c>
      <c r="C95">
        <v>1000</v>
      </c>
      <c r="E95">
        <v>10.847300000000001</v>
      </c>
      <c r="F95">
        <v>8.8219999999999992</v>
      </c>
      <c r="G95">
        <v>13.6259</v>
      </c>
      <c r="I95">
        <v>10.9213</v>
      </c>
      <c r="J95">
        <v>9.2934000000000001</v>
      </c>
      <c r="K95">
        <v>13.042999999999999</v>
      </c>
      <c r="M95">
        <v>7.6863999999999999</v>
      </c>
      <c r="N95">
        <v>3.7063000000000001</v>
      </c>
      <c r="O95">
        <v>16.6509</v>
      </c>
      <c r="Q95">
        <v>10.916700000000001</v>
      </c>
      <c r="R95">
        <v>10.27</v>
      </c>
      <c r="S95">
        <v>11.6539</v>
      </c>
      <c r="U95">
        <v>7.6863999999999999</v>
      </c>
      <c r="V95">
        <v>3.7063000000000001</v>
      </c>
      <c r="W95">
        <v>16.6509</v>
      </c>
      <c r="Y95">
        <v>7.6863999999999999</v>
      </c>
      <c r="Z95">
        <v>3.7063000000000001</v>
      </c>
      <c r="AA95">
        <v>16.6509</v>
      </c>
      <c r="AC95">
        <v>10.847300000000001</v>
      </c>
      <c r="AD95">
        <v>8.8219999999999992</v>
      </c>
      <c r="AE95">
        <v>13.6259</v>
      </c>
    </row>
    <row r="96" spans="1:31" ht="18" customHeight="1">
      <c r="B96">
        <v>1100</v>
      </c>
      <c r="C96">
        <v>900</v>
      </c>
    </row>
    <row r="97" spans="1:31" ht="18" customHeight="1">
      <c r="B97">
        <v>1200</v>
      </c>
      <c r="C97">
        <v>800</v>
      </c>
    </row>
    <row r="98" spans="1:31" ht="18" customHeight="1">
      <c r="B98">
        <v>1300</v>
      </c>
      <c r="C98">
        <v>700</v>
      </c>
    </row>
    <row r="99" spans="1:31" ht="18" customHeight="1">
      <c r="B99">
        <v>1400</v>
      </c>
      <c r="C99">
        <v>600</v>
      </c>
      <c r="E99">
        <v>9.2719000000000005</v>
      </c>
      <c r="F99">
        <v>7.6939000000000002</v>
      </c>
      <c r="G99">
        <v>13.9499</v>
      </c>
      <c r="I99">
        <v>9.2719000000000005</v>
      </c>
      <c r="J99">
        <v>7.6939000000000002</v>
      </c>
      <c r="K99">
        <v>13.9499</v>
      </c>
      <c r="M99">
        <v>6.3864999999999998</v>
      </c>
      <c r="N99">
        <v>3.9584000000000001</v>
      </c>
      <c r="O99">
        <v>16.573399999999999</v>
      </c>
      <c r="Q99">
        <v>9.0182000000000002</v>
      </c>
      <c r="R99">
        <v>7.702</v>
      </c>
      <c r="S99">
        <v>12.7249</v>
      </c>
      <c r="U99">
        <v>6.3864999999999998</v>
      </c>
      <c r="V99">
        <v>3.9584000000000001</v>
      </c>
      <c r="W99">
        <v>16.573399999999999</v>
      </c>
      <c r="Y99">
        <v>6.3864999999999998</v>
      </c>
      <c r="Z99">
        <v>3.9584000000000001</v>
      </c>
      <c r="AA99">
        <v>16.573399999999999</v>
      </c>
      <c r="AC99">
        <v>9.2719000000000005</v>
      </c>
      <c r="AD99">
        <v>7.6939000000000002</v>
      </c>
      <c r="AE99">
        <v>13.9499</v>
      </c>
    </row>
    <row r="100" spans="1:31" ht="18" customHeight="1">
      <c r="B100">
        <v>1500</v>
      </c>
      <c r="C100">
        <v>500</v>
      </c>
    </row>
    <row r="101" spans="1:31" ht="18" customHeight="1"/>
    <row r="102" spans="1:31" ht="18" customHeight="1">
      <c r="B102">
        <v>1200</v>
      </c>
      <c r="C102">
        <v>1200</v>
      </c>
      <c r="E102">
        <v>9.0482999999999993</v>
      </c>
      <c r="F102">
        <v>7.0918999999999999</v>
      </c>
      <c r="G102">
        <v>11.9344</v>
      </c>
      <c r="I102">
        <v>8.7039000000000009</v>
      </c>
      <c r="J102">
        <v>6.4901</v>
      </c>
      <c r="K102">
        <v>11.925700000000001</v>
      </c>
      <c r="M102">
        <v>7.5374999999999996</v>
      </c>
      <c r="N102">
        <v>3.3605999999999998</v>
      </c>
      <c r="O102">
        <v>16.616800000000001</v>
      </c>
      <c r="Q102">
        <v>9.0584000000000007</v>
      </c>
      <c r="R102">
        <v>8.0493000000000006</v>
      </c>
      <c r="S102">
        <v>10.264200000000001</v>
      </c>
      <c r="U102">
        <v>7.5374999999999996</v>
      </c>
      <c r="V102">
        <v>3.3605999999999998</v>
      </c>
      <c r="W102">
        <v>16.616800000000001</v>
      </c>
      <c r="Y102">
        <v>7.5374999999999996</v>
      </c>
      <c r="Z102">
        <v>3.3605999999999998</v>
      </c>
      <c r="AA102">
        <v>16.616800000000001</v>
      </c>
      <c r="AC102">
        <v>9.0482999999999993</v>
      </c>
      <c r="AD102">
        <v>7.0918999999999999</v>
      </c>
      <c r="AE102">
        <v>11.9344</v>
      </c>
    </row>
    <row r="103" spans="1:31" ht="18" customHeight="1"/>
    <row r="104" spans="1:31" ht="18" customHeight="1">
      <c r="B104">
        <v>500</v>
      </c>
      <c r="C104">
        <v>1500</v>
      </c>
    </row>
    <row r="105" spans="1:31" ht="18" customHeight="1">
      <c r="A105" t="s">
        <v>18</v>
      </c>
      <c r="B105">
        <v>600</v>
      </c>
      <c r="C105">
        <v>1400</v>
      </c>
      <c r="E105">
        <v>9.9114000000000004</v>
      </c>
      <c r="F105">
        <v>4.8715999999999999</v>
      </c>
      <c r="G105">
        <v>14.4</v>
      </c>
      <c r="I105">
        <v>9.4565999999999999</v>
      </c>
      <c r="J105">
        <v>5.4043000000000001</v>
      </c>
      <c r="K105">
        <v>12.966699999999999</v>
      </c>
      <c r="M105">
        <v>9.6466999999999992</v>
      </c>
      <c r="N105">
        <v>3.2738999999999998</v>
      </c>
      <c r="O105">
        <v>16.670000000000002</v>
      </c>
      <c r="Q105">
        <v>8.7337000000000007</v>
      </c>
      <c r="R105">
        <v>10.495100000000001</v>
      </c>
      <c r="S105">
        <v>7.9181999999999997</v>
      </c>
      <c r="U105">
        <v>9.6466999999999992</v>
      </c>
      <c r="V105">
        <v>3.2738999999999998</v>
      </c>
      <c r="W105">
        <v>16.670000000000002</v>
      </c>
      <c r="Y105">
        <v>9.6466999999999992</v>
      </c>
      <c r="Z105">
        <v>3.2738999999999998</v>
      </c>
      <c r="AA105">
        <v>16.670000000000002</v>
      </c>
      <c r="AC105">
        <v>9.4527000000000001</v>
      </c>
      <c r="AD105">
        <v>4.9028</v>
      </c>
      <c r="AE105">
        <v>13.716100000000001</v>
      </c>
    </row>
    <row r="106" spans="1:31" ht="18" customHeight="1">
      <c r="B106">
        <v>700</v>
      </c>
      <c r="C106">
        <v>1300</v>
      </c>
    </row>
    <row r="107" spans="1:31" ht="18" customHeight="1">
      <c r="B107">
        <v>800</v>
      </c>
      <c r="C107">
        <v>1200</v>
      </c>
    </row>
    <row r="108" spans="1:31" ht="18" customHeight="1">
      <c r="B108">
        <v>900</v>
      </c>
      <c r="C108">
        <v>1100</v>
      </c>
    </row>
    <row r="109" spans="1:31" ht="18" customHeight="1">
      <c r="B109">
        <v>1000</v>
      </c>
      <c r="C109">
        <v>1000</v>
      </c>
      <c r="E109">
        <v>9.9990000000000006</v>
      </c>
      <c r="F109">
        <v>7.8563000000000001</v>
      </c>
      <c r="G109">
        <v>13.0565</v>
      </c>
      <c r="I109">
        <v>10.100099999999999</v>
      </c>
      <c r="J109">
        <v>8.4105000000000008</v>
      </c>
      <c r="K109">
        <v>12.363200000000001</v>
      </c>
      <c r="M109">
        <v>6.5071000000000003</v>
      </c>
      <c r="N109">
        <v>2.5878000000000001</v>
      </c>
      <c r="O109">
        <v>16.645099999999999</v>
      </c>
      <c r="Q109">
        <v>10.0771</v>
      </c>
      <c r="R109">
        <v>9.5181000000000004</v>
      </c>
      <c r="S109">
        <v>10.712999999999999</v>
      </c>
      <c r="U109">
        <v>6.5071000000000003</v>
      </c>
      <c r="V109">
        <v>2.5878000000000001</v>
      </c>
      <c r="W109">
        <v>16.645099999999999</v>
      </c>
      <c r="Y109">
        <v>6.5071000000000003</v>
      </c>
      <c r="Z109">
        <v>2.5878000000000001</v>
      </c>
      <c r="AA109">
        <v>16.645099999999999</v>
      </c>
      <c r="AC109">
        <v>9.9990000000000006</v>
      </c>
      <c r="AD109">
        <v>7.8563000000000001</v>
      </c>
      <c r="AE109">
        <v>13.0565</v>
      </c>
    </row>
    <row r="110" spans="1:31" ht="18" customHeight="1">
      <c r="B110">
        <v>1100</v>
      </c>
      <c r="C110">
        <v>900</v>
      </c>
    </row>
    <row r="111" spans="1:31" ht="18" customHeight="1">
      <c r="B111">
        <v>1200</v>
      </c>
      <c r="C111">
        <v>800</v>
      </c>
    </row>
    <row r="112" spans="1:31" ht="18" customHeight="1">
      <c r="B112">
        <v>1300</v>
      </c>
      <c r="C112">
        <v>700</v>
      </c>
    </row>
    <row r="113" spans="1:31" ht="18" customHeight="1">
      <c r="B113">
        <v>1400</v>
      </c>
      <c r="C113">
        <v>600</v>
      </c>
      <c r="E113">
        <v>8.2636000000000003</v>
      </c>
      <c r="F113">
        <v>6.7308000000000003</v>
      </c>
      <c r="G113">
        <v>13.3127</v>
      </c>
      <c r="I113">
        <v>8.2636000000000003</v>
      </c>
      <c r="J113">
        <v>6.7308000000000003</v>
      </c>
      <c r="K113">
        <v>13.3127</v>
      </c>
      <c r="M113">
        <v>5.0831</v>
      </c>
      <c r="N113">
        <v>2.8321000000000001</v>
      </c>
      <c r="O113">
        <v>16.535499999999999</v>
      </c>
      <c r="Q113">
        <v>8.0188000000000006</v>
      </c>
      <c r="R113">
        <v>6.7816999999999998</v>
      </c>
      <c r="S113">
        <v>11.8142</v>
      </c>
      <c r="U113">
        <v>5.0831</v>
      </c>
      <c r="V113">
        <v>2.8321000000000001</v>
      </c>
      <c r="W113">
        <v>16.535499999999999</v>
      </c>
      <c r="Y113">
        <v>5.0831</v>
      </c>
      <c r="Z113">
        <v>2.8321000000000001</v>
      </c>
      <c r="AA113">
        <v>16.535499999999999</v>
      </c>
      <c r="AC113">
        <v>8.2636000000000003</v>
      </c>
      <c r="AD113">
        <v>6.7308000000000003</v>
      </c>
      <c r="AE113">
        <v>13.3127</v>
      </c>
    </row>
    <row r="114" spans="1:31" ht="18" customHeight="1">
      <c r="B114">
        <v>1500</v>
      </c>
      <c r="C114">
        <v>500</v>
      </c>
    </row>
    <row r="115" spans="1:31" ht="18" customHeight="1"/>
    <row r="116" spans="1:31" ht="18" customHeight="1">
      <c r="B116">
        <v>1200</v>
      </c>
      <c r="C116">
        <v>1200</v>
      </c>
      <c r="E116">
        <v>7.9664000000000001</v>
      </c>
      <c r="F116">
        <v>6.0174000000000003</v>
      </c>
      <c r="G116">
        <v>10.932399999999999</v>
      </c>
      <c r="I116">
        <v>7.5777999999999999</v>
      </c>
      <c r="J116">
        <v>5.3217999999999996</v>
      </c>
      <c r="K116">
        <v>10.9534</v>
      </c>
      <c r="M116">
        <v>6.3285999999999998</v>
      </c>
      <c r="N116">
        <v>2.1153</v>
      </c>
      <c r="O116">
        <v>16.601299999999998</v>
      </c>
      <c r="Q116">
        <v>7.9917999999999996</v>
      </c>
      <c r="R116">
        <v>7.0357000000000003</v>
      </c>
      <c r="S116">
        <v>9.1212999999999997</v>
      </c>
      <c r="U116">
        <v>6.3285999999999998</v>
      </c>
      <c r="V116">
        <v>2.1153</v>
      </c>
      <c r="W116">
        <v>16.601299999999998</v>
      </c>
      <c r="Y116">
        <v>6.3285999999999998</v>
      </c>
      <c r="Z116">
        <v>2.1153</v>
      </c>
      <c r="AA116">
        <v>16.601299999999998</v>
      </c>
      <c r="AC116">
        <v>7.9664000000000001</v>
      </c>
      <c r="AD116">
        <v>6.0174000000000003</v>
      </c>
      <c r="AE116">
        <v>10.932399999999999</v>
      </c>
    </row>
    <row r="117" spans="1:31" ht="18" customHeight="1"/>
    <row r="118" spans="1:31" ht="18" customHeight="1">
      <c r="B118">
        <v>500</v>
      </c>
      <c r="C118">
        <v>1500</v>
      </c>
    </row>
    <row r="119" spans="1:31" ht="18" customHeight="1">
      <c r="A119" t="s">
        <v>20</v>
      </c>
      <c r="B119">
        <v>600</v>
      </c>
      <c r="C119">
        <v>1400</v>
      </c>
      <c r="E119">
        <v>8.8011999999999997</v>
      </c>
      <c r="F119">
        <v>3.7930999999999999</v>
      </c>
      <c r="G119">
        <v>13.501200000000001</v>
      </c>
      <c r="I119">
        <v>8.0566999999999993</v>
      </c>
      <c r="J119">
        <v>4.6940999999999997</v>
      </c>
      <c r="K119">
        <v>11.118499999999999</v>
      </c>
      <c r="M119">
        <v>8.1138999999999992</v>
      </c>
      <c r="N119">
        <v>1.7887999999999999</v>
      </c>
      <c r="O119">
        <v>16.670000000000002</v>
      </c>
      <c r="Q119">
        <v>7.1830999999999996</v>
      </c>
      <c r="R119">
        <v>9.6773000000000007</v>
      </c>
      <c r="S119">
        <v>6.2439</v>
      </c>
      <c r="U119">
        <v>8.1138999999999992</v>
      </c>
      <c r="V119">
        <v>1.7887999999999999</v>
      </c>
      <c r="W119">
        <v>16.670000000000002</v>
      </c>
      <c r="Y119">
        <v>8.1138999999999992</v>
      </c>
      <c r="Z119">
        <v>1.7887999999999999</v>
      </c>
      <c r="AA119">
        <v>16.670000000000002</v>
      </c>
      <c r="AC119">
        <v>7.8417000000000003</v>
      </c>
      <c r="AD119">
        <v>4.4623999999999997</v>
      </c>
      <c r="AE119">
        <v>11.221</v>
      </c>
    </row>
    <row r="120" spans="1:31" ht="18" customHeight="1">
      <c r="B120">
        <v>700</v>
      </c>
      <c r="C120">
        <v>1300</v>
      </c>
    </row>
    <row r="121" spans="1:31" ht="18" customHeight="1">
      <c r="B121">
        <v>800</v>
      </c>
      <c r="C121">
        <v>1200</v>
      </c>
    </row>
    <row r="122" spans="1:31" ht="18" customHeight="1">
      <c r="B122">
        <v>900</v>
      </c>
      <c r="C122">
        <v>1100</v>
      </c>
    </row>
    <row r="123" spans="1:31" ht="18" customHeight="1">
      <c r="B123">
        <v>1000</v>
      </c>
      <c r="C123">
        <v>1000</v>
      </c>
      <c r="E123">
        <v>8.7050999999999998</v>
      </c>
      <c r="F123">
        <v>6.5791000000000004</v>
      </c>
      <c r="G123">
        <v>12.175800000000001</v>
      </c>
      <c r="I123">
        <v>9.0388999999999999</v>
      </c>
      <c r="J123">
        <v>7.3849</v>
      </c>
      <c r="K123">
        <v>11.443099999999999</v>
      </c>
      <c r="M123">
        <v>4.9579000000000004</v>
      </c>
      <c r="N123">
        <v>1.4749000000000001</v>
      </c>
      <c r="O123">
        <v>16.6188</v>
      </c>
      <c r="Q123">
        <v>8.9489999999999998</v>
      </c>
      <c r="R123">
        <v>8.3742000000000001</v>
      </c>
      <c r="S123">
        <v>9.6248000000000005</v>
      </c>
      <c r="U123">
        <v>4.9579000000000004</v>
      </c>
      <c r="V123">
        <v>1.4749000000000001</v>
      </c>
      <c r="W123">
        <v>16.6188</v>
      </c>
      <c r="Y123">
        <v>4.9579000000000004</v>
      </c>
      <c r="Z123">
        <v>1.4749000000000001</v>
      </c>
      <c r="AA123">
        <v>16.6188</v>
      </c>
      <c r="AC123">
        <v>8.7050999999999998</v>
      </c>
      <c r="AD123">
        <v>6.5791000000000004</v>
      </c>
      <c r="AE123">
        <v>12.175800000000001</v>
      </c>
    </row>
    <row r="124" spans="1:31" ht="18" customHeight="1">
      <c r="B124">
        <v>1100</v>
      </c>
      <c r="C124">
        <v>900</v>
      </c>
    </row>
    <row r="125" spans="1:31" ht="18" customHeight="1">
      <c r="B125">
        <v>1200</v>
      </c>
      <c r="C125">
        <v>800</v>
      </c>
    </row>
    <row r="126" spans="1:31" ht="18" customHeight="1">
      <c r="B126">
        <v>1300</v>
      </c>
      <c r="C126">
        <v>700</v>
      </c>
    </row>
    <row r="127" spans="1:31" ht="18" customHeight="1">
      <c r="B127">
        <v>1400</v>
      </c>
      <c r="C127">
        <v>600</v>
      </c>
      <c r="E127">
        <v>7.4012000000000002</v>
      </c>
      <c r="F127">
        <v>5.9942000000000002</v>
      </c>
      <c r="G127">
        <v>13.8825</v>
      </c>
      <c r="I127">
        <v>7.4012000000000002</v>
      </c>
      <c r="J127">
        <v>5.9942000000000002</v>
      </c>
      <c r="K127">
        <v>13.8825</v>
      </c>
      <c r="M127">
        <v>5.0831</v>
      </c>
      <c r="N127">
        <v>1.6898</v>
      </c>
      <c r="O127">
        <v>16.491499999999998</v>
      </c>
      <c r="Q127">
        <v>6.9618000000000002</v>
      </c>
      <c r="R127">
        <v>5.5514999999999999</v>
      </c>
      <c r="S127">
        <v>13.522399999999999</v>
      </c>
      <c r="U127">
        <v>3.4828999999999999</v>
      </c>
      <c r="V127">
        <v>1.6898</v>
      </c>
      <c r="W127">
        <v>16.491499999999998</v>
      </c>
      <c r="Y127">
        <v>3.4828999999999999</v>
      </c>
      <c r="Z127">
        <v>1.6898</v>
      </c>
      <c r="AA127">
        <v>16.491499999999998</v>
      </c>
      <c r="AC127">
        <v>7.4012000000000002</v>
      </c>
      <c r="AD127">
        <v>5.9942000000000002</v>
      </c>
      <c r="AE127">
        <v>13.8825</v>
      </c>
    </row>
    <row r="128" spans="1:31" ht="18" customHeight="1">
      <c r="B128">
        <v>1500</v>
      </c>
      <c r="C128">
        <v>500</v>
      </c>
    </row>
    <row r="129" spans="1:31" ht="18" customHeight="1"/>
    <row r="130" spans="1:31" ht="18" customHeight="1">
      <c r="B130">
        <v>1200</v>
      </c>
      <c r="C130">
        <v>1200</v>
      </c>
      <c r="E130">
        <v>7.0457000000000001</v>
      </c>
      <c r="F130">
        <v>5.3728999999999996</v>
      </c>
      <c r="G130">
        <v>9.6935000000000002</v>
      </c>
      <c r="I130">
        <v>6.6132</v>
      </c>
      <c r="J130">
        <v>4.2023999999999999</v>
      </c>
      <c r="K130">
        <v>10.4491</v>
      </c>
      <c r="M130">
        <v>4.9123000000000001</v>
      </c>
      <c r="N130">
        <v>0.9637</v>
      </c>
      <c r="O130">
        <v>16.620200000000001</v>
      </c>
      <c r="Q130">
        <v>7.0042999999999997</v>
      </c>
      <c r="R130">
        <v>5.6891999999999996</v>
      </c>
      <c r="S130">
        <v>8.6209000000000007</v>
      </c>
      <c r="U130">
        <v>4.9123000000000001</v>
      </c>
      <c r="V130">
        <v>0.9637</v>
      </c>
      <c r="W130">
        <v>16.620200000000001</v>
      </c>
      <c r="Y130">
        <v>4.9123000000000001</v>
      </c>
      <c r="Z130">
        <v>0.9637</v>
      </c>
      <c r="AA130">
        <v>16.620200000000001</v>
      </c>
      <c r="AC130">
        <v>7.0457000000000001</v>
      </c>
      <c r="AD130">
        <v>5.3728999999999996</v>
      </c>
      <c r="AE130">
        <v>9.6935000000000002</v>
      </c>
    </row>
    <row r="131" spans="1:31" s="2" customFormat="1"/>
    <row r="134" spans="1:31">
      <c r="A134" t="s">
        <v>14</v>
      </c>
      <c r="B134">
        <v>600</v>
      </c>
      <c r="C134">
        <v>1400</v>
      </c>
      <c r="E134">
        <v>14.0039</v>
      </c>
      <c r="F134">
        <v>10.4725</v>
      </c>
      <c r="G134">
        <v>16.023199999999999</v>
      </c>
      <c r="I134">
        <v>13.991899999999999</v>
      </c>
      <c r="J134">
        <v>10.549200000000001</v>
      </c>
      <c r="K134">
        <v>15.9604</v>
      </c>
      <c r="M134">
        <v>13.1418</v>
      </c>
      <c r="N134">
        <v>8.3719000000000001</v>
      </c>
      <c r="O134">
        <v>16.453099999999999</v>
      </c>
      <c r="Q134">
        <v>10.992900000000001</v>
      </c>
      <c r="R134">
        <v>11.8758</v>
      </c>
      <c r="S134">
        <v>10.6044</v>
      </c>
      <c r="U134">
        <v>11.696899999999999</v>
      </c>
      <c r="V134">
        <v>5.7934000000000001</v>
      </c>
      <c r="W134">
        <v>16.670000000000002</v>
      </c>
      <c r="Y134">
        <v>14.0313</v>
      </c>
      <c r="Z134">
        <v>11.045299999999999</v>
      </c>
      <c r="AA134">
        <v>15.6654</v>
      </c>
      <c r="AC134">
        <v>13.9849</v>
      </c>
      <c r="AD134">
        <v>10.4703</v>
      </c>
      <c r="AE134">
        <v>15.991300000000001</v>
      </c>
    </row>
    <row r="135" spans="1:31">
      <c r="A135" t="s">
        <v>52</v>
      </c>
    </row>
    <row r="136" spans="1:31">
      <c r="A136" t="s">
        <v>16</v>
      </c>
      <c r="B136">
        <v>1000</v>
      </c>
      <c r="C136">
        <v>1000</v>
      </c>
      <c r="E136">
        <v>13.6632</v>
      </c>
      <c r="F136">
        <v>12.121499999999999</v>
      </c>
      <c r="G136">
        <v>15.6935</v>
      </c>
      <c r="I136">
        <v>13.6632</v>
      </c>
      <c r="J136">
        <v>12.121499999999999</v>
      </c>
      <c r="K136">
        <v>15.6935</v>
      </c>
      <c r="M136">
        <v>13.7836</v>
      </c>
      <c r="N136">
        <v>11.6869</v>
      </c>
      <c r="O136">
        <v>16.542100000000001</v>
      </c>
      <c r="Q136">
        <v>9.6712000000000007</v>
      </c>
      <c r="R136">
        <v>8.7364999999999995</v>
      </c>
      <c r="S136">
        <v>10.742900000000001</v>
      </c>
      <c r="U136">
        <v>13.8124</v>
      </c>
      <c r="V136">
        <v>11.6426</v>
      </c>
      <c r="W136">
        <v>16.670000000000002</v>
      </c>
      <c r="Y136">
        <v>13.7995</v>
      </c>
      <c r="Z136">
        <v>11.7113</v>
      </c>
      <c r="AA136">
        <v>16.548400000000001</v>
      </c>
      <c r="AC136">
        <v>13.740500000000001</v>
      </c>
      <c r="AD136">
        <v>11.967499999999999</v>
      </c>
      <c r="AE136">
        <v>16.075199999999999</v>
      </c>
    </row>
    <row r="137" spans="1:31">
      <c r="A137" t="s">
        <v>17</v>
      </c>
    </row>
    <row r="138" spans="1:31">
      <c r="B138">
        <v>1400</v>
      </c>
      <c r="C138">
        <v>600</v>
      </c>
      <c r="E138">
        <v>9.3390000000000004</v>
      </c>
      <c r="F138">
        <v>8.0059000000000005</v>
      </c>
      <c r="G138">
        <v>12.8819</v>
      </c>
      <c r="I138">
        <v>9.7868999999999993</v>
      </c>
      <c r="J138">
        <v>9.0103000000000009</v>
      </c>
      <c r="K138">
        <v>11.6815</v>
      </c>
      <c r="M138">
        <v>12.375500000000001</v>
      </c>
      <c r="N138">
        <v>11.1404</v>
      </c>
      <c r="O138">
        <v>15.9145</v>
      </c>
      <c r="Q138">
        <v>10.4238</v>
      </c>
      <c r="R138">
        <v>9.2173999999999996</v>
      </c>
      <c r="S138">
        <v>13.7088</v>
      </c>
      <c r="U138">
        <v>10.212</v>
      </c>
      <c r="V138">
        <v>8.2188999999999997</v>
      </c>
      <c r="W138">
        <v>16.654599999999999</v>
      </c>
      <c r="Y138">
        <v>9.6837999999999997</v>
      </c>
      <c r="Z138">
        <v>7.9878999999999998</v>
      </c>
      <c r="AA138">
        <v>15.0427</v>
      </c>
      <c r="AC138">
        <v>8.8452999999999999</v>
      </c>
      <c r="AD138">
        <v>7.7877000000000001</v>
      </c>
      <c r="AE138">
        <v>11.1571</v>
      </c>
    </row>
    <row r="140" spans="1:31">
      <c r="B140">
        <v>1200</v>
      </c>
      <c r="C140">
        <v>1200</v>
      </c>
      <c r="E140">
        <v>10.9678</v>
      </c>
      <c r="F140">
        <v>8.8945000000000007</v>
      </c>
      <c r="G140">
        <v>13.888500000000001</v>
      </c>
      <c r="I140">
        <v>10.9678</v>
      </c>
      <c r="J140">
        <v>8.8945000000000007</v>
      </c>
      <c r="K140">
        <v>13.888500000000001</v>
      </c>
      <c r="M140">
        <v>11.1715</v>
      </c>
      <c r="N140">
        <v>7.9324000000000003</v>
      </c>
      <c r="O140">
        <v>16.366599999999998</v>
      </c>
      <c r="Q140">
        <v>9.0915999999999997</v>
      </c>
      <c r="R140">
        <v>7.5868000000000002</v>
      </c>
      <c r="S140">
        <v>10.999499999999999</v>
      </c>
      <c r="U140">
        <v>9.6468000000000007</v>
      </c>
      <c r="V140">
        <v>5.8010000000000002</v>
      </c>
      <c r="W140">
        <v>16.670000000000002</v>
      </c>
      <c r="Y140">
        <v>10.9802</v>
      </c>
      <c r="Z140">
        <v>7.6626000000000003</v>
      </c>
      <c r="AA140">
        <v>16.265699999999999</v>
      </c>
      <c r="AC140">
        <v>9.8341999999999992</v>
      </c>
      <c r="AD140">
        <v>7.8448000000000002</v>
      </c>
      <c r="AE140">
        <v>12.6539</v>
      </c>
    </row>
    <row r="143" spans="1:31">
      <c r="A143" t="s">
        <v>18</v>
      </c>
      <c r="B143">
        <v>600</v>
      </c>
      <c r="C143">
        <v>1400</v>
      </c>
      <c r="E143">
        <v>13.5764</v>
      </c>
      <c r="F143">
        <v>9.3613999999999997</v>
      </c>
      <c r="G143">
        <v>16.069600000000001</v>
      </c>
      <c r="I143">
        <v>13.561400000000001</v>
      </c>
      <c r="J143">
        <v>9.4556000000000004</v>
      </c>
      <c r="K143">
        <v>15.99</v>
      </c>
      <c r="M143">
        <v>12.4902</v>
      </c>
      <c r="N143">
        <v>7.1547999999999998</v>
      </c>
      <c r="O143">
        <v>16.484999999999999</v>
      </c>
      <c r="Q143">
        <v>10.004899999999999</v>
      </c>
      <c r="R143">
        <v>11.059200000000001</v>
      </c>
      <c r="S143">
        <v>9.5533999999999999</v>
      </c>
      <c r="U143">
        <v>10.8619</v>
      </c>
      <c r="V143">
        <v>4.6771000000000003</v>
      </c>
      <c r="W143">
        <v>16.670000000000002</v>
      </c>
      <c r="Y143">
        <v>13.5693</v>
      </c>
      <c r="Z143">
        <v>10.1402</v>
      </c>
      <c r="AA143">
        <v>15.4895</v>
      </c>
      <c r="AC143">
        <v>13.5534</v>
      </c>
      <c r="AD143">
        <v>9.3594000000000008</v>
      </c>
      <c r="AE143">
        <v>16.0291</v>
      </c>
    </row>
    <row r="145" spans="1:31">
      <c r="B145">
        <v>1000</v>
      </c>
      <c r="C145">
        <v>1000</v>
      </c>
      <c r="E145">
        <v>12.932600000000001</v>
      </c>
      <c r="F145">
        <v>11.1538</v>
      </c>
      <c r="G145">
        <v>15.3969</v>
      </c>
      <c r="I145">
        <v>12.932600000000001</v>
      </c>
      <c r="J145">
        <v>11.1538</v>
      </c>
      <c r="K145">
        <v>15.3969</v>
      </c>
      <c r="M145">
        <v>13.0869</v>
      </c>
      <c r="N145">
        <v>10.617100000000001</v>
      </c>
      <c r="O145">
        <v>16.503399999999999</v>
      </c>
      <c r="Q145">
        <v>8.3169000000000004</v>
      </c>
      <c r="R145">
        <v>7.2835000000000001</v>
      </c>
      <c r="S145">
        <v>9.5134000000000007</v>
      </c>
      <c r="U145">
        <v>13.1212</v>
      </c>
      <c r="V145">
        <v>10.5595</v>
      </c>
      <c r="W145">
        <v>16.670000000000002</v>
      </c>
      <c r="Y145">
        <v>13.105</v>
      </c>
      <c r="Z145">
        <v>10.6447</v>
      </c>
      <c r="AA145">
        <v>16.511500000000002</v>
      </c>
      <c r="AC145">
        <v>13.0305</v>
      </c>
      <c r="AD145">
        <v>10.9627</v>
      </c>
      <c r="AE145">
        <v>15.894500000000001</v>
      </c>
    </row>
    <row r="147" spans="1:31">
      <c r="B147">
        <v>1400</v>
      </c>
      <c r="C147">
        <v>600</v>
      </c>
      <c r="E147">
        <v>8.2080000000000002</v>
      </c>
      <c r="F147">
        <v>6.7859999999999996</v>
      </c>
      <c r="G147">
        <v>12.324199999999999</v>
      </c>
      <c r="I147">
        <v>8.7380999999999993</v>
      </c>
      <c r="J147">
        <v>7.9307999999999996</v>
      </c>
      <c r="K147">
        <v>10.839399999999999</v>
      </c>
      <c r="M147">
        <v>11.57</v>
      </c>
      <c r="N147">
        <v>10.269399999999999</v>
      </c>
      <c r="O147">
        <v>15.7994</v>
      </c>
      <c r="Q147">
        <v>9.2050000000000001</v>
      </c>
      <c r="R147">
        <v>7.9739000000000004</v>
      </c>
      <c r="S147">
        <v>12.914099999999999</v>
      </c>
      <c r="U147">
        <v>9.0205000000000002</v>
      </c>
      <c r="V147">
        <v>7.0058999999999996</v>
      </c>
      <c r="W147">
        <v>16.648499999999999</v>
      </c>
      <c r="Y147">
        <v>8.6082999999999998</v>
      </c>
      <c r="Z147">
        <v>6.8045999999999998</v>
      </c>
      <c r="AA147">
        <v>15.1334</v>
      </c>
      <c r="AC147">
        <v>7.6387999999999998</v>
      </c>
      <c r="AD147">
        <v>6.4682000000000004</v>
      </c>
      <c r="AE147">
        <v>10.296900000000001</v>
      </c>
    </row>
    <row r="149" spans="1:31">
      <c r="B149">
        <v>1200</v>
      </c>
      <c r="C149">
        <v>1200</v>
      </c>
      <c r="E149">
        <v>9.9917999999999996</v>
      </c>
      <c r="F149">
        <v>7.7786999999999997</v>
      </c>
      <c r="G149">
        <v>13.196099999999999</v>
      </c>
      <c r="I149">
        <v>9.9917999999999996</v>
      </c>
      <c r="J149">
        <v>7.7786999999999997</v>
      </c>
      <c r="K149">
        <v>13.196099999999999</v>
      </c>
      <c r="M149">
        <v>10.2315</v>
      </c>
      <c r="N149">
        <v>6.6821000000000002</v>
      </c>
      <c r="O149">
        <v>16.280999999999999</v>
      </c>
      <c r="Q149">
        <v>8.0260999999999996</v>
      </c>
      <c r="R149">
        <v>6.4871999999999996</v>
      </c>
      <c r="S149">
        <v>9.9817999999999998</v>
      </c>
      <c r="U149">
        <v>8.4446999999999992</v>
      </c>
      <c r="V149">
        <v>4.3196000000000003</v>
      </c>
      <c r="W149">
        <v>16.670000000000002</v>
      </c>
      <c r="Y149">
        <v>10.012</v>
      </c>
      <c r="Z149">
        <v>6.3719999999999999</v>
      </c>
      <c r="AA149">
        <v>16.163</v>
      </c>
      <c r="AC149">
        <v>8.7025000000000006</v>
      </c>
      <c r="AD149">
        <v>6.6252000000000004</v>
      </c>
      <c r="AE149">
        <v>11.726000000000001</v>
      </c>
    </row>
    <row r="152" spans="1:31">
      <c r="A152" t="s">
        <v>20</v>
      </c>
      <c r="B152">
        <v>600</v>
      </c>
      <c r="C152">
        <v>1400</v>
      </c>
      <c r="E152">
        <v>12.463699999999999</v>
      </c>
      <c r="F152">
        <v>6.4555999999999996</v>
      </c>
      <c r="G152">
        <v>16.401</v>
      </c>
      <c r="I152">
        <v>12.4339</v>
      </c>
      <c r="J152">
        <v>6.6307999999999998</v>
      </c>
      <c r="K152">
        <v>16.236899999999999</v>
      </c>
      <c r="M152">
        <v>11.01</v>
      </c>
      <c r="N152">
        <v>4.7066999999999997</v>
      </c>
      <c r="O152">
        <v>16.538900000000002</v>
      </c>
      <c r="Q152">
        <v>8.2127999999999997</v>
      </c>
      <c r="R152">
        <v>10.095599999999999</v>
      </c>
      <c r="S152">
        <v>7.4992000000000001</v>
      </c>
      <c r="U152">
        <v>9.0867000000000004</v>
      </c>
      <c r="V152">
        <v>2.4348000000000001</v>
      </c>
      <c r="W152">
        <v>16.670000000000002</v>
      </c>
      <c r="Y152">
        <v>12.604200000000001</v>
      </c>
      <c r="Z152">
        <v>7.7422000000000004</v>
      </c>
      <c r="AA152">
        <v>15.248799999999999</v>
      </c>
      <c r="AC152">
        <v>12.4176</v>
      </c>
      <c r="AD152">
        <v>6.4557000000000002</v>
      </c>
      <c r="AE152">
        <v>16.307500000000001</v>
      </c>
    </row>
    <row r="154" spans="1:31">
      <c r="B154">
        <v>1000</v>
      </c>
      <c r="C154">
        <v>1000</v>
      </c>
      <c r="E154">
        <v>11.222899999999999</v>
      </c>
      <c r="F154">
        <v>9.5625</v>
      </c>
      <c r="G154">
        <v>14.0571</v>
      </c>
      <c r="I154">
        <v>11.222899999999999</v>
      </c>
      <c r="J154">
        <v>9.5625</v>
      </c>
      <c r="K154">
        <v>14.0571</v>
      </c>
      <c r="M154">
        <v>11.511699999999999</v>
      </c>
      <c r="N154">
        <v>8.6780000000000008</v>
      </c>
      <c r="O154">
        <v>16.330200000000001</v>
      </c>
      <c r="Q154">
        <v>6.3198999999999996</v>
      </c>
      <c r="R154">
        <v>5.2267999999999999</v>
      </c>
      <c r="S154">
        <v>7.6368</v>
      </c>
      <c r="U154">
        <v>11.551399999999999</v>
      </c>
      <c r="V154">
        <v>8.5495999999999999</v>
      </c>
      <c r="W154">
        <v>16.670000000000002</v>
      </c>
      <c r="Y154">
        <v>11.536300000000001</v>
      </c>
      <c r="Z154">
        <v>8.7161000000000008</v>
      </c>
      <c r="AA154">
        <v>16.345700000000001</v>
      </c>
      <c r="AC154">
        <v>11.399800000000001</v>
      </c>
      <c r="AD154">
        <v>9.2434999999999992</v>
      </c>
      <c r="AE154">
        <v>15.0791</v>
      </c>
    </row>
    <row r="156" spans="1:31">
      <c r="B156">
        <v>1400</v>
      </c>
      <c r="C156">
        <v>600</v>
      </c>
      <c r="E156">
        <v>6.4463999999999997</v>
      </c>
      <c r="F156">
        <v>4.9511000000000003</v>
      </c>
      <c r="G156">
        <v>12.774100000000001</v>
      </c>
      <c r="I156">
        <v>7.3147000000000002</v>
      </c>
      <c r="J156">
        <v>6.4831000000000003</v>
      </c>
      <c r="K156">
        <v>10.5176</v>
      </c>
      <c r="M156">
        <v>10.6251</v>
      </c>
      <c r="N156">
        <v>9.4237000000000002</v>
      </c>
      <c r="O156">
        <v>16.137599999999999</v>
      </c>
      <c r="Q156">
        <v>7.2862999999999998</v>
      </c>
      <c r="R156">
        <v>6.2203999999999997</v>
      </c>
      <c r="S156">
        <v>12.247299999999999</v>
      </c>
      <c r="U156">
        <v>7.3234000000000004</v>
      </c>
      <c r="V156">
        <v>5.6086999999999998</v>
      </c>
      <c r="W156">
        <v>16.616900000000001</v>
      </c>
      <c r="Y156">
        <v>7.2138</v>
      </c>
      <c r="Z156">
        <v>5.7199</v>
      </c>
      <c r="AA156">
        <v>16.485199999999999</v>
      </c>
      <c r="AC156">
        <v>5.7895000000000003</v>
      </c>
      <c r="AD156">
        <v>4.0225999999999997</v>
      </c>
      <c r="AE156">
        <v>10.5861</v>
      </c>
    </row>
    <row r="158" spans="1:31">
      <c r="B158">
        <v>1200</v>
      </c>
      <c r="C158">
        <v>1200</v>
      </c>
      <c r="E158">
        <v>8.5151000000000003</v>
      </c>
      <c r="F158">
        <v>6.7072000000000003</v>
      </c>
      <c r="G158">
        <v>11.3896</v>
      </c>
      <c r="I158">
        <v>8.5151000000000003</v>
      </c>
      <c r="J158">
        <v>6.7072000000000003</v>
      </c>
      <c r="K158">
        <v>11.3896</v>
      </c>
      <c r="M158">
        <v>8.7941000000000003</v>
      </c>
      <c r="N158">
        <v>5.0833000000000004</v>
      </c>
      <c r="O158">
        <v>16.453299999999999</v>
      </c>
      <c r="Q158">
        <v>7.1896000000000004</v>
      </c>
      <c r="R158">
        <v>5.1990999999999996</v>
      </c>
      <c r="S158">
        <v>9.9019999999999992</v>
      </c>
      <c r="U158">
        <v>6.3956999999999997</v>
      </c>
      <c r="V158">
        <v>2.3723000000000001</v>
      </c>
      <c r="W158">
        <v>16.670000000000002</v>
      </c>
      <c r="Y158">
        <v>8.2644000000000002</v>
      </c>
      <c r="Z158">
        <v>4.2712000000000003</v>
      </c>
      <c r="AA158">
        <v>16.518799999999999</v>
      </c>
      <c r="AC158">
        <v>7.3305999999999996</v>
      </c>
      <c r="AD158">
        <v>5.3841999999999999</v>
      </c>
      <c r="AE158">
        <v>10.494899999999999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BD244-66EA-4144-95B6-F429B66A6B04}">
  <dimension ref="A2:AE158"/>
  <sheetViews>
    <sheetView workbookViewId="0">
      <pane xSplit="3" ySplit="3" topLeftCell="D22" activePane="bottomRight" state="frozen"/>
      <selection pane="topRight" activeCell="D1" sqref="D1"/>
      <selection pane="bottomLeft" activeCell="A4" sqref="A4"/>
      <selection pane="bottomRight" activeCell="AC159" sqref="AC159"/>
    </sheetView>
  </sheetViews>
  <sheetFormatPr baseColWidth="10" defaultRowHeight="20"/>
  <cols>
    <col min="4" max="4" width="3" customWidth="1"/>
    <col min="5" max="7" width="9.85546875" customWidth="1"/>
    <col min="8" max="8" width="3.140625" customWidth="1"/>
    <col min="9" max="11" width="10" customWidth="1"/>
    <col min="12" max="12" width="3.140625" customWidth="1"/>
    <col min="13" max="15" width="9.85546875" customWidth="1"/>
    <col min="16" max="16" width="3.140625" customWidth="1"/>
    <col min="17" max="19" width="10" customWidth="1"/>
    <col min="20" max="20" width="3.140625" customWidth="1"/>
    <col min="21" max="23" width="9.85546875" customWidth="1"/>
    <col min="24" max="24" width="3.5703125" customWidth="1"/>
    <col min="25" max="27" width="10" customWidth="1"/>
  </cols>
  <sheetData>
    <row r="2" spans="1:27">
      <c r="B2" t="s">
        <v>0</v>
      </c>
      <c r="C2" t="s">
        <v>1</v>
      </c>
      <c r="E2" t="s">
        <v>3</v>
      </c>
      <c r="F2" t="s">
        <v>4</v>
      </c>
      <c r="I2" t="s">
        <v>3</v>
      </c>
      <c r="J2" t="s">
        <v>8</v>
      </c>
      <c r="M2" t="s">
        <v>9</v>
      </c>
      <c r="Q2" t="s">
        <v>11</v>
      </c>
      <c r="U2" t="s">
        <v>12</v>
      </c>
      <c r="Y2" t="s">
        <v>13</v>
      </c>
    </row>
    <row r="3" spans="1:27">
      <c r="B3" t="s">
        <v>2</v>
      </c>
      <c r="C3" t="s">
        <v>2</v>
      </c>
      <c r="E3" s="1" t="s">
        <v>5</v>
      </c>
      <c r="F3" s="1" t="s">
        <v>6</v>
      </c>
      <c r="G3" s="1" t="s">
        <v>7</v>
      </c>
      <c r="I3" s="1" t="s">
        <v>5</v>
      </c>
      <c r="J3" s="1" t="s">
        <v>6</v>
      </c>
      <c r="K3" s="1" t="s">
        <v>7</v>
      </c>
      <c r="M3" s="1" t="s">
        <v>10</v>
      </c>
      <c r="N3" s="1" t="s">
        <v>6</v>
      </c>
      <c r="O3" s="1" t="s">
        <v>7</v>
      </c>
      <c r="Q3" s="1" t="s">
        <v>10</v>
      </c>
      <c r="R3" s="1" t="s">
        <v>6</v>
      </c>
      <c r="S3" s="1" t="s">
        <v>7</v>
      </c>
      <c r="U3" s="1" t="s">
        <v>10</v>
      </c>
      <c r="V3" s="1" t="s">
        <v>6</v>
      </c>
      <c r="W3" s="1" t="s">
        <v>7</v>
      </c>
      <c r="Y3" s="1" t="s">
        <v>10</v>
      </c>
      <c r="Z3" s="1" t="s">
        <v>6</v>
      </c>
      <c r="AA3" s="1" t="s">
        <v>7</v>
      </c>
    </row>
    <row r="4" spans="1:27" ht="18" customHeight="1"/>
    <row r="5" spans="1:27" ht="18" customHeight="1">
      <c r="A5" t="s">
        <v>14</v>
      </c>
      <c r="B5">
        <v>500</v>
      </c>
      <c r="C5">
        <v>1500</v>
      </c>
    </row>
    <row r="6" spans="1:27" ht="18" customHeight="1">
      <c r="A6" t="s">
        <v>15</v>
      </c>
      <c r="B6">
        <v>600</v>
      </c>
      <c r="C6">
        <v>1400</v>
      </c>
      <c r="E6">
        <v>12.229799999999999</v>
      </c>
      <c r="F6">
        <v>8.2745999999999995</v>
      </c>
      <c r="G6">
        <v>14.7645</v>
      </c>
      <c r="I6">
        <v>12.229699999999999</v>
      </c>
      <c r="J6">
        <v>8.4412000000000003</v>
      </c>
      <c r="K6">
        <v>14.6523</v>
      </c>
      <c r="M6">
        <v>12.152799999999999</v>
      </c>
      <c r="N6">
        <v>7.0339999999999998</v>
      </c>
      <c r="O6">
        <v>16.3523</v>
      </c>
      <c r="Q6">
        <v>10.747299999999999</v>
      </c>
      <c r="R6">
        <v>12.8081</v>
      </c>
      <c r="S6">
        <v>9.9479000000000006</v>
      </c>
      <c r="U6">
        <v>10.985099999999999</v>
      </c>
      <c r="V6">
        <v>5.0583</v>
      </c>
      <c r="W6">
        <v>16.670000000000002</v>
      </c>
      <c r="Y6">
        <v>13.507199999999999</v>
      </c>
      <c r="Z6">
        <v>9.4377999999999993</v>
      </c>
      <c r="AA6">
        <v>16.201599999999999</v>
      </c>
    </row>
    <row r="7" spans="1:27" ht="18" customHeight="1">
      <c r="A7" t="s">
        <v>16</v>
      </c>
      <c r="B7">
        <v>700</v>
      </c>
      <c r="C7">
        <v>1300</v>
      </c>
    </row>
    <row r="8" spans="1:27" ht="18" customHeight="1">
      <c r="A8" t="s">
        <v>17</v>
      </c>
      <c r="B8">
        <v>800</v>
      </c>
      <c r="C8">
        <v>1200</v>
      </c>
      <c r="E8">
        <v>11.2441</v>
      </c>
      <c r="F8">
        <v>10.07</v>
      </c>
      <c r="G8">
        <v>12.207000000000001</v>
      </c>
      <c r="I8">
        <v>11.2287</v>
      </c>
      <c r="J8">
        <v>10.0524</v>
      </c>
      <c r="K8">
        <v>12.193</v>
      </c>
      <c r="M8">
        <v>11.4893</v>
      </c>
      <c r="N8">
        <v>7.5012999999999996</v>
      </c>
      <c r="O8">
        <v>16.4496</v>
      </c>
      <c r="Q8">
        <v>10.9131</v>
      </c>
      <c r="R8">
        <v>14.360799999999999</v>
      </c>
      <c r="S8">
        <v>9.0648</v>
      </c>
      <c r="U8">
        <v>11.0078</v>
      </c>
      <c r="V8">
        <v>6.5945</v>
      </c>
      <c r="W8">
        <v>16.670000000000002</v>
      </c>
      <c r="Y8">
        <v>13.565300000000001</v>
      </c>
      <c r="Z8">
        <v>10.8642</v>
      </c>
      <c r="AA8">
        <v>16.161799999999999</v>
      </c>
    </row>
    <row r="9" spans="1:27" ht="18" customHeight="1">
      <c r="B9">
        <v>900</v>
      </c>
      <c r="C9">
        <v>1100</v>
      </c>
    </row>
    <row r="10" spans="1:27" ht="18" customHeight="1">
      <c r="B10">
        <v>1000</v>
      </c>
      <c r="C10">
        <v>1000</v>
      </c>
      <c r="E10">
        <v>12.758599999999999</v>
      </c>
      <c r="F10">
        <v>10.941599999999999</v>
      </c>
      <c r="G10">
        <v>14.8934</v>
      </c>
      <c r="I10">
        <v>10.9404</v>
      </c>
      <c r="J10">
        <v>9.4868000000000006</v>
      </c>
      <c r="K10">
        <v>12.6538</v>
      </c>
      <c r="M10" s="1">
        <v>13.4937</v>
      </c>
      <c r="N10" s="1">
        <v>11.449299999999999</v>
      </c>
      <c r="O10" s="1">
        <v>16.045300000000001</v>
      </c>
      <c r="Q10" s="1">
        <v>10.087400000000001</v>
      </c>
      <c r="R10" s="1">
        <v>9.56</v>
      </c>
      <c r="S10" s="1">
        <v>10.616899999999999</v>
      </c>
      <c r="U10" s="1">
        <v>11.301299999999999</v>
      </c>
      <c r="V10" s="1">
        <v>7.9161000000000001</v>
      </c>
      <c r="W10" s="1">
        <v>16.670000000000002</v>
      </c>
      <c r="Y10" s="1">
        <v>13.325200000000001</v>
      </c>
      <c r="Z10" s="1">
        <v>11.0661</v>
      </c>
      <c r="AA10" s="1">
        <v>16.190799999999999</v>
      </c>
    </row>
    <row r="11" spans="1:27" ht="18" customHeight="1">
      <c r="B11">
        <v>1100</v>
      </c>
      <c r="C11">
        <v>900</v>
      </c>
    </row>
    <row r="12" spans="1:27" ht="18" customHeight="1">
      <c r="B12">
        <v>1200</v>
      </c>
      <c r="C12">
        <v>800</v>
      </c>
      <c r="E12">
        <v>12.3987</v>
      </c>
      <c r="F12">
        <v>10.6351</v>
      </c>
      <c r="G12">
        <v>15.597099999999999</v>
      </c>
      <c r="I12">
        <v>12.0496</v>
      </c>
      <c r="J12">
        <v>10.676600000000001</v>
      </c>
      <c r="K12">
        <v>14.442399999999999</v>
      </c>
      <c r="M12" s="1">
        <v>11.1486</v>
      </c>
      <c r="N12" s="1">
        <v>8.8030000000000008</v>
      </c>
      <c r="O12" s="1">
        <v>16.0655</v>
      </c>
      <c r="Q12" s="1">
        <v>9.5596999999999994</v>
      </c>
      <c r="R12" s="1">
        <v>8.8422000000000001</v>
      </c>
      <c r="S12" s="1">
        <v>10.593999999999999</v>
      </c>
      <c r="U12" s="1">
        <v>10.595700000000001</v>
      </c>
      <c r="V12" s="1">
        <v>7.8987999999999996</v>
      </c>
      <c r="W12" s="1">
        <v>16.670000000000002</v>
      </c>
      <c r="Y12" s="1">
        <v>11.1272</v>
      </c>
      <c r="Z12" s="1">
        <v>9.1489999999999991</v>
      </c>
      <c r="AA12" s="1">
        <v>14.8141</v>
      </c>
    </row>
    <row r="13" spans="1:27" ht="18" customHeight="1">
      <c r="B13">
        <v>1300</v>
      </c>
      <c r="C13">
        <v>700</v>
      </c>
    </row>
    <row r="14" spans="1:27" ht="18" customHeight="1">
      <c r="B14">
        <v>1400</v>
      </c>
      <c r="C14">
        <v>600</v>
      </c>
      <c r="E14">
        <v>12.052099999999999</v>
      </c>
      <c r="F14">
        <v>11.2614</v>
      </c>
      <c r="G14">
        <v>14.465400000000001</v>
      </c>
      <c r="I14">
        <v>12.847099999999999</v>
      </c>
      <c r="J14">
        <v>12.103899999999999</v>
      </c>
      <c r="K14">
        <v>15.1037</v>
      </c>
      <c r="M14">
        <v>11.795999999999999</v>
      </c>
      <c r="N14">
        <v>10.558999999999999</v>
      </c>
      <c r="O14">
        <v>16.2041</v>
      </c>
      <c r="Q14">
        <v>9.6115999999999993</v>
      </c>
      <c r="R14">
        <v>9.3775999999999993</v>
      </c>
      <c r="S14">
        <v>10.190300000000001</v>
      </c>
      <c r="U14">
        <v>11.4488</v>
      </c>
      <c r="V14">
        <v>10.0761</v>
      </c>
      <c r="W14">
        <v>16.663799999999998</v>
      </c>
      <c r="Y14">
        <v>11.889099999999999</v>
      </c>
      <c r="Z14">
        <v>10.8329</v>
      </c>
      <c r="AA14">
        <v>15.3561</v>
      </c>
    </row>
    <row r="15" spans="1:27" ht="18" customHeight="1">
      <c r="B15">
        <v>1500</v>
      </c>
      <c r="C15">
        <v>500</v>
      </c>
    </row>
    <row r="16" spans="1:27" ht="18" customHeight="1"/>
    <row r="17" spans="1:27" ht="18" customHeight="1">
      <c r="B17">
        <v>1000</v>
      </c>
      <c r="C17">
        <v>1400</v>
      </c>
      <c r="E17">
        <v>11.0268</v>
      </c>
      <c r="F17">
        <v>8.7106999999999992</v>
      </c>
      <c r="G17">
        <v>13.1524</v>
      </c>
      <c r="I17">
        <v>9.7606999999999999</v>
      </c>
      <c r="J17">
        <v>7.3486000000000002</v>
      </c>
      <c r="K17">
        <v>11.810499999999999</v>
      </c>
      <c r="M17">
        <v>10.7803</v>
      </c>
      <c r="N17">
        <v>6.4531000000000001</v>
      </c>
      <c r="O17">
        <v>16.0992</v>
      </c>
      <c r="Q17">
        <v>9.6034000000000006</v>
      </c>
      <c r="R17">
        <v>10.5017</v>
      </c>
      <c r="S17">
        <v>9.0383999999999993</v>
      </c>
      <c r="U17">
        <v>9.8726000000000003</v>
      </c>
      <c r="V17">
        <v>4.9001999999999999</v>
      </c>
      <c r="W17">
        <v>16.670000000000002</v>
      </c>
      <c r="Y17">
        <v>11.7982</v>
      </c>
      <c r="Z17">
        <v>7.9615</v>
      </c>
      <c r="AA17">
        <v>15.916399999999999</v>
      </c>
    </row>
    <row r="18" spans="1:27" ht="18" customHeight="1">
      <c r="B18">
        <v>1200</v>
      </c>
      <c r="C18">
        <v>1200</v>
      </c>
      <c r="E18">
        <v>11.473100000000001</v>
      </c>
      <c r="F18">
        <v>9.4420000000000002</v>
      </c>
      <c r="G18">
        <v>13.991</v>
      </c>
      <c r="I18">
        <v>9.6638999999999999</v>
      </c>
      <c r="J18">
        <v>8.3902000000000001</v>
      </c>
      <c r="K18">
        <v>11.088699999999999</v>
      </c>
      <c r="M18">
        <v>9.9702999999999999</v>
      </c>
      <c r="N18">
        <v>6.1519000000000004</v>
      </c>
      <c r="O18">
        <v>16.3736</v>
      </c>
      <c r="Q18">
        <v>9.2608999999999995</v>
      </c>
      <c r="R18">
        <v>9.6005000000000003</v>
      </c>
      <c r="S18">
        <v>8.9573999999999998</v>
      </c>
      <c r="U18">
        <v>9.8064</v>
      </c>
      <c r="V18">
        <v>5.9316000000000004</v>
      </c>
      <c r="W18">
        <v>16.670000000000002</v>
      </c>
      <c r="Y18">
        <v>10.9495</v>
      </c>
      <c r="Z18">
        <v>7.5102000000000002</v>
      </c>
      <c r="AA18">
        <v>16.2682</v>
      </c>
    </row>
    <row r="19" spans="1:27" ht="18" customHeight="1">
      <c r="B19">
        <v>1400</v>
      </c>
      <c r="C19">
        <v>1000</v>
      </c>
      <c r="E19">
        <v>9.2365999999999993</v>
      </c>
      <c r="F19">
        <v>7.5892999999999997</v>
      </c>
      <c r="G19">
        <v>12.499000000000001</v>
      </c>
      <c r="I19">
        <v>9.0341000000000005</v>
      </c>
      <c r="J19">
        <v>7.4101999999999997</v>
      </c>
      <c r="K19">
        <v>12.0747</v>
      </c>
      <c r="M19">
        <v>10.919499999999999</v>
      </c>
      <c r="N19">
        <v>8.6316000000000006</v>
      </c>
      <c r="O19">
        <v>16.142499999999998</v>
      </c>
      <c r="P19" s="3"/>
      <c r="Q19">
        <v>8.1934000000000005</v>
      </c>
      <c r="R19">
        <v>8.2233000000000001</v>
      </c>
      <c r="S19">
        <v>8.1439000000000004</v>
      </c>
      <c r="U19">
        <v>10.774100000000001</v>
      </c>
      <c r="V19">
        <v>8.2853999999999992</v>
      </c>
      <c r="W19">
        <v>16.670000000000002</v>
      </c>
      <c r="Y19">
        <v>11.083</v>
      </c>
      <c r="Z19">
        <v>9.0696999999999992</v>
      </c>
      <c r="AA19">
        <v>15.428100000000001</v>
      </c>
    </row>
    <row r="20" spans="1:27" ht="18" customHeight="1">
      <c r="B20">
        <v>800</v>
      </c>
      <c r="C20">
        <v>800</v>
      </c>
      <c r="E20">
        <v>12.1775</v>
      </c>
      <c r="F20">
        <v>10.955399999999999</v>
      </c>
      <c r="G20">
        <v>13.629300000000001</v>
      </c>
      <c r="I20">
        <v>11.9894</v>
      </c>
      <c r="J20">
        <v>11.1074</v>
      </c>
      <c r="K20">
        <v>13.0032</v>
      </c>
      <c r="M20">
        <v>13.1805</v>
      </c>
      <c r="N20">
        <v>10.944900000000001</v>
      </c>
      <c r="O20">
        <v>16.2376</v>
      </c>
      <c r="Q20">
        <v>11.4092</v>
      </c>
      <c r="R20">
        <v>10.8248</v>
      </c>
      <c r="S20">
        <v>12.0931</v>
      </c>
      <c r="U20">
        <v>12.8004</v>
      </c>
      <c r="V20">
        <v>10.119</v>
      </c>
      <c r="W20">
        <v>16.670000000000002</v>
      </c>
      <c r="Y20">
        <v>13.886699999999999</v>
      </c>
      <c r="Z20">
        <v>11.9414</v>
      </c>
      <c r="AA20">
        <v>16.409400000000002</v>
      </c>
    </row>
    <row r="21" spans="1:27" ht="18" customHeight="1"/>
    <row r="22" spans="1:27" ht="18" customHeight="1">
      <c r="B22">
        <v>500</v>
      </c>
      <c r="C22">
        <v>1500</v>
      </c>
    </row>
    <row r="23" spans="1:27" ht="18" customHeight="1">
      <c r="A23" t="s">
        <v>18</v>
      </c>
      <c r="B23">
        <v>600</v>
      </c>
      <c r="C23">
        <v>1400</v>
      </c>
      <c r="E23">
        <v>11.511799999999999</v>
      </c>
      <c r="F23">
        <v>6.9882</v>
      </c>
      <c r="G23">
        <v>14.7019</v>
      </c>
      <c r="I23">
        <v>11.512700000000001</v>
      </c>
      <c r="J23">
        <v>7.1858000000000004</v>
      </c>
      <c r="K23">
        <v>14.5557</v>
      </c>
      <c r="M23">
        <v>11.337899999999999</v>
      </c>
      <c r="N23">
        <v>6.1665999999999999</v>
      </c>
      <c r="O23">
        <v>16.248699999999999</v>
      </c>
      <c r="Q23">
        <v>9.6997999999999998</v>
      </c>
      <c r="R23">
        <v>12.2453</v>
      </c>
      <c r="S23">
        <v>8.7373999999999992</v>
      </c>
      <c r="U23">
        <v>9.9494000000000007</v>
      </c>
      <c r="V23">
        <v>4.0518999999999998</v>
      </c>
      <c r="W23">
        <v>16.670000000000002</v>
      </c>
      <c r="Y23">
        <v>12.925000000000001</v>
      </c>
      <c r="Z23">
        <v>8.4456000000000007</v>
      </c>
      <c r="AA23">
        <v>16.247800000000002</v>
      </c>
    </row>
    <row r="24" spans="1:27" ht="18" customHeight="1">
      <c r="B24">
        <v>700</v>
      </c>
      <c r="C24">
        <v>1300</v>
      </c>
    </row>
    <row r="25" spans="1:27" ht="18" customHeight="1">
      <c r="B25">
        <v>800</v>
      </c>
      <c r="C25">
        <v>1200</v>
      </c>
      <c r="E25">
        <v>10.306900000000001</v>
      </c>
      <c r="F25">
        <v>9.2647999999999993</v>
      </c>
      <c r="G25">
        <v>11.254099999999999</v>
      </c>
      <c r="I25">
        <v>10.2883</v>
      </c>
      <c r="J25">
        <v>9.2444000000000006</v>
      </c>
      <c r="K25">
        <v>11.236599999999999</v>
      </c>
      <c r="M25">
        <v>10.650399999999999</v>
      </c>
      <c r="N25">
        <v>6.8479999999999999</v>
      </c>
      <c r="O25">
        <v>16.369900000000001</v>
      </c>
      <c r="Q25">
        <v>9.9017999999999997</v>
      </c>
      <c r="R25">
        <v>14.2806</v>
      </c>
      <c r="S25">
        <v>7.5242000000000004</v>
      </c>
      <c r="U25">
        <v>10.0749</v>
      </c>
      <c r="V25">
        <v>5.8475000000000001</v>
      </c>
      <c r="W25">
        <v>16.670000000000002</v>
      </c>
      <c r="Y25">
        <v>13.0374</v>
      </c>
      <c r="Z25">
        <v>10.292199999999999</v>
      </c>
      <c r="AA25">
        <v>16.1205</v>
      </c>
    </row>
    <row r="26" spans="1:27" ht="18" customHeight="1">
      <c r="B26">
        <v>900</v>
      </c>
      <c r="C26">
        <v>1100</v>
      </c>
    </row>
    <row r="27" spans="1:27" ht="18" customHeight="1">
      <c r="B27">
        <v>1000</v>
      </c>
      <c r="C27">
        <v>1000</v>
      </c>
      <c r="E27">
        <v>12.110099999999999</v>
      </c>
      <c r="F27">
        <v>10.194699999999999</v>
      </c>
      <c r="G27">
        <v>14.669600000000001</v>
      </c>
      <c r="I27">
        <v>9.9529999999999994</v>
      </c>
      <c r="J27">
        <v>8.5785999999999998</v>
      </c>
      <c r="K27">
        <v>11.773</v>
      </c>
      <c r="M27" s="1">
        <v>12.914899999999999</v>
      </c>
      <c r="N27" s="1">
        <v>10.873100000000001</v>
      </c>
      <c r="O27" s="1">
        <v>15.8851</v>
      </c>
      <c r="Q27" s="1">
        <v>9.0128000000000004</v>
      </c>
      <c r="R27" s="1">
        <v>8.6593</v>
      </c>
      <c r="S27" s="1">
        <v>9.3948</v>
      </c>
      <c r="U27" s="1">
        <v>10.324400000000001</v>
      </c>
      <c r="V27" s="1">
        <v>7.0427</v>
      </c>
      <c r="W27" s="1">
        <v>16.670000000000002</v>
      </c>
      <c r="Y27" s="1">
        <v>12.6867</v>
      </c>
      <c r="Z27" s="1">
        <v>10.3748</v>
      </c>
      <c r="AA27" s="1">
        <v>16.119800000000001</v>
      </c>
    </row>
    <row r="28" spans="1:27" ht="18" customHeight="1">
      <c r="B28">
        <v>1100</v>
      </c>
      <c r="C28">
        <v>900</v>
      </c>
    </row>
    <row r="29" spans="1:27" ht="18" customHeight="1">
      <c r="B29">
        <v>1200</v>
      </c>
      <c r="C29">
        <v>800</v>
      </c>
      <c r="E29">
        <v>11.6286</v>
      </c>
      <c r="F29">
        <v>9.9641999999999999</v>
      </c>
      <c r="G29">
        <v>15.4124</v>
      </c>
      <c r="I29">
        <v>11.2746</v>
      </c>
      <c r="J29">
        <v>9.9564000000000004</v>
      </c>
      <c r="K29">
        <v>14.107699999999999</v>
      </c>
      <c r="M29" s="1">
        <v>10.1332</v>
      </c>
      <c r="N29" s="1">
        <v>8.0519999999999996</v>
      </c>
      <c r="O29" s="1">
        <v>15.7746</v>
      </c>
      <c r="Q29" s="1">
        <v>8.4438999999999993</v>
      </c>
      <c r="R29" s="1">
        <v>7.9036</v>
      </c>
      <c r="S29" s="1">
        <v>9.3259000000000007</v>
      </c>
      <c r="U29" s="1">
        <v>9.4710000000000001</v>
      </c>
      <c r="V29" s="1">
        <v>7.0533999999999999</v>
      </c>
      <c r="W29" s="1">
        <v>16.670000000000002</v>
      </c>
      <c r="Y29" s="1">
        <v>10.1233</v>
      </c>
      <c r="Z29" s="1">
        <v>8.3026999999999997</v>
      </c>
      <c r="AA29" s="1">
        <v>14.3277</v>
      </c>
    </row>
    <row r="30" spans="1:27" ht="18" customHeight="1">
      <c r="B30">
        <v>1300</v>
      </c>
      <c r="C30">
        <v>700</v>
      </c>
    </row>
    <row r="31" spans="1:27" ht="18" customHeight="1">
      <c r="B31">
        <v>1400</v>
      </c>
      <c r="C31">
        <v>600</v>
      </c>
      <c r="E31">
        <v>11.3239</v>
      </c>
      <c r="F31">
        <v>10.4693</v>
      </c>
      <c r="G31">
        <v>14.1752</v>
      </c>
      <c r="I31">
        <v>12.2806</v>
      </c>
      <c r="J31">
        <v>11.458</v>
      </c>
      <c r="K31">
        <v>15.025</v>
      </c>
      <c r="M31">
        <v>10.9344</v>
      </c>
      <c r="N31">
        <v>9.6670999999999996</v>
      </c>
      <c r="O31">
        <v>16.133700000000001</v>
      </c>
      <c r="Q31">
        <v>8.5129999999999999</v>
      </c>
      <c r="R31">
        <v>8.2147000000000006</v>
      </c>
      <c r="S31">
        <v>9.2691999999999997</v>
      </c>
      <c r="U31">
        <v>10.546200000000001</v>
      </c>
      <c r="V31">
        <v>9.1731999999999996</v>
      </c>
      <c r="W31">
        <v>16.661200000000001</v>
      </c>
      <c r="Y31">
        <v>11.038</v>
      </c>
      <c r="Z31">
        <v>9.9618000000000002</v>
      </c>
      <c r="AA31">
        <v>14.995200000000001</v>
      </c>
    </row>
    <row r="32" spans="1:27" ht="18" customHeight="1">
      <c r="B32">
        <v>1500</v>
      </c>
      <c r="C32">
        <v>500</v>
      </c>
    </row>
    <row r="33" spans="1:31" ht="18" customHeight="1"/>
    <row r="34" spans="1:31" ht="18" customHeight="1">
      <c r="B34">
        <v>1000</v>
      </c>
      <c r="C34">
        <v>1400</v>
      </c>
      <c r="E34">
        <v>10.0998</v>
      </c>
      <c r="F34">
        <v>7.8827999999999996</v>
      </c>
      <c r="G34">
        <v>12.451700000000001</v>
      </c>
      <c r="I34">
        <v>8.7604000000000006</v>
      </c>
      <c r="J34">
        <v>6.3680000000000003</v>
      </c>
      <c r="K34">
        <v>11.043799999999999</v>
      </c>
      <c r="M34">
        <v>9.7637999999999998</v>
      </c>
      <c r="N34">
        <v>5.7239000000000004</v>
      </c>
      <c r="O34">
        <v>15.8782</v>
      </c>
      <c r="Q34">
        <v>8.5997000000000003</v>
      </c>
      <c r="R34">
        <v>9.8569999999999993</v>
      </c>
      <c r="S34">
        <v>7.7643000000000004</v>
      </c>
      <c r="U34">
        <v>8.6897000000000002</v>
      </c>
      <c r="V34">
        <v>4.0492999999999997</v>
      </c>
      <c r="W34">
        <v>16.670000000000002</v>
      </c>
      <c r="Y34">
        <v>11.018000000000001</v>
      </c>
      <c r="Z34">
        <v>7.0654000000000003</v>
      </c>
      <c r="AA34">
        <v>16.1584</v>
      </c>
    </row>
    <row r="35" spans="1:31" ht="18" customHeight="1">
      <c r="B35">
        <v>1200</v>
      </c>
      <c r="C35">
        <v>1200</v>
      </c>
      <c r="E35">
        <v>10.540900000000001</v>
      </c>
      <c r="F35">
        <v>8.6058000000000003</v>
      </c>
      <c r="G35">
        <v>13.2941</v>
      </c>
      <c r="I35">
        <v>8.4636999999999993</v>
      </c>
      <c r="J35">
        <v>7.4282000000000004</v>
      </c>
      <c r="K35">
        <v>9.7437000000000005</v>
      </c>
      <c r="M35">
        <v>8.7721999999999998</v>
      </c>
      <c r="N35">
        <v>5.14</v>
      </c>
      <c r="O35">
        <v>16.258500000000002</v>
      </c>
      <c r="Q35">
        <v>8.1184999999999992</v>
      </c>
      <c r="R35">
        <v>8.7200000000000006</v>
      </c>
      <c r="S35">
        <v>7.5529000000000002</v>
      </c>
      <c r="U35">
        <v>8.5972000000000008</v>
      </c>
      <c r="V35">
        <v>4.9328000000000003</v>
      </c>
      <c r="W35">
        <v>16.670000000000002</v>
      </c>
      <c r="Y35">
        <v>9.9192999999999998</v>
      </c>
      <c r="Z35">
        <v>6.4954999999999998</v>
      </c>
      <c r="AA35">
        <v>16.344899999999999</v>
      </c>
    </row>
    <row r="36" spans="1:31" ht="18" customHeight="1">
      <c r="B36">
        <v>1400</v>
      </c>
      <c r="C36">
        <v>1000</v>
      </c>
      <c r="E36">
        <v>8.2588000000000008</v>
      </c>
      <c r="F36">
        <v>6.6349999999999998</v>
      </c>
      <c r="G36">
        <v>11.8849</v>
      </c>
      <c r="I36">
        <v>7.9706999999999999</v>
      </c>
      <c r="J36">
        <v>6.3632999999999997</v>
      </c>
      <c r="K36">
        <v>11.3262</v>
      </c>
      <c r="M36">
        <v>9.9314999999999998</v>
      </c>
      <c r="N36">
        <v>7.7233999999999998</v>
      </c>
      <c r="O36">
        <v>15.9992</v>
      </c>
      <c r="Q36">
        <v>7.0881999999999996</v>
      </c>
      <c r="R36">
        <v>7.3967999999999998</v>
      </c>
      <c r="S36">
        <v>6.5438999999999998</v>
      </c>
      <c r="U36">
        <v>9.7614000000000001</v>
      </c>
      <c r="V36">
        <v>7.3692000000000002</v>
      </c>
      <c r="W36">
        <v>16.670000000000002</v>
      </c>
      <c r="Y36">
        <v>10.099600000000001</v>
      </c>
      <c r="Z36">
        <v>8.1615000000000002</v>
      </c>
      <c r="AA36">
        <v>15.043900000000001</v>
      </c>
    </row>
    <row r="37" spans="1:31" s="2" customFormat="1" ht="18" customHeight="1">
      <c r="B37" s="2">
        <v>800</v>
      </c>
      <c r="C37" s="2">
        <v>800</v>
      </c>
      <c r="E37" s="2">
        <v>11.4498</v>
      </c>
      <c r="F37" s="2">
        <v>10.0869</v>
      </c>
      <c r="G37" s="2">
        <v>13.088100000000001</v>
      </c>
      <c r="I37" s="2">
        <v>11.2477</v>
      </c>
      <c r="J37" s="2">
        <v>10.269</v>
      </c>
      <c r="K37" s="2">
        <v>12.379300000000001</v>
      </c>
      <c r="M37" s="2">
        <v>12.596</v>
      </c>
      <c r="N37" s="2">
        <v>10.095000000000001</v>
      </c>
      <c r="O37" s="2">
        <v>16.148800000000001</v>
      </c>
      <c r="Q37" s="2">
        <v>10.5832</v>
      </c>
      <c r="R37" s="2">
        <v>9.9618000000000002</v>
      </c>
      <c r="S37" s="2">
        <v>11.3171</v>
      </c>
      <c r="U37" s="2">
        <v>12.153700000000001</v>
      </c>
      <c r="V37" s="2">
        <v>9.1701999999999995</v>
      </c>
      <c r="W37" s="2">
        <v>16.670000000000002</v>
      </c>
      <c r="Y37" s="2">
        <v>13.405900000000001</v>
      </c>
      <c r="Z37" s="2">
        <v>11.1982</v>
      </c>
      <c r="AA37" s="2">
        <v>16.3552</v>
      </c>
    </row>
    <row r="38" spans="1:31" ht="18" customHeight="1"/>
    <row r="39" spans="1:31" ht="18" customHeight="1">
      <c r="A39" t="s">
        <v>14</v>
      </c>
      <c r="B39">
        <v>500</v>
      </c>
      <c r="C39">
        <v>1500</v>
      </c>
    </row>
    <row r="40" spans="1:31" ht="18" customHeight="1">
      <c r="A40" t="s">
        <v>19</v>
      </c>
      <c r="B40">
        <v>600</v>
      </c>
      <c r="C40">
        <v>1400</v>
      </c>
      <c r="E40">
        <v>11.638199999999999</v>
      </c>
      <c r="F40">
        <v>8.0888000000000009</v>
      </c>
      <c r="G40">
        <v>13.8035</v>
      </c>
      <c r="I40">
        <v>11.6523</v>
      </c>
      <c r="J40">
        <v>8.2484999999999999</v>
      </c>
      <c r="K40">
        <v>13.695399999999999</v>
      </c>
      <c r="M40">
        <v>10.7681</v>
      </c>
      <c r="N40">
        <v>4.6291000000000002</v>
      </c>
      <c r="O40">
        <v>16.6572</v>
      </c>
      <c r="Q40">
        <v>9.9976000000000003</v>
      </c>
      <c r="R40">
        <v>12.639699999999999</v>
      </c>
      <c r="S40">
        <v>9.0892999999999997</v>
      </c>
      <c r="U40">
        <v>10.7681</v>
      </c>
      <c r="V40">
        <v>4.6291000000000002</v>
      </c>
      <c r="W40">
        <v>16.6572</v>
      </c>
      <c r="Y40">
        <v>11.3614</v>
      </c>
      <c r="Z40">
        <v>5.4185999999999996</v>
      </c>
      <c r="AA40">
        <v>16.5334</v>
      </c>
      <c r="AC40">
        <v>11.7288</v>
      </c>
      <c r="AD40">
        <v>7.7721</v>
      </c>
      <c r="AE40">
        <v>14.244300000000001</v>
      </c>
    </row>
    <row r="41" spans="1:31" ht="18" customHeight="1">
      <c r="A41" t="s">
        <v>16</v>
      </c>
      <c r="B41">
        <v>700</v>
      </c>
      <c r="C41">
        <v>1300</v>
      </c>
    </row>
    <row r="42" spans="1:31" ht="18" customHeight="1">
      <c r="A42" t="s">
        <v>17</v>
      </c>
      <c r="B42">
        <v>800</v>
      </c>
      <c r="C42">
        <v>1200</v>
      </c>
      <c r="E42">
        <v>11.2163</v>
      </c>
      <c r="F42">
        <v>7.5669000000000004</v>
      </c>
      <c r="G42">
        <v>14.8424</v>
      </c>
      <c r="I42">
        <v>11.2163</v>
      </c>
      <c r="J42">
        <v>7.5669000000000004</v>
      </c>
      <c r="K42">
        <v>14.8424</v>
      </c>
      <c r="M42">
        <v>10.1647</v>
      </c>
      <c r="N42">
        <v>5.3113999999999999</v>
      </c>
      <c r="O42">
        <v>16.592300000000002</v>
      </c>
      <c r="Q42">
        <v>10.558400000000001</v>
      </c>
      <c r="R42">
        <v>10.934100000000001</v>
      </c>
      <c r="S42">
        <v>10.3102</v>
      </c>
      <c r="U42">
        <v>9.6020000000000003</v>
      </c>
      <c r="V42">
        <v>4.6402000000000001</v>
      </c>
      <c r="W42">
        <v>16.670000000000002</v>
      </c>
      <c r="Y42">
        <v>10.1845</v>
      </c>
      <c r="Z42">
        <v>5.3373999999999997</v>
      </c>
      <c r="AA42">
        <v>16.561399999999999</v>
      </c>
      <c r="AC42">
        <v>10.4628</v>
      </c>
      <c r="AD42">
        <v>7.6158000000000001</v>
      </c>
      <c r="AE42">
        <v>13.142899999999999</v>
      </c>
    </row>
    <row r="43" spans="1:31" ht="18" customHeight="1">
      <c r="B43">
        <v>900</v>
      </c>
      <c r="C43">
        <v>1100</v>
      </c>
    </row>
    <row r="44" spans="1:31" ht="18" customHeight="1">
      <c r="B44">
        <v>1000</v>
      </c>
      <c r="C44">
        <v>1000</v>
      </c>
      <c r="E44">
        <v>10.1008</v>
      </c>
      <c r="F44">
        <v>8.0677000000000003</v>
      </c>
      <c r="G44">
        <v>12.789199999999999</v>
      </c>
      <c r="I44">
        <v>11.404400000000001</v>
      </c>
      <c r="J44">
        <v>8.5052000000000003</v>
      </c>
      <c r="K44">
        <v>15.1861</v>
      </c>
      <c r="M44">
        <v>9.1847999999999992</v>
      </c>
      <c r="N44">
        <v>5.1189</v>
      </c>
      <c r="O44">
        <v>16.563700000000001</v>
      </c>
      <c r="Q44">
        <v>10.821400000000001</v>
      </c>
      <c r="R44">
        <v>10.2514</v>
      </c>
      <c r="S44">
        <v>11.3748</v>
      </c>
      <c r="U44">
        <v>8.6918000000000006</v>
      </c>
      <c r="V44">
        <v>4.5481999999999996</v>
      </c>
      <c r="W44">
        <v>16.6464</v>
      </c>
      <c r="Y44">
        <v>9.5114000000000001</v>
      </c>
      <c r="Z44">
        <v>5.5072000000000001</v>
      </c>
      <c r="AA44">
        <v>16.450299999999999</v>
      </c>
      <c r="AC44">
        <v>10.494999999999999</v>
      </c>
      <c r="AD44">
        <v>8.3070000000000004</v>
      </c>
      <c r="AE44">
        <v>13.4079</v>
      </c>
    </row>
    <row r="45" spans="1:31" ht="18" customHeight="1">
      <c r="B45">
        <v>1100</v>
      </c>
      <c r="C45">
        <v>900</v>
      </c>
    </row>
    <row r="46" spans="1:31" ht="18" customHeight="1">
      <c r="B46">
        <v>1200</v>
      </c>
      <c r="C46">
        <v>800</v>
      </c>
      <c r="E46">
        <v>8.4132999999999996</v>
      </c>
      <c r="F46">
        <v>6.2427999999999999</v>
      </c>
      <c r="G46">
        <v>12.690099999999999</v>
      </c>
      <c r="I46">
        <v>8.4132999999999996</v>
      </c>
      <c r="J46">
        <v>6.2427999999999999</v>
      </c>
      <c r="K46">
        <v>12.690099999999999</v>
      </c>
      <c r="M46">
        <v>7.194</v>
      </c>
      <c r="N46">
        <v>3.8119999999999998</v>
      </c>
      <c r="O46">
        <v>16.646599999999999</v>
      </c>
      <c r="Q46">
        <v>9.3899000000000008</v>
      </c>
      <c r="R46">
        <v>7.8154000000000003</v>
      </c>
      <c r="S46">
        <v>12.0867</v>
      </c>
      <c r="U46">
        <v>7.194</v>
      </c>
      <c r="V46">
        <v>3.8119999999999998</v>
      </c>
      <c r="W46">
        <v>16.646599999999999</v>
      </c>
      <c r="Y46">
        <v>7.9729000000000001</v>
      </c>
      <c r="Z46">
        <v>4.7061999999999999</v>
      </c>
      <c r="AA46">
        <v>16.4665</v>
      </c>
      <c r="AC46">
        <v>9.7165999999999997</v>
      </c>
      <c r="AD46">
        <v>8.35</v>
      </c>
      <c r="AE46">
        <v>11.9885</v>
      </c>
    </row>
    <row r="47" spans="1:31" ht="18" customHeight="1">
      <c r="B47">
        <v>1300</v>
      </c>
      <c r="C47">
        <v>700</v>
      </c>
    </row>
    <row r="48" spans="1:31" ht="18" customHeight="1">
      <c r="B48">
        <v>1400</v>
      </c>
      <c r="C48">
        <v>600</v>
      </c>
      <c r="E48">
        <v>9.7843999999999998</v>
      </c>
      <c r="F48">
        <v>8.3490000000000002</v>
      </c>
      <c r="G48">
        <v>14.923</v>
      </c>
      <c r="I48">
        <v>8.7828999999999997</v>
      </c>
      <c r="J48">
        <v>7.3669000000000002</v>
      </c>
      <c r="K48">
        <v>13.916600000000001</v>
      </c>
      <c r="M48">
        <v>8.6598000000000006</v>
      </c>
      <c r="N48">
        <v>6.8426999999999998</v>
      </c>
      <c r="O48">
        <v>16.366299999999999</v>
      </c>
      <c r="Q48">
        <v>9.3180999999999994</v>
      </c>
      <c r="R48">
        <v>8.0137999999999998</v>
      </c>
      <c r="S48">
        <v>13.9023</v>
      </c>
      <c r="U48">
        <v>6.9916999999999998</v>
      </c>
      <c r="V48">
        <v>4.9913999999999996</v>
      </c>
      <c r="W48">
        <v>16.6038</v>
      </c>
      <c r="Y48">
        <v>9.0503</v>
      </c>
      <c r="Z48">
        <v>7.3063000000000002</v>
      </c>
      <c r="AA48">
        <v>16.194800000000001</v>
      </c>
      <c r="AC48">
        <v>9.3180999999999994</v>
      </c>
      <c r="AD48">
        <v>8.0137999999999998</v>
      </c>
      <c r="AE48">
        <v>13.9023</v>
      </c>
    </row>
    <row r="49" spans="1:31" ht="18" customHeight="1">
      <c r="B49">
        <v>1500</v>
      </c>
      <c r="C49">
        <v>500</v>
      </c>
    </row>
    <row r="50" spans="1:31" ht="18" customHeight="1"/>
    <row r="51" spans="1:31" ht="18" customHeight="1">
      <c r="B51">
        <v>1000</v>
      </c>
      <c r="C51">
        <v>1400</v>
      </c>
      <c r="E51">
        <v>10.757300000000001</v>
      </c>
      <c r="F51">
        <v>6.1207000000000003</v>
      </c>
      <c r="G51">
        <v>16.0092</v>
      </c>
      <c r="I51">
        <v>10.757300000000001</v>
      </c>
      <c r="J51">
        <v>6.1207000000000003</v>
      </c>
      <c r="K51">
        <v>16.0092</v>
      </c>
      <c r="M51">
        <v>9.0068000000000001</v>
      </c>
      <c r="N51">
        <v>3.7263000000000002</v>
      </c>
      <c r="O51">
        <v>16.670000000000002</v>
      </c>
      <c r="Q51">
        <v>6.9790000000000001</v>
      </c>
      <c r="R51">
        <v>6.3148</v>
      </c>
      <c r="S51">
        <v>7.4832999999999998</v>
      </c>
      <c r="U51">
        <v>9.0068000000000001</v>
      </c>
      <c r="V51">
        <v>3.7263000000000002</v>
      </c>
      <c r="W51">
        <v>16.670000000000002</v>
      </c>
      <c r="Y51">
        <v>10.7475</v>
      </c>
      <c r="Z51">
        <v>5.99</v>
      </c>
      <c r="AA51">
        <v>16.236599999999999</v>
      </c>
      <c r="AC51">
        <v>10.757300000000001</v>
      </c>
      <c r="AD51">
        <v>6.1207000000000003</v>
      </c>
      <c r="AE51">
        <v>16.0092</v>
      </c>
    </row>
    <row r="52" spans="1:31" ht="18" customHeight="1">
      <c r="B52">
        <v>1200</v>
      </c>
      <c r="C52">
        <v>1200</v>
      </c>
      <c r="E52">
        <v>8.4534000000000002</v>
      </c>
      <c r="F52">
        <v>5.9158999999999997</v>
      </c>
      <c r="G52">
        <v>12.0265</v>
      </c>
      <c r="I52">
        <v>8.4681999999999995</v>
      </c>
      <c r="J52">
        <v>5.8998999999999997</v>
      </c>
      <c r="K52">
        <v>12.0847</v>
      </c>
      <c r="M52">
        <v>7.7840999999999996</v>
      </c>
      <c r="N52">
        <v>3.4266000000000001</v>
      </c>
      <c r="O52">
        <v>16.580400000000001</v>
      </c>
      <c r="Q52">
        <v>9.0387000000000004</v>
      </c>
      <c r="R52">
        <v>8.6259999999999994</v>
      </c>
      <c r="S52">
        <v>9.4789999999999992</v>
      </c>
      <c r="U52">
        <v>7.7840999999999996</v>
      </c>
      <c r="V52">
        <v>3.4266000000000001</v>
      </c>
      <c r="W52">
        <v>16.580400000000001</v>
      </c>
      <c r="Y52">
        <v>8.1994000000000007</v>
      </c>
      <c r="Z52">
        <v>3.9077000000000002</v>
      </c>
      <c r="AA52">
        <v>16.476900000000001</v>
      </c>
      <c r="AC52">
        <v>8.7438000000000002</v>
      </c>
      <c r="AD52">
        <v>6.4675000000000002</v>
      </c>
      <c r="AE52">
        <v>11.950799999999999</v>
      </c>
    </row>
    <row r="53" spans="1:31" ht="18" customHeight="1">
      <c r="B53">
        <v>1400</v>
      </c>
      <c r="C53">
        <v>1000</v>
      </c>
      <c r="E53">
        <v>8.3895999999999997</v>
      </c>
      <c r="F53">
        <v>6.181</v>
      </c>
      <c r="G53">
        <v>12.8306</v>
      </c>
      <c r="I53">
        <v>8.4922000000000004</v>
      </c>
      <c r="J53">
        <v>6.7394999999999996</v>
      </c>
      <c r="K53">
        <v>11.924099999999999</v>
      </c>
      <c r="M53">
        <v>7.1685999999999996</v>
      </c>
      <c r="N53">
        <v>3.95</v>
      </c>
      <c r="O53">
        <v>16.463100000000001</v>
      </c>
      <c r="Q53">
        <v>7.3396999999999997</v>
      </c>
      <c r="R53">
        <v>6.2958999999999996</v>
      </c>
      <c r="S53">
        <v>9.0140999999999991</v>
      </c>
      <c r="U53">
        <v>6.7887000000000004</v>
      </c>
      <c r="V53">
        <v>3.4952999999999999</v>
      </c>
      <c r="W53">
        <v>16.630600000000001</v>
      </c>
      <c r="Y53">
        <v>7.1685999999999996</v>
      </c>
      <c r="Z53">
        <v>3.95</v>
      </c>
      <c r="AA53">
        <v>16.463100000000001</v>
      </c>
      <c r="AC53">
        <v>8.1925000000000008</v>
      </c>
      <c r="AD53">
        <v>6.4471999999999996</v>
      </c>
      <c r="AE53">
        <v>11.6435</v>
      </c>
    </row>
    <row r="54" spans="1:31" ht="18" customHeight="1">
      <c r="B54">
        <v>800</v>
      </c>
      <c r="C54">
        <v>800</v>
      </c>
      <c r="E54">
        <v>11.857900000000001</v>
      </c>
      <c r="F54">
        <v>10.3119</v>
      </c>
      <c r="G54">
        <v>13.786799999999999</v>
      </c>
      <c r="I54">
        <v>12.1157</v>
      </c>
      <c r="J54">
        <v>10.5502</v>
      </c>
      <c r="K54">
        <v>14.066000000000001</v>
      </c>
      <c r="M54">
        <v>10.518000000000001</v>
      </c>
      <c r="N54">
        <v>6.9417</v>
      </c>
      <c r="O54">
        <v>16.563199999999998</v>
      </c>
      <c r="Q54">
        <v>11.9519</v>
      </c>
      <c r="R54">
        <v>10.8002</v>
      </c>
      <c r="S54">
        <v>13.3636</v>
      </c>
      <c r="U54">
        <v>10.0687</v>
      </c>
      <c r="V54">
        <v>6.4132999999999996</v>
      </c>
      <c r="W54">
        <v>16.603400000000001</v>
      </c>
      <c r="Y54">
        <v>13.268700000000001</v>
      </c>
      <c r="Z54">
        <v>10.929</v>
      </c>
      <c r="AA54">
        <v>16.448599999999999</v>
      </c>
      <c r="AC54">
        <v>12.345000000000001</v>
      </c>
      <c r="AD54">
        <v>10.4626</v>
      </c>
      <c r="AE54">
        <v>14.7723</v>
      </c>
    </row>
    <row r="55" spans="1:31" ht="18" customHeight="1"/>
    <row r="56" spans="1:31" ht="18" customHeight="1">
      <c r="B56">
        <v>500</v>
      </c>
      <c r="C56">
        <v>1500</v>
      </c>
    </row>
    <row r="57" spans="1:31" ht="18" customHeight="1">
      <c r="A57" t="s">
        <v>18</v>
      </c>
      <c r="B57">
        <v>600</v>
      </c>
      <c r="C57">
        <v>1400</v>
      </c>
      <c r="E57">
        <v>10.873699999999999</v>
      </c>
      <c r="F57">
        <v>6.7602000000000002</v>
      </c>
      <c r="G57">
        <v>13.596</v>
      </c>
      <c r="I57">
        <v>10.895300000000001</v>
      </c>
      <c r="J57">
        <v>6.9404000000000003</v>
      </c>
      <c r="K57">
        <v>13.460100000000001</v>
      </c>
      <c r="M57">
        <v>9.6812000000000005</v>
      </c>
      <c r="N57">
        <v>3.5644</v>
      </c>
      <c r="O57">
        <v>16.652699999999999</v>
      </c>
      <c r="Q57">
        <v>9.0244999999999997</v>
      </c>
      <c r="R57">
        <v>11.879899999999999</v>
      </c>
      <c r="S57">
        <v>8.0916999999999994</v>
      </c>
      <c r="U57">
        <v>9.6812000000000005</v>
      </c>
      <c r="V57">
        <v>3.5644</v>
      </c>
      <c r="W57">
        <v>16.652699999999999</v>
      </c>
      <c r="Y57">
        <v>10.3087</v>
      </c>
      <c r="Z57">
        <v>4.1245000000000003</v>
      </c>
      <c r="AA57">
        <v>16.644500000000001</v>
      </c>
      <c r="AC57">
        <v>10.9826</v>
      </c>
      <c r="AD57">
        <v>6.4189999999999996</v>
      </c>
      <c r="AE57">
        <v>14.1607</v>
      </c>
    </row>
    <row r="58" spans="1:31" ht="18" customHeight="1">
      <c r="B58">
        <v>700</v>
      </c>
      <c r="C58">
        <v>1300</v>
      </c>
    </row>
    <row r="59" spans="1:31" ht="18" customHeight="1">
      <c r="B59">
        <v>800</v>
      </c>
      <c r="C59">
        <v>1200</v>
      </c>
      <c r="E59">
        <v>10.3843</v>
      </c>
      <c r="F59">
        <v>6.4631999999999996</v>
      </c>
      <c r="G59">
        <v>14.8842</v>
      </c>
      <c r="I59">
        <v>10.3843</v>
      </c>
      <c r="J59">
        <v>6.4633000000000003</v>
      </c>
      <c r="K59">
        <v>14.8842</v>
      </c>
      <c r="M59">
        <v>9.0421999999999993</v>
      </c>
      <c r="N59">
        <v>4.3182999999999998</v>
      </c>
      <c r="O59">
        <v>16.670000000000002</v>
      </c>
      <c r="Q59">
        <v>9.6593</v>
      </c>
      <c r="R59">
        <v>10.172000000000001</v>
      </c>
      <c r="S59">
        <v>9.3020999999999994</v>
      </c>
      <c r="U59">
        <v>8.4617000000000004</v>
      </c>
      <c r="V59">
        <v>3.7801</v>
      </c>
      <c r="W59">
        <v>16.670000000000002</v>
      </c>
      <c r="Y59">
        <v>9.0361999999999991</v>
      </c>
      <c r="Z59">
        <v>4.3014999999999999</v>
      </c>
      <c r="AA59">
        <v>16.6675</v>
      </c>
      <c r="AC59">
        <v>9.4969999999999999</v>
      </c>
      <c r="AD59">
        <v>6.5189000000000004</v>
      </c>
      <c r="AE59">
        <v>12.682399999999999</v>
      </c>
    </row>
    <row r="60" spans="1:31" ht="18" customHeight="1">
      <c r="B60">
        <v>900</v>
      </c>
      <c r="C60">
        <v>1100</v>
      </c>
    </row>
    <row r="61" spans="1:31" ht="18" customHeight="1">
      <c r="B61">
        <v>1000</v>
      </c>
      <c r="C61">
        <v>1000</v>
      </c>
      <c r="E61">
        <v>9.0975000000000001</v>
      </c>
      <c r="F61">
        <v>7.1180000000000003</v>
      </c>
      <c r="G61">
        <v>12.091900000000001</v>
      </c>
      <c r="I61">
        <v>10.602499999999999</v>
      </c>
      <c r="J61">
        <v>7.4946999999999999</v>
      </c>
      <c r="K61">
        <v>15.3055</v>
      </c>
      <c r="M61">
        <v>7.9089</v>
      </c>
      <c r="N61">
        <v>4.0513000000000003</v>
      </c>
      <c r="O61">
        <v>16.582599999999999</v>
      </c>
      <c r="Q61">
        <v>10.0284</v>
      </c>
      <c r="R61">
        <v>9.4101999999999997</v>
      </c>
      <c r="S61">
        <v>10.6722</v>
      </c>
      <c r="U61">
        <v>7.3555999999999999</v>
      </c>
      <c r="V61">
        <v>3.4843999999999999</v>
      </c>
      <c r="W61">
        <v>16.6371</v>
      </c>
      <c r="Y61">
        <v>8.2682000000000002</v>
      </c>
      <c r="Z61">
        <v>4.4401999999999999</v>
      </c>
      <c r="AA61">
        <v>16.425599999999999</v>
      </c>
      <c r="AC61">
        <v>9.5617999999999999</v>
      </c>
      <c r="AD61">
        <v>7.3834999999999997</v>
      </c>
      <c r="AE61">
        <v>12.8902</v>
      </c>
    </row>
    <row r="62" spans="1:31" ht="18" customHeight="1">
      <c r="B62">
        <v>1100</v>
      </c>
      <c r="C62">
        <v>900</v>
      </c>
    </row>
    <row r="63" spans="1:31" ht="18" customHeight="1">
      <c r="B63">
        <v>1200</v>
      </c>
      <c r="C63">
        <v>800</v>
      </c>
      <c r="E63">
        <v>7.1044</v>
      </c>
      <c r="F63">
        <v>5.2713000000000001</v>
      </c>
      <c r="G63">
        <v>11.495799999999999</v>
      </c>
      <c r="I63">
        <v>7.1044</v>
      </c>
      <c r="J63">
        <v>5.2713000000000001</v>
      </c>
      <c r="K63">
        <v>11.495799999999999</v>
      </c>
      <c r="M63">
        <v>5.726</v>
      </c>
      <c r="N63">
        <v>2.8403</v>
      </c>
      <c r="O63">
        <v>16.634799999999998</v>
      </c>
      <c r="Q63">
        <v>8.2096</v>
      </c>
      <c r="R63">
        <v>6.9287999999999998</v>
      </c>
      <c r="S63">
        <v>10.800800000000001</v>
      </c>
      <c r="U63">
        <v>5.726</v>
      </c>
      <c r="V63">
        <v>2.8403</v>
      </c>
      <c r="W63">
        <v>16.634799999999998</v>
      </c>
      <c r="Y63">
        <v>6.5178000000000003</v>
      </c>
      <c r="Z63">
        <v>3.6324999999999998</v>
      </c>
      <c r="AA63">
        <v>16.592099999999999</v>
      </c>
      <c r="AC63">
        <v>8.5557999999999996</v>
      </c>
      <c r="AD63">
        <v>7.5217000000000001</v>
      </c>
      <c r="AE63">
        <v>10.5854</v>
      </c>
    </row>
    <row r="64" spans="1:31" ht="18" customHeight="1">
      <c r="B64">
        <v>1300</v>
      </c>
      <c r="C64">
        <v>700</v>
      </c>
    </row>
    <row r="65" spans="1:31" ht="18" customHeight="1">
      <c r="B65">
        <v>1400</v>
      </c>
      <c r="C65">
        <v>600</v>
      </c>
      <c r="E65">
        <v>8.8661999999999992</v>
      </c>
      <c r="F65">
        <v>7.4888000000000003</v>
      </c>
      <c r="G65">
        <v>14.446099999999999</v>
      </c>
      <c r="I65">
        <v>7.7232000000000003</v>
      </c>
      <c r="J65">
        <v>6.3944999999999999</v>
      </c>
      <c r="K65">
        <v>13.1418</v>
      </c>
      <c r="M65">
        <v>7.5437000000000003</v>
      </c>
      <c r="N65">
        <v>5.7862</v>
      </c>
      <c r="O65">
        <v>16.4072</v>
      </c>
      <c r="Q65">
        <v>8.3696999999999999</v>
      </c>
      <c r="R65">
        <v>7.1402999999999999</v>
      </c>
      <c r="S65">
        <v>13.1921</v>
      </c>
      <c r="U65">
        <v>5.6589</v>
      </c>
      <c r="V65">
        <v>3.7948</v>
      </c>
      <c r="W65">
        <v>16.576499999999999</v>
      </c>
      <c r="Y65">
        <v>7.9965999999999999</v>
      </c>
      <c r="Z65">
        <v>6.3049999999999997</v>
      </c>
      <c r="AA65">
        <v>16.166799999999999</v>
      </c>
      <c r="AC65">
        <v>8.3696999999999999</v>
      </c>
      <c r="AD65">
        <v>7.1402999999999999</v>
      </c>
      <c r="AE65">
        <v>13.1921</v>
      </c>
    </row>
    <row r="66" spans="1:31" ht="18" customHeight="1">
      <c r="B66">
        <v>1500</v>
      </c>
      <c r="C66">
        <v>500</v>
      </c>
    </row>
    <row r="67" spans="1:31" ht="18" customHeight="1"/>
    <row r="68" spans="1:31" ht="18" customHeight="1">
      <c r="B68">
        <v>1000</v>
      </c>
      <c r="C68">
        <v>1400</v>
      </c>
      <c r="E68">
        <v>9.7014999999999993</v>
      </c>
      <c r="F68">
        <v>4.9908999999999999</v>
      </c>
      <c r="G68">
        <v>16.219100000000001</v>
      </c>
      <c r="I68">
        <v>9.7014999999999993</v>
      </c>
      <c r="J68">
        <v>4.9908999999999999</v>
      </c>
      <c r="K68">
        <v>16.219100000000001</v>
      </c>
      <c r="M68">
        <v>7.6887999999999996</v>
      </c>
      <c r="N68">
        <v>2.8022999999999998</v>
      </c>
      <c r="O68">
        <v>16.670000000000002</v>
      </c>
      <c r="Q68">
        <v>5.4813000000000001</v>
      </c>
      <c r="R68">
        <v>5.1715</v>
      </c>
      <c r="S68">
        <v>5.7366000000000001</v>
      </c>
      <c r="U68">
        <v>7.6887999999999996</v>
      </c>
      <c r="V68">
        <v>2.8022999999999998</v>
      </c>
      <c r="W68">
        <v>16.670000000000002</v>
      </c>
      <c r="Y68">
        <v>9.6834000000000007</v>
      </c>
      <c r="Z68">
        <v>4.8479000000000001</v>
      </c>
      <c r="AA68">
        <v>16.540099999999999</v>
      </c>
      <c r="AC68">
        <v>9.7014999999999993</v>
      </c>
      <c r="AD68">
        <v>4.9908999999999999</v>
      </c>
      <c r="AE68">
        <v>16.219100000000001</v>
      </c>
    </row>
    <row r="69" spans="1:31" ht="18" customHeight="1">
      <c r="B69">
        <v>1200</v>
      </c>
      <c r="C69">
        <v>1200</v>
      </c>
      <c r="E69">
        <v>7.2008999999999999</v>
      </c>
      <c r="F69">
        <v>4.9349999999999996</v>
      </c>
      <c r="G69">
        <v>10.8612</v>
      </c>
      <c r="I69">
        <v>7.2184999999999997</v>
      </c>
      <c r="J69">
        <v>4.9169</v>
      </c>
      <c r="K69">
        <v>10.936199999999999</v>
      </c>
      <c r="M69">
        <v>6.4237000000000002</v>
      </c>
      <c r="N69">
        <v>2.4335</v>
      </c>
      <c r="O69">
        <v>16.545000000000002</v>
      </c>
      <c r="Q69">
        <v>7.8674999999999997</v>
      </c>
      <c r="R69">
        <v>7.8292999999999999</v>
      </c>
      <c r="S69">
        <v>7.9118000000000004</v>
      </c>
      <c r="U69">
        <v>6.4237000000000002</v>
      </c>
      <c r="V69">
        <v>2.4335</v>
      </c>
      <c r="W69">
        <v>16.545000000000002</v>
      </c>
      <c r="Y69">
        <v>6.8212000000000002</v>
      </c>
      <c r="Z69">
        <v>2.7934000000000001</v>
      </c>
      <c r="AA69">
        <v>16.558</v>
      </c>
      <c r="AC69">
        <v>7.5102000000000002</v>
      </c>
      <c r="AD69">
        <v>5.5293999999999999</v>
      </c>
      <c r="AE69">
        <v>10.725099999999999</v>
      </c>
    </row>
    <row r="70" spans="1:31" ht="18" customHeight="1">
      <c r="B70">
        <v>1400</v>
      </c>
      <c r="C70">
        <v>1000</v>
      </c>
      <c r="E70">
        <v>7.3430999999999997</v>
      </c>
      <c r="F70">
        <v>5.0141</v>
      </c>
      <c r="G70">
        <v>12.613200000000001</v>
      </c>
      <c r="I70">
        <v>7.4660000000000002</v>
      </c>
      <c r="J70">
        <v>5.6550000000000002</v>
      </c>
      <c r="K70">
        <v>11.428900000000001</v>
      </c>
      <c r="M70">
        <v>5.6765999999999996</v>
      </c>
      <c r="N70">
        <v>2.7042000000000002</v>
      </c>
      <c r="O70">
        <v>16.4787</v>
      </c>
      <c r="Q70">
        <v>6.1245000000000003</v>
      </c>
      <c r="R70">
        <v>5.0904999999999996</v>
      </c>
      <c r="S70">
        <v>7.8830999999999998</v>
      </c>
      <c r="U70">
        <v>5.2866</v>
      </c>
      <c r="V70">
        <v>2.2839999999999998</v>
      </c>
      <c r="W70">
        <v>16.6128</v>
      </c>
      <c r="Y70">
        <v>5.6765999999999996</v>
      </c>
      <c r="Z70">
        <v>2.7042000000000002</v>
      </c>
      <c r="AA70">
        <v>16.4787</v>
      </c>
      <c r="AC70">
        <v>7.1086999999999998</v>
      </c>
      <c r="AD70">
        <v>5.3238000000000003</v>
      </c>
      <c r="AE70">
        <v>11.0602</v>
      </c>
    </row>
    <row r="71" spans="1:31" ht="18" customHeight="1">
      <c r="B71">
        <v>800</v>
      </c>
      <c r="C71">
        <v>800</v>
      </c>
      <c r="E71">
        <v>11.150700000000001</v>
      </c>
      <c r="F71">
        <v>9.4467999999999996</v>
      </c>
      <c r="G71">
        <v>13.314</v>
      </c>
      <c r="I71">
        <v>11.4453</v>
      </c>
      <c r="J71">
        <v>9.7141999999999999</v>
      </c>
      <c r="K71">
        <v>13.6395</v>
      </c>
      <c r="M71">
        <v>9.6388999999999996</v>
      </c>
      <c r="N71">
        <v>5.7934999999999999</v>
      </c>
      <c r="O71">
        <v>16.594000000000001</v>
      </c>
      <c r="Q71">
        <v>11.2578</v>
      </c>
      <c r="R71">
        <v>10.002599999999999</v>
      </c>
      <c r="S71">
        <v>12.818899999999999</v>
      </c>
      <c r="U71">
        <v>9.2310999999999996</v>
      </c>
      <c r="V71">
        <v>5.4122000000000003</v>
      </c>
      <c r="W71">
        <v>16.589400000000001</v>
      </c>
      <c r="Y71">
        <v>12.757</v>
      </c>
      <c r="Z71">
        <v>10.1294</v>
      </c>
      <c r="AA71">
        <v>16.455300000000001</v>
      </c>
      <c r="AC71">
        <v>11.6999</v>
      </c>
      <c r="AD71">
        <v>9.6092999999999993</v>
      </c>
      <c r="AE71">
        <v>14.4604</v>
      </c>
    </row>
    <row r="72" spans="1:31" ht="18" customHeight="1"/>
    <row r="73" spans="1:31" ht="18" customHeight="1">
      <c r="B73">
        <v>500</v>
      </c>
      <c r="C73">
        <v>1500</v>
      </c>
    </row>
    <row r="74" spans="1:31" ht="18" customHeight="1">
      <c r="A74" t="s">
        <v>20</v>
      </c>
      <c r="B74">
        <v>600</v>
      </c>
      <c r="C74">
        <v>1400</v>
      </c>
      <c r="E74">
        <v>9.7446999999999999</v>
      </c>
      <c r="F74">
        <v>5.5281000000000002</v>
      </c>
      <c r="G74">
        <v>13.8523</v>
      </c>
      <c r="I74">
        <v>9.7979000000000003</v>
      </c>
      <c r="J74">
        <v>5.7967000000000004</v>
      </c>
      <c r="K74">
        <v>13.537800000000001</v>
      </c>
      <c r="M74">
        <v>8.2514000000000003</v>
      </c>
      <c r="N74">
        <v>2.8433999999999999</v>
      </c>
      <c r="O74">
        <v>16.632100000000001</v>
      </c>
      <c r="Q74">
        <v>8.6090999999999998</v>
      </c>
      <c r="R74">
        <v>11.1433</v>
      </c>
      <c r="S74">
        <v>7.7773000000000003</v>
      </c>
      <c r="U74">
        <v>8.2514000000000003</v>
      </c>
      <c r="V74">
        <v>2.8433999999999999</v>
      </c>
      <c r="W74">
        <v>16.632100000000001</v>
      </c>
      <c r="Y74">
        <v>8.7231000000000005</v>
      </c>
      <c r="Z74">
        <v>3.2061000000000002</v>
      </c>
      <c r="AA74">
        <v>16.627700000000001</v>
      </c>
      <c r="AC74">
        <v>9.9446999999999992</v>
      </c>
      <c r="AD74">
        <v>5.0491000000000001</v>
      </c>
      <c r="AE74">
        <v>15.212899999999999</v>
      </c>
    </row>
    <row r="75" spans="1:31" ht="18" customHeight="1">
      <c r="B75">
        <v>700</v>
      </c>
      <c r="C75">
        <v>1300</v>
      </c>
    </row>
    <row r="76" spans="1:31" ht="18" customHeight="1">
      <c r="B76">
        <v>800</v>
      </c>
      <c r="C76">
        <v>1200</v>
      </c>
      <c r="E76">
        <v>8.6925000000000008</v>
      </c>
      <c r="F76">
        <v>3.6800999999999999</v>
      </c>
      <c r="G76">
        <v>16.635300000000001</v>
      </c>
      <c r="I76">
        <v>8.6925000000000008</v>
      </c>
      <c r="J76">
        <v>3.6800999999999999</v>
      </c>
      <c r="K76">
        <v>16.635300000000001</v>
      </c>
      <c r="M76">
        <v>6.8912000000000004</v>
      </c>
      <c r="N76">
        <v>2.3107000000000002</v>
      </c>
      <c r="O76">
        <v>16.670000000000002</v>
      </c>
      <c r="Q76">
        <v>8.6494999999999997</v>
      </c>
      <c r="R76">
        <v>8.5891000000000002</v>
      </c>
      <c r="S76">
        <v>8.6925000000000008</v>
      </c>
      <c r="U76">
        <v>6.4576000000000002</v>
      </c>
      <c r="V76">
        <v>1.9637</v>
      </c>
      <c r="W76">
        <v>16.670000000000002</v>
      </c>
      <c r="Y76">
        <v>6.8913000000000002</v>
      </c>
      <c r="Z76">
        <v>2.3107000000000002</v>
      </c>
      <c r="AA76">
        <v>16.670000000000002</v>
      </c>
      <c r="AC76">
        <v>7.5373999999999999</v>
      </c>
      <c r="AD76">
        <v>3.7322000000000002</v>
      </c>
      <c r="AE76">
        <v>12.7149</v>
      </c>
    </row>
    <row r="77" spans="1:31" ht="18" customHeight="1">
      <c r="B77">
        <v>900</v>
      </c>
      <c r="C77">
        <v>1100</v>
      </c>
    </row>
    <row r="78" spans="1:31" ht="18" customHeight="1">
      <c r="B78">
        <v>1000</v>
      </c>
      <c r="C78">
        <v>1000</v>
      </c>
      <c r="E78">
        <v>7.5970000000000004</v>
      </c>
      <c r="F78">
        <v>6.2027000000000001</v>
      </c>
      <c r="G78">
        <v>9.99</v>
      </c>
      <c r="I78">
        <v>8.3742000000000001</v>
      </c>
      <c r="J78">
        <v>4.9086999999999996</v>
      </c>
      <c r="K78">
        <v>15.736599999999999</v>
      </c>
      <c r="M78">
        <v>5.7591999999999999</v>
      </c>
      <c r="N78">
        <v>2.3513999999999999</v>
      </c>
      <c r="O78">
        <v>16.614899999999999</v>
      </c>
      <c r="Q78">
        <v>8.6570999999999998</v>
      </c>
      <c r="R78">
        <v>7.5396000000000001</v>
      </c>
      <c r="S78">
        <v>10.031000000000001</v>
      </c>
      <c r="U78">
        <v>5.3739999999999997</v>
      </c>
      <c r="V78">
        <v>2.0304000000000002</v>
      </c>
      <c r="W78">
        <v>16.596499999999999</v>
      </c>
      <c r="Y78">
        <v>5.8608000000000002</v>
      </c>
      <c r="Z78">
        <v>2.3334000000000001</v>
      </c>
      <c r="AA78">
        <v>16.670000000000002</v>
      </c>
      <c r="AC78">
        <v>8.3865999999999996</v>
      </c>
      <c r="AD78">
        <v>6.6547000000000001</v>
      </c>
      <c r="AE78">
        <v>11.424300000000001</v>
      </c>
    </row>
    <row r="79" spans="1:31" ht="18" customHeight="1">
      <c r="B79">
        <v>1100</v>
      </c>
      <c r="C79">
        <v>900</v>
      </c>
    </row>
    <row r="80" spans="1:31" ht="18" customHeight="1">
      <c r="B80">
        <v>1200</v>
      </c>
      <c r="C80">
        <v>800</v>
      </c>
      <c r="E80">
        <v>5.4961000000000002</v>
      </c>
      <c r="F80">
        <v>3.5724999999999998</v>
      </c>
      <c r="G80">
        <v>10.4436</v>
      </c>
      <c r="I80">
        <v>5.4961000000000002</v>
      </c>
      <c r="J80">
        <v>3.5724999999999998</v>
      </c>
      <c r="K80">
        <v>10.4436</v>
      </c>
      <c r="M80">
        <v>3.8386999999999998</v>
      </c>
      <c r="N80">
        <v>1.1348</v>
      </c>
      <c r="O80">
        <v>16.595400000000001</v>
      </c>
      <c r="Q80">
        <v>6.9825999999999997</v>
      </c>
      <c r="R80">
        <v>5.367</v>
      </c>
      <c r="S80">
        <v>10.4086</v>
      </c>
      <c r="U80">
        <v>3.8386999999999998</v>
      </c>
      <c r="V80">
        <v>1.1348</v>
      </c>
      <c r="W80">
        <v>16.595400000000001</v>
      </c>
      <c r="Y80">
        <v>4.4099000000000004</v>
      </c>
      <c r="Z80">
        <v>1.6632</v>
      </c>
      <c r="AA80">
        <v>16.595099999999999</v>
      </c>
      <c r="AC80">
        <v>7.1351000000000004</v>
      </c>
      <c r="AD80">
        <v>5.9715999999999996</v>
      </c>
      <c r="AE80">
        <v>9.5888000000000009</v>
      </c>
    </row>
    <row r="81" spans="1:31" ht="18" customHeight="1">
      <c r="B81">
        <v>1300</v>
      </c>
      <c r="C81">
        <v>700</v>
      </c>
    </row>
    <row r="82" spans="1:31" ht="18" customHeight="1">
      <c r="B82">
        <v>1400</v>
      </c>
      <c r="C82">
        <v>600</v>
      </c>
      <c r="E82">
        <v>8.5119000000000007</v>
      </c>
      <c r="F82">
        <v>7.1551999999999998</v>
      </c>
      <c r="G82">
        <v>14.3094</v>
      </c>
      <c r="I82">
        <v>6.1642999999999999</v>
      </c>
      <c r="J82">
        <v>4.6767000000000003</v>
      </c>
      <c r="K82">
        <v>12.663600000000001</v>
      </c>
      <c r="M82">
        <v>5.3075999999999999</v>
      </c>
      <c r="N82">
        <v>3.4701</v>
      </c>
      <c r="O82">
        <v>16.479500000000002</v>
      </c>
      <c r="Q82">
        <v>7.3658000000000001</v>
      </c>
      <c r="R82">
        <v>5.8813000000000004</v>
      </c>
      <c r="S82">
        <v>13.9818</v>
      </c>
      <c r="U82">
        <v>3.8915000000000002</v>
      </c>
      <c r="V82">
        <v>2.1008</v>
      </c>
      <c r="W82">
        <v>16.477499999999999</v>
      </c>
      <c r="Y82">
        <v>5.8501000000000003</v>
      </c>
      <c r="Z82">
        <v>4.0010000000000003</v>
      </c>
      <c r="AA82">
        <v>16.4175</v>
      </c>
      <c r="AC82">
        <v>7.3658000000000001</v>
      </c>
      <c r="AD82">
        <v>5.8813000000000004</v>
      </c>
      <c r="AE82">
        <v>13.9818</v>
      </c>
    </row>
    <row r="83" spans="1:31" ht="18" customHeight="1">
      <c r="B83">
        <v>1500</v>
      </c>
      <c r="C83">
        <v>500</v>
      </c>
    </row>
    <row r="84" spans="1:31" ht="18" customHeight="1"/>
    <row r="85" spans="1:31" ht="18" customHeight="1">
      <c r="B85">
        <v>1000</v>
      </c>
      <c r="C85">
        <v>1400</v>
      </c>
      <c r="E85">
        <v>7.6146000000000003</v>
      </c>
      <c r="F85">
        <v>2.6278000000000001</v>
      </c>
      <c r="G85">
        <v>16.657299999999999</v>
      </c>
      <c r="I85">
        <v>7.6146000000000003</v>
      </c>
      <c r="J85">
        <v>2.6278000000000001</v>
      </c>
      <c r="K85">
        <v>16.657299999999999</v>
      </c>
      <c r="M85">
        <v>6.0110000000000001</v>
      </c>
      <c r="N85">
        <v>1.3221000000000001</v>
      </c>
      <c r="O85">
        <v>16.670000000000002</v>
      </c>
      <c r="Q85">
        <v>3.3933</v>
      </c>
      <c r="R85">
        <v>2.8012999999999999</v>
      </c>
      <c r="S85">
        <v>3.9097</v>
      </c>
      <c r="U85">
        <v>6.0110000000000001</v>
      </c>
      <c r="V85">
        <v>1.3221000000000001</v>
      </c>
      <c r="W85">
        <v>16.670000000000002</v>
      </c>
      <c r="Y85">
        <v>7.5058999999999996</v>
      </c>
      <c r="Z85">
        <v>2.5139999999999998</v>
      </c>
      <c r="AA85">
        <v>16.670000000000002</v>
      </c>
      <c r="AC85">
        <v>7.6146000000000003</v>
      </c>
      <c r="AD85">
        <v>2.6278000000000001</v>
      </c>
      <c r="AE85">
        <v>16.657299999999999</v>
      </c>
    </row>
    <row r="86" spans="1:31" ht="18" customHeight="1">
      <c r="B86">
        <v>1200</v>
      </c>
      <c r="C86">
        <v>1200</v>
      </c>
      <c r="E86">
        <v>6.1878000000000002</v>
      </c>
      <c r="F86">
        <v>3.7393999999999998</v>
      </c>
      <c r="G86">
        <v>10.309200000000001</v>
      </c>
      <c r="I86">
        <v>6.2182000000000004</v>
      </c>
      <c r="J86">
        <v>3.7086999999999999</v>
      </c>
      <c r="K86">
        <v>10.442399999999999</v>
      </c>
      <c r="M86">
        <v>4.8544</v>
      </c>
      <c r="N86">
        <v>0.92569999999999997</v>
      </c>
      <c r="O86">
        <v>16.423999999999999</v>
      </c>
      <c r="Q86">
        <v>6.8164999999999996</v>
      </c>
      <c r="R86">
        <v>7.0712000000000002</v>
      </c>
      <c r="S86">
        <v>6.5503999999999998</v>
      </c>
      <c r="U86">
        <v>4.8544</v>
      </c>
      <c r="V86">
        <v>0.92569999999999997</v>
      </c>
      <c r="W86">
        <v>16.423999999999999</v>
      </c>
      <c r="Y86">
        <v>5.1422999999999996</v>
      </c>
      <c r="Z86">
        <v>1.2072000000000001</v>
      </c>
      <c r="AA86">
        <v>16.447900000000001</v>
      </c>
      <c r="AC86">
        <v>6.2474999999999996</v>
      </c>
      <c r="AD86">
        <v>4.3601000000000001</v>
      </c>
      <c r="AE86">
        <v>9.3658000000000001</v>
      </c>
    </row>
    <row r="87" spans="1:31" ht="18" customHeight="1">
      <c r="B87">
        <v>1400</v>
      </c>
      <c r="C87">
        <v>1000</v>
      </c>
      <c r="E87">
        <v>6.2267999999999999</v>
      </c>
      <c r="F87">
        <v>3.0924999999999998</v>
      </c>
      <c r="G87">
        <v>14.4095</v>
      </c>
      <c r="I87">
        <v>6.4782000000000002</v>
      </c>
      <c r="J87">
        <v>4.1962000000000002</v>
      </c>
      <c r="K87">
        <v>12.071099999999999</v>
      </c>
      <c r="M87">
        <v>4.5820999999999996</v>
      </c>
      <c r="N87">
        <v>1.2794000000000001</v>
      </c>
      <c r="O87">
        <v>16.5305</v>
      </c>
      <c r="Q87">
        <v>4.1345999999999998</v>
      </c>
      <c r="R87">
        <v>2.3060999999999998</v>
      </c>
      <c r="S87">
        <v>7.2259000000000002</v>
      </c>
      <c r="U87">
        <v>3.9382999999999999</v>
      </c>
      <c r="V87">
        <v>0.60009999999999997</v>
      </c>
      <c r="W87">
        <v>16.670000000000002</v>
      </c>
      <c r="Y87">
        <v>4.5820999999999996</v>
      </c>
      <c r="Z87">
        <v>1.2794000000000001</v>
      </c>
      <c r="AA87">
        <v>16.5305</v>
      </c>
      <c r="AC87">
        <v>5.8242000000000003</v>
      </c>
      <c r="AD87">
        <v>3.6116999999999999</v>
      </c>
      <c r="AE87">
        <v>11.364000000000001</v>
      </c>
    </row>
    <row r="88" spans="1:31" s="2" customFormat="1" ht="18" customHeight="1">
      <c r="B88" s="2">
        <v>800</v>
      </c>
      <c r="C88" s="2">
        <v>800</v>
      </c>
      <c r="E88" s="2">
        <v>9.5777000000000001</v>
      </c>
      <c r="F88" s="2">
        <v>7.9428999999999998</v>
      </c>
      <c r="G88" s="2">
        <v>11.796200000000001</v>
      </c>
      <c r="I88" s="2">
        <v>10.0913</v>
      </c>
      <c r="J88" s="2">
        <v>8.3924000000000003</v>
      </c>
      <c r="K88" s="2">
        <v>12.3924</v>
      </c>
      <c r="M88" s="2">
        <v>7.2784000000000004</v>
      </c>
      <c r="N88" s="2">
        <v>3.2519999999999998</v>
      </c>
      <c r="O88" s="2">
        <v>16.670000000000002</v>
      </c>
      <c r="Q88" s="2">
        <v>9.7628000000000004</v>
      </c>
      <c r="R88" s="2">
        <v>8.9041999999999994</v>
      </c>
      <c r="S88" s="2">
        <v>10.8847</v>
      </c>
      <c r="U88" s="2">
        <v>7.2595000000000001</v>
      </c>
      <c r="V88" s="2">
        <v>3.3997000000000002</v>
      </c>
      <c r="W88" s="2">
        <v>16.504100000000001</v>
      </c>
      <c r="Y88" s="2">
        <v>12.141999999999999</v>
      </c>
      <c r="Z88" s="2">
        <v>9.2620000000000005</v>
      </c>
      <c r="AA88" s="2">
        <v>16.470800000000001</v>
      </c>
      <c r="AC88" s="2">
        <v>10.1402</v>
      </c>
      <c r="AD88" s="2">
        <v>7.8353000000000002</v>
      </c>
      <c r="AE88" s="2">
        <v>13.603300000000001</v>
      </c>
    </row>
    <row r="90" spans="1:31" ht="18" customHeight="1">
      <c r="A90" t="s">
        <v>14</v>
      </c>
      <c r="B90">
        <v>500</v>
      </c>
      <c r="C90">
        <v>1500</v>
      </c>
    </row>
    <row r="91" spans="1:31" ht="18" customHeight="1">
      <c r="A91" t="s">
        <v>21</v>
      </c>
      <c r="B91">
        <v>600</v>
      </c>
      <c r="C91">
        <v>1400</v>
      </c>
      <c r="E91">
        <v>11.2386</v>
      </c>
      <c r="F91">
        <v>6.3810000000000002</v>
      </c>
      <c r="G91">
        <v>15.125500000000001</v>
      </c>
      <c r="I91">
        <v>10.778499999999999</v>
      </c>
      <c r="J91">
        <v>6.55</v>
      </c>
      <c r="K91">
        <v>13.893000000000001</v>
      </c>
      <c r="M91">
        <v>10.7538</v>
      </c>
      <c r="N91">
        <v>4.6009000000000002</v>
      </c>
      <c r="O91">
        <v>16.656500000000001</v>
      </c>
      <c r="Q91">
        <v>9.9034999999999993</v>
      </c>
      <c r="R91">
        <v>11.5267</v>
      </c>
      <c r="S91">
        <v>9.2236999999999991</v>
      </c>
      <c r="U91">
        <v>10.7538</v>
      </c>
      <c r="V91">
        <v>4.6009000000000002</v>
      </c>
      <c r="W91">
        <v>16.656500000000001</v>
      </c>
      <c r="Y91">
        <v>10.7538</v>
      </c>
      <c r="Z91">
        <v>4.6009000000000002</v>
      </c>
      <c r="AA91">
        <v>16.656500000000001</v>
      </c>
      <c r="AC91">
        <v>11.0184</v>
      </c>
      <c r="AD91">
        <v>6.0109000000000004</v>
      </c>
      <c r="AE91">
        <v>15.1607</v>
      </c>
    </row>
    <row r="92" spans="1:31" ht="18" customHeight="1">
      <c r="A92" t="s">
        <v>16</v>
      </c>
      <c r="B92">
        <v>700</v>
      </c>
      <c r="C92">
        <v>1300</v>
      </c>
    </row>
    <row r="93" spans="1:31" ht="18" customHeight="1">
      <c r="A93" t="s">
        <v>17</v>
      </c>
      <c r="B93">
        <v>800</v>
      </c>
      <c r="C93">
        <v>1200</v>
      </c>
    </row>
    <row r="94" spans="1:31" ht="18" customHeight="1">
      <c r="B94">
        <v>900</v>
      </c>
      <c r="C94">
        <v>1100</v>
      </c>
    </row>
    <row r="95" spans="1:31" ht="18" customHeight="1">
      <c r="B95">
        <v>1000</v>
      </c>
      <c r="C95">
        <v>1000</v>
      </c>
      <c r="E95">
        <v>8.7384000000000004</v>
      </c>
      <c r="F95">
        <v>6.2915000000000001</v>
      </c>
      <c r="G95">
        <v>12.247999999999999</v>
      </c>
      <c r="I95">
        <v>9.4062000000000001</v>
      </c>
      <c r="J95">
        <v>7.2557999999999998</v>
      </c>
      <c r="K95">
        <v>12.3132</v>
      </c>
      <c r="M95">
        <v>8.1518999999999995</v>
      </c>
      <c r="N95">
        <v>3.9754999999999998</v>
      </c>
      <c r="O95">
        <v>16.652100000000001</v>
      </c>
      <c r="Q95">
        <v>9.3396000000000008</v>
      </c>
      <c r="R95">
        <v>8.4319000000000006</v>
      </c>
      <c r="S95">
        <v>10.317299999999999</v>
      </c>
      <c r="U95">
        <v>8.1518999999999995</v>
      </c>
      <c r="V95">
        <v>3.9754999999999998</v>
      </c>
      <c r="W95">
        <v>16.652100000000001</v>
      </c>
      <c r="Y95">
        <v>8.1518999999999995</v>
      </c>
      <c r="Z95">
        <v>3.9754999999999998</v>
      </c>
      <c r="AA95">
        <v>16.652100000000001</v>
      </c>
      <c r="AC95">
        <v>9.2797000000000001</v>
      </c>
      <c r="AD95">
        <v>6.7350000000000003</v>
      </c>
      <c r="AE95">
        <v>13.037100000000001</v>
      </c>
    </row>
    <row r="96" spans="1:31" ht="18" customHeight="1">
      <c r="B96">
        <v>1100</v>
      </c>
      <c r="C96">
        <v>900</v>
      </c>
    </row>
    <row r="97" spans="1:31" ht="18" customHeight="1">
      <c r="B97">
        <v>1200</v>
      </c>
      <c r="C97">
        <v>800</v>
      </c>
    </row>
    <row r="98" spans="1:31" ht="18" customHeight="1">
      <c r="B98">
        <v>1300</v>
      </c>
      <c r="C98">
        <v>700</v>
      </c>
    </row>
    <row r="99" spans="1:31" ht="18" customHeight="1">
      <c r="B99">
        <v>1400</v>
      </c>
      <c r="C99">
        <v>600</v>
      </c>
      <c r="E99">
        <v>8.1994000000000007</v>
      </c>
      <c r="F99">
        <v>6.6519000000000004</v>
      </c>
      <c r="G99">
        <v>14.432</v>
      </c>
      <c r="I99">
        <v>8.1994000000000007</v>
      </c>
      <c r="J99">
        <v>6.6519000000000004</v>
      </c>
      <c r="K99">
        <v>14.432</v>
      </c>
      <c r="M99">
        <v>5.9333999999999998</v>
      </c>
      <c r="N99">
        <v>3.86</v>
      </c>
      <c r="O99">
        <v>16.612300000000001</v>
      </c>
      <c r="Q99">
        <v>8.1994000000000007</v>
      </c>
      <c r="R99">
        <v>6.6519000000000004</v>
      </c>
      <c r="S99">
        <v>14.432</v>
      </c>
      <c r="U99">
        <v>5.9333999999999998</v>
      </c>
      <c r="V99">
        <v>3.86</v>
      </c>
      <c r="W99">
        <v>16.612300000000001</v>
      </c>
      <c r="Y99">
        <v>5.9333999999999998</v>
      </c>
      <c r="Z99">
        <v>3.86</v>
      </c>
      <c r="AA99">
        <v>16.612300000000001</v>
      </c>
      <c r="AC99">
        <v>8.1994000000000007</v>
      </c>
      <c r="AD99">
        <v>6.6519000000000004</v>
      </c>
      <c r="AE99">
        <v>14.4315</v>
      </c>
    </row>
    <row r="100" spans="1:31" ht="18" customHeight="1">
      <c r="B100">
        <v>1500</v>
      </c>
      <c r="C100">
        <v>500</v>
      </c>
    </row>
    <row r="101" spans="1:31" ht="18" customHeight="1"/>
    <row r="102" spans="1:31" ht="18" customHeight="1">
      <c r="B102">
        <v>1200</v>
      </c>
      <c r="C102">
        <v>1200</v>
      </c>
      <c r="E102">
        <v>8.7195999999999998</v>
      </c>
      <c r="F102">
        <v>6.3021000000000003</v>
      </c>
      <c r="G102">
        <v>12.1881</v>
      </c>
      <c r="I102">
        <v>8.7972000000000001</v>
      </c>
      <c r="J102">
        <v>6.4207999999999998</v>
      </c>
      <c r="K102">
        <v>12.2044</v>
      </c>
      <c r="M102">
        <v>7.7697000000000003</v>
      </c>
      <c r="N102">
        <v>3.4087000000000001</v>
      </c>
      <c r="O102">
        <v>16.580400000000001</v>
      </c>
      <c r="Q102">
        <v>8.8781999999999996</v>
      </c>
      <c r="R102">
        <v>7.4061000000000003</v>
      </c>
      <c r="S102">
        <v>10.631</v>
      </c>
      <c r="U102">
        <v>7.7697000000000003</v>
      </c>
      <c r="V102">
        <v>3.4087000000000001</v>
      </c>
      <c r="W102">
        <v>16.580400000000001</v>
      </c>
      <c r="Y102">
        <v>7.7697000000000003</v>
      </c>
      <c r="Z102">
        <v>3.4087000000000001</v>
      </c>
      <c r="AA102">
        <v>16.580400000000001</v>
      </c>
      <c r="AC102">
        <v>8.5516000000000005</v>
      </c>
      <c r="AD102">
        <v>6.1372999999999998</v>
      </c>
      <c r="AE102">
        <v>12.1203</v>
      </c>
    </row>
    <row r="103" spans="1:31" ht="18" customHeight="1"/>
    <row r="104" spans="1:31" ht="18" customHeight="1">
      <c r="B104">
        <v>500</v>
      </c>
      <c r="C104">
        <v>1500</v>
      </c>
    </row>
    <row r="105" spans="1:31" ht="18" customHeight="1">
      <c r="A105" t="s">
        <v>18</v>
      </c>
      <c r="B105">
        <v>600</v>
      </c>
      <c r="C105">
        <v>1400</v>
      </c>
      <c r="E105">
        <v>10.254200000000001</v>
      </c>
      <c r="F105">
        <v>5.4508000000000001</v>
      </c>
      <c r="G105">
        <v>14.6378</v>
      </c>
      <c r="I105">
        <v>9.7138000000000009</v>
      </c>
      <c r="J105">
        <v>5.6195000000000004</v>
      </c>
      <c r="K105">
        <v>13.0802</v>
      </c>
      <c r="M105">
        <v>9.6636000000000006</v>
      </c>
      <c r="N105">
        <v>3.5323000000000002</v>
      </c>
      <c r="O105">
        <v>16.651700000000002</v>
      </c>
      <c r="Q105">
        <v>8.7670999999999992</v>
      </c>
      <c r="R105">
        <v>11.198399999999999</v>
      </c>
      <c r="S105">
        <v>7.7625000000000002</v>
      </c>
      <c r="U105">
        <v>9.6636000000000006</v>
      </c>
      <c r="V105">
        <v>3.5323000000000002</v>
      </c>
      <c r="W105">
        <v>16.651700000000002</v>
      </c>
      <c r="Y105">
        <v>9.6636000000000006</v>
      </c>
      <c r="Z105">
        <v>3.5323000000000002</v>
      </c>
      <c r="AA105">
        <v>16.651700000000002</v>
      </c>
      <c r="AC105">
        <v>9.9969999999999999</v>
      </c>
      <c r="AD105">
        <v>5.0579999999999998</v>
      </c>
      <c r="AE105">
        <v>14.682600000000001</v>
      </c>
    </row>
    <row r="106" spans="1:31" ht="18" customHeight="1">
      <c r="B106">
        <v>700</v>
      </c>
      <c r="C106">
        <v>1300</v>
      </c>
    </row>
    <row r="107" spans="1:31" ht="18" customHeight="1">
      <c r="B107">
        <v>800</v>
      </c>
      <c r="C107">
        <v>1200</v>
      </c>
    </row>
    <row r="108" spans="1:31" ht="18" customHeight="1">
      <c r="B108">
        <v>900</v>
      </c>
      <c r="C108">
        <v>1100</v>
      </c>
    </row>
    <row r="109" spans="1:31" ht="18" customHeight="1">
      <c r="B109">
        <v>1000</v>
      </c>
      <c r="C109">
        <v>1000</v>
      </c>
      <c r="E109">
        <v>7.5674000000000001</v>
      </c>
      <c r="F109">
        <v>5.5275999999999996</v>
      </c>
      <c r="G109">
        <v>10.930899999999999</v>
      </c>
      <c r="I109">
        <v>8.3721999999999994</v>
      </c>
      <c r="J109">
        <v>6.5711000000000004</v>
      </c>
      <c r="K109">
        <v>11.137</v>
      </c>
      <c r="M109">
        <v>6.8930999999999996</v>
      </c>
      <c r="N109">
        <v>3.073</v>
      </c>
      <c r="O109">
        <v>16.645099999999999</v>
      </c>
      <c r="Q109">
        <v>8.3697999999999997</v>
      </c>
      <c r="R109">
        <v>7.8216000000000001</v>
      </c>
      <c r="S109">
        <v>9.0083000000000002</v>
      </c>
      <c r="U109">
        <v>6.8930999999999996</v>
      </c>
      <c r="V109">
        <v>3.073</v>
      </c>
      <c r="W109">
        <v>16.645099999999999</v>
      </c>
      <c r="Y109">
        <v>6.8930999999999996</v>
      </c>
      <c r="Z109">
        <v>3.073</v>
      </c>
      <c r="AA109">
        <v>16.645099999999999</v>
      </c>
      <c r="AC109">
        <v>8.1913</v>
      </c>
      <c r="AD109">
        <v>6.0240999999999998</v>
      </c>
      <c r="AE109">
        <v>11.9057</v>
      </c>
    </row>
    <row r="110" spans="1:31" ht="18" customHeight="1">
      <c r="B110">
        <v>1100</v>
      </c>
      <c r="C110">
        <v>900</v>
      </c>
    </row>
    <row r="111" spans="1:31" ht="18" customHeight="1">
      <c r="B111">
        <v>1200</v>
      </c>
      <c r="C111">
        <v>800</v>
      </c>
    </row>
    <row r="112" spans="1:31" ht="18" customHeight="1">
      <c r="B112">
        <v>1300</v>
      </c>
      <c r="C112">
        <v>700</v>
      </c>
    </row>
    <row r="113" spans="1:31" ht="18" customHeight="1">
      <c r="B113">
        <v>1400</v>
      </c>
      <c r="C113">
        <v>600</v>
      </c>
      <c r="E113">
        <v>7.2531999999999996</v>
      </c>
      <c r="F113">
        <v>5.8414999999999999</v>
      </c>
      <c r="G113">
        <v>13.773300000000001</v>
      </c>
      <c r="I113">
        <v>7.2531999999999996</v>
      </c>
      <c r="J113">
        <v>5.8414999999999999</v>
      </c>
      <c r="K113">
        <v>13.773300000000001</v>
      </c>
      <c r="M113">
        <v>4.6508000000000003</v>
      </c>
      <c r="N113">
        <v>2.7652000000000001</v>
      </c>
      <c r="O113">
        <v>16.5886</v>
      </c>
      <c r="Q113">
        <v>7.2531999999999996</v>
      </c>
      <c r="R113">
        <v>5.8414999999999999</v>
      </c>
      <c r="S113">
        <v>13.773300000000001</v>
      </c>
      <c r="U113">
        <v>4.6508000000000003</v>
      </c>
      <c r="V113">
        <v>2.7652000000000001</v>
      </c>
      <c r="W113">
        <v>16.5886</v>
      </c>
      <c r="Y113">
        <v>4.6508000000000003</v>
      </c>
      <c r="Z113">
        <v>2.7652000000000001</v>
      </c>
      <c r="AA113">
        <v>16.5886</v>
      </c>
      <c r="AC113">
        <v>7.2531999999999996</v>
      </c>
      <c r="AD113">
        <v>5.8414999999999999</v>
      </c>
      <c r="AE113">
        <v>13.773300000000001</v>
      </c>
    </row>
    <row r="114" spans="1:31" ht="18" customHeight="1">
      <c r="B114">
        <v>1500</v>
      </c>
      <c r="C114">
        <v>500</v>
      </c>
    </row>
    <row r="115" spans="1:31" ht="18" customHeight="1"/>
    <row r="116" spans="1:31" ht="18" customHeight="1">
      <c r="B116">
        <v>1200</v>
      </c>
      <c r="C116">
        <v>1200</v>
      </c>
      <c r="E116">
        <v>7.5347</v>
      </c>
      <c r="F116">
        <v>5.5218999999999996</v>
      </c>
      <c r="G116">
        <v>10.8568</v>
      </c>
      <c r="I116">
        <v>7.6276999999999999</v>
      </c>
      <c r="J116">
        <v>5.6557000000000004</v>
      </c>
      <c r="K116">
        <v>10.879200000000001</v>
      </c>
      <c r="M116">
        <v>6.4074</v>
      </c>
      <c r="N116">
        <v>2.4144999999999999</v>
      </c>
      <c r="O116">
        <v>16.545000000000002</v>
      </c>
      <c r="Q116">
        <v>7.7914000000000003</v>
      </c>
      <c r="R116">
        <v>6.6619999999999999</v>
      </c>
      <c r="S116">
        <v>9.2766000000000002</v>
      </c>
      <c r="U116">
        <v>6.4074</v>
      </c>
      <c r="V116">
        <v>2.4144999999999999</v>
      </c>
      <c r="W116">
        <v>16.545000000000002</v>
      </c>
      <c r="Y116">
        <v>6.4074</v>
      </c>
      <c r="Z116">
        <v>2.4144999999999999</v>
      </c>
      <c r="AA116">
        <v>16.545000000000002</v>
      </c>
      <c r="AC116">
        <v>7.3551000000000002</v>
      </c>
      <c r="AD116">
        <v>5.3596000000000004</v>
      </c>
      <c r="AE116">
        <v>10.763</v>
      </c>
    </row>
    <row r="117" spans="1:31" ht="18" customHeight="1"/>
    <row r="118" spans="1:31" ht="18" customHeight="1">
      <c r="B118">
        <v>500</v>
      </c>
      <c r="C118">
        <v>1500</v>
      </c>
    </row>
    <row r="119" spans="1:31" ht="18" customHeight="1">
      <c r="A119" t="s">
        <v>20</v>
      </c>
      <c r="B119">
        <v>600</v>
      </c>
      <c r="C119">
        <v>1400</v>
      </c>
      <c r="E119">
        <v>9.5061</v>
      </c>
      <c r="F119">
        <v>4.7409999999999997</v>
      </c>
      <c r="G119">
        <v>14.7935</v>
      </c>
      <c r="I119">
        <v>8.7354000000000003</v>
      </c>
      <c r="J119">
        <v>5.0549999999999997</v>
      </c>
      <c r="K119">
        <v>12.107699999999999</v>
      </c>
      <c r="M119">
        <v>8.2189999999999994</v>
      </c>
      <c r="N119">
        <v>2.7915999999999999</v>
      </c>
      <c r="O119">
        <v>16.629899999999999</v>
      </c>
      <c r="Q119">
        <v>8.3070000000000004</v>
      </c>
      <c r="R119">
        <v>11.106</v>
      </c>
      <c r="S119">
        <v>7.1989000000000001</v>
      </c>
      <c r="U119">
        <v>8.2189999999999994</v>
      </c>
      <c r="V119">
        <v>2.7915999999999999</v>
      </c>
      <c r="W119">
        <v>16.629899999999999</v>
      </c>
      <c r="Y119">
        <v>8.2189999999999994</v>
      </c>
      <c r="Z119">
        <v>2.7915999999999999</v>
      </c>
      <c r="AA119">
        <v>16.629899999999999</v>
      </c>
      <c r="AC119">
        <v>9.2283000000000008</v>
      </c>
      <c r="AD119">
        <v>4.7230999999999996</v>
      </c>
      <c r="AE119">
        <v>14.169</v>
      </c>
    </row>
    <row r="120" spans="1:31" ht="18" customHeight="1">
      <c r="B120">
        <v>700</v>
      </c>
      <c r="C120">
        <v>1300</v>
      </c>
    </row>
    <row r="121" spans="1:31" ht="18" customHeight="1">
      <c r="B121">
        <v>800</v>
      </c>
      <c r="C121">
        <v>1200</v>
      </c>
    </row>
    <row r="122" spans="1:31" ht="18" customHeight="1">
      <c r="B122">
        <v>900</v>
      </c>
      <c r="C122">
        <v>1100</v>
      </c>
    </row>
    <row r="123" spans="1:31" ht="18" customHeight="1">
      <c r="B123">
        <v>1000</v>
      </c>
      <c r="C123">
        <v>1000</v>
      </c>
      <c r="E123">
        <v>5.8648999999999996</v>
      </c>
      <c r="F123">
        <v>4.1730999999999998</v>
      </c>
      <c r="G123">
        <v>8.9412000000000003</v>
      </c>
      <c r="I123">
        <v>7.4067999999999996</v>
      </c>
      <c r="J123">
        <v>5.7072000000000003</v>
      </c>
      <c r="K123">
        <v>10.397</v>
      </c>
      <c r="M123">
        <v>5.0251999999999999</v>
      </c>
      <c r="N123">
        <v>1.7452000000000001</v>
      </c>
      <c r="O123">
        <v>16.6142</v>
      </c>
      <c r="Q123">
        <v>7.4021999999999997</v>
      </c>
      <c r="R123">
        <v>6.6322999999999999</v>
      </c>
      <c r="S123">
        <v>8.3397000000000006</v>
      </c>
      <c r="U123">
        <v>5.0251999999999999</v>
      </c>
      <c r="V123">
        <v>1.7452000000000001</v>
      </c>
      <c r="W123">
        <v>16.6142</v>
      </c>
      <c r="Y123">
        <v>5.0251999999999999</v>
      </c>
      <c r="Z123">
        <v>1.7452000000000001</v>
      </c>
      <c r="AA123">
        <v>16.6142</v>
      </c>
      <c r="AC123">
        <v>6.7622999999999998</v>
      </c>
      <c r="AD123">
        <v>5.0199999999999996</v>
      </c>
      <c r="AE123">
        <v>9.9832000000000001</v>
      </c>
    </row>
    <row r="124" spans="1:31" ht="18" customHeight="1">
      <c r="B124">
        <v>1100</v>
      </c>
      <c r="C124">
        <v>900</v>
      </c>
    </row>
    <row r="125" spans="1:31" ht="18" customHeight="1">
      <c r="B125">
        <v>1200</v>
      </c>
      <c r="C125">
        <v>800</v>
      </c>
    </row>
    <row r="126" spans="1:31" ht="18" customHeight="1">
      <c r="B126">
        <v>1300</v>
      </c>
      <c r="C126">
        <v>700</v>
      </c>
    </row>
    <row r="127" spans="1:31" ht="18" customHeight="1">
      <c r="B127">
        <v>1400</v>
      </c>
      <c r="C127">
        <v>600</v>
      </c>
      <c r="E127">
        <v>6.1439000000000004</v>
      </c>
      <c r="F127">
        <v>4.5594999999999999</v>
      </c>
      <c r="G127">
        <v>14.501300000000001</v>
      </c>
      <c r="I127">
        <v>6.1439000000000004</v>
      </c>
      <c r="J127">
        <v>4.5594999999999999</v>
      </c>
      <c r="K127">
        <v>14.501300000000001</v>
      </c>
      <c r="M127">
        <v>3.5407999999999999</v>
      </c>
      <c r="N127">
        <v>1.7534000000000001</v>
      </c>
      <c r="O127">
        <v>16.502500000000001</v>
      </c>
      <c r="Q127">
        <v>6.1439000000000004</v>
      </c>
      <c r="R127">
        <v>4.5594999999999999</v>
      </c>
      <c r="S127">
        <v>14.501300000000001</v>
      </c>
      <c r="U127">
        <v>3.5407999999999999</v>
      </c>
      <c r="V127">
        <v>1.7534000000000001</v>
      </c>
      <c r="W127">
        <v>16.502500000000001</v>
      </c>
      <c r="Y127">
        <v>3.5407999999999999</v>
      </c>
      <c r="Z127">
        <v>1.7534000000000001</v>
      </c>
      <c r="AA127">
        <v>16.502500000000001</v>
      </c>
      <c r="AC127">
        <v>6.1439000000000004</v>
      </c>
      <c r="AD127">
        <v>4.5594999999999999</v>
      </c>
      <c r="AE127">
        <v>14.501300000000001</v>
      </c>
    </row>
    <row r="128" spans="1:31" ht="18" customHeight="1">
      <c r="B128">
        <v>1500</v>
      </c>
      <c r="C128">
        <v>500</v>
      </c>
    </row>
    <row r="129" spans="1:31" ht="18" customHeight="1"/>
    <row r="130" spans="1:31" ht="18" customHeight="1">
      <c r="B130">
        <v>1200</v>
      </c>
      <c r="C130">
        <v>1200</v>
      </c>
      <c r="E130">
        <v>6.4169</v>
      </c>
      <c r="F130">
        <v>4.2643000000000004</v>
      </c>
      <c r="G130">
        <v>9.9533000000000005</v>
      </c>
      <c r="I130">
        <v>6.5831</v>
      </c>
      <c r="J130">
        <v>4.5030999999999999</v>
      </c>
      <c r="K130">
        <v>9.9945000000000004</v>
      </c>
      <c r="M130">
        <v>4.8361000000000001</v>
      </c>
      <c r="N130">
        <v>0.9073</v>
      </c>
      <c r="O130">
        <v>16.423999999999999</v>
      </c>
      <c r="Q130">
        <v>6.7278000000000002</v>
      </c>
      <c r="R130">
        <v>5.2350000000000003</v>
      </c>
      <c r="S130">
        <v>8.6583000000000006</v>
      </c>
      <c r="U130">
        <v>4.8361000000000001</v>
      </c>
      <c r="V130">
        <v>0.9073</v>
      </c>
      <c r="W130">
        <v>16.423999999999999</v>
      </c>
      <c r="Y130">
        <v>4.8361000000000001</v>
      </c>
      <c r="Z130">
        <v>0.9073</v>
      </c>
      <c r="AA130">
        <v>16.423999999999999</v>
      </c>
      <c r="AC130">
        <v>6.1623999999999999</v>
      </c>
      <c r="AD130">
        <v>4.1056999999999997</v>
      </c>
      <c r="AE130">
        <v>9.5623000000000005</v>
      </c>
    </row>
    <row r="131" spans="1:31" s="2" customFormat="1"/>
    <row r="134" spans="1:31">
      <c r="A134" t="s">
        <v>14</v>
      </c>
      <c r="B134">
        <v>600</v>
      </c>
      <c r="C134">
        <v>1400</v>
      </c>
      <c r="E134">
        <v>12.6836</v>
      </c>
      <c r="F134">
        <v>8.2984000000000009</v>
      </c>
      <c r="G134">
        <v>15.6995</v>
      </c>
      <c r="I134">
        <v>12.4671</v>
      </c>
      <c r="J134">
        <v>8.7948000000000004</v>
      </c>
      <c r="K134">
        <v>14.773199999999999</v>
      </c>
      <c r="M134">
        <v>11.935</v>
      </c>
      <c r="N134">
        <v>6.4368999999999996</v>
      </c>
      <c r="O134">
        <v>16.567799999999998</v>
      </c>
      <c r="Q134">
        <v>11.2928</v>
      </c>
      <c r="R134">
        <v>13.548400000000001</v>
      </c>
      <c r="S134">
        <v>10.4659</v>
      </c>
      <c r="U134">
        <v>10.758599999999999</v>
      </c>
      <c r="V134">
        <v>4.6139000000000001</v>
      </c>
      <c r="W134">
        <v>16.653300000000002</v>
      </c>
      <c r="Y134">
        <v>12.874599999999999</v>
      </c>
      <c r="Z134">
        <v>8.1113</v>
      </c>
      <c r="AA134">
        <v>16.314</v>
      </c>
      <c r="AC134">
        <v>12.4598</v>
      </c>
      <c r="AD134">
        <v>8.6065000000000005</v>
      </c>
      <c r="AE134">
        <v>15.082100000000001</v>
      </c>
    </row>
    <row r="135" spans="1:31">
      <c r="A135" t="s">
        <v>52</v>
      </c>
    </row>
    <row r="136" spans="1:31">
      <c r="A136" t="s">
        <v>16</v>
      </c>
      <c r="B136">
        <v>1000</v>
      </c>
      <c r="C136">
        <v>1000</v>
      </c>
      <c r="E136">
        <v>11.9345</v>
      </c>
      <c r="F136">
        <v>10.306699999999999</v>
      </c>
      <c r="G136">
        <v>13.7599</v>
      </c>
      <c r="I136">
        <v>12.2094</v>
      </c>
      <c r="J136">
        <v>10.8551</v>
      </c>
      <c r="K136">
        <v>13.72</v>
      </c>
      <c r="M136">
        <v>12.0519</v>
      </c>
      <c r="N136">
        <v>9.1904000000000003</v>
      </c>
      <c r="O136">
        <v>16.0532</v>
      </c>
      <c r="Q136">
        <v>9.5587</v>
      </c>
      <c r="R136">
        <v>9.6112000000000002</v>
      </c>
      <c r="S136">
        <v>9.5091999999999999</v>
      </c>
      <c r="U136">
        <v>11.3245</v>
      </c>
      <c r="V136">
        <v>7.9240000000000004</v>
      </c>
      <c r="W136">
        <v>16.670000000000002</v>
      </c>
      <c r="Y136">
        <v>12.430999999999999</v>
      </c>
      <c r="Z136">
        <v>9.7540999999999993</v>
      </c>
      <c r="AA136">
        <v>16.146599999999999</v>
      </c>
      <c r="AC136">
        <v>11.9138</v>
      </c>
      <c r="AD136">
        <v>10.2767</v>
      </c>
      <c r="AE136">
        <v>13.7498</v>
      </c>
    </row>
    <row r="137" spans="1:31">
      <c r="A137" t="s">
        <v>17</v>
      </c>
    </row>
    <row r="138" spans="1:31">
      <c r="B138">
        <v>1400</v>
      </c>
      <c r="C138">
        <v>600</v>
      </c>
      <c r="E138">
        <v>9.2342999999999993</v>
      </c>
      <c r="F138">
        <v>8.3931000000000004</v>
      </c>
      <c r="G138">
        <v>11.603300000000001</v>
      </c>
      <c r="I138">
        <v>10.119</v>
      </c>
      <c r="J138">
        <v>9.3246000000000002</v>
      </c>
      <c r="K138">
        <v>12.3848</v>
      </c>
      <c r="M138">
        <v>9.4490999999999996</v>
      </c>
      <c r="N138">
        <v>7.9367999999999999</v>
      </c>
      <c r="O138">
        <v>14.8721</v>
      </c>
      <c r="Q138">
        <v>9.9783000000000008</v>
      </c>
      <c r="R138">
        <v>10.1173</v>
      </c>
      <c r="S138">
        <v>9.6902000000000008</v>
      </c>
      <c r="U138">
        <v>10.028600000000001</v>
      </c>
      <c r="V138">
        <v>8.4331999999999994</v>
      </c>
      <c r="W138">
        <v>16.670000000000002</v>
      </c>
      <c r="Y138">
        <v>11.7822</v>
      </c>
      <c r="Z138">
        <v>10.650700000000001</v>
      </c>
      <c r="AA138">
        <v>15.591100000000001</v>
      </c>
      <c r="AC138">
        <v>9.2342999999999993</v>
      </c>
      <c r="AD138">
        <v>8.3931000000000004</v>
      </c>
      <c r="AE138">
        <v>11.603300000000001</v>
      </c>
    </row>
    <row r="140" spans="1:31">
      <c r="B140">
        <v>1200</v>
      </c>
      <c r="C140">
        <v>1200</v>
      </c>
      <c r="E140">
        <v>9.8803999999999998</v>
      </c>
      <c r="F140">
        <v>7.7530000000000001</v>
      </c>
      <c r="G140">
        <v>12.5923</v>
      </c>
      <c r="I140">
        <v>9.9122000000000003</v>
      </c>
      <c r="J140">
        <v>7.9656000000000002</v>
      </c>
      <c r="K140">
        <v>12.353199999999999</v>
      </c>
      <c r="M140">
        <v>9.0960000000000001</v>
      </c>
      <c r="N140">
        <v>4.9843999999999999</v>
      </c>
      <c r="O140">
        <v>16.561900000000001</v>
      </c>
      <c r="Q140">
        <v>9.7202000000000002</v>
      </c>
      <c r="R140">
        <v>8.2696000000000005</v>
      </c>
      <c r="S140">
        <v>11.438800000000001</v>
      </c>
      <c r="U140">
        <v>9.6083999999999996</v>
      </c>
      <c r="V140">
        <v>5.6492000000000004</v>
      </c>
      <c r="W140">
        <v>16.574999999999999</v>
      </c>
      <c r="Y140">
        <v>9.7627000000000006</v>
      </c>
      <c r="Z140">
        <v>6.3974000000000002</v>
      </c>
      <c r="AA140">
        <v>14.604699999999999</v>
      </c>
      <c r="AC140">
        <v>9.3757000000000001</v>
      </c>
      <c r="AD140">
        <v>8.4283000000000001</v>
      </c>
      <c r="AE140">
        <v>10.392899999999999</v>
      </c>
    </row>
    <row r="143" spans="1:31">
      <c r="A143" t="s">
        <v>18</v>
      </c>
      <c r="B143">
        <v>600</v>
      </c>
      <c r="C143">
        <v>1400</v>
      </c>
      <c r="E143">
        <v>11.911899999999999</v>
      </c>
      <c r="F143">
        <v>7.1699000000000002</v>
      </c>
      <c r="G143">
        <v>15.579000000000001</v>
      </c>
      <c r="I143">
        <v>11.654400000000001</v>
      </c>
      <c r="J143">
        <v>7.7092000000000001</v>
      </c>
      <c r="K143">
        <v>14.3741</v>
      </c>
      <c r="M143">
        <v>11.072900000000001</v>
      </c>
      <c r="N143">
        <v>5.4961000000000002</v>
      </c>
      <c r="O143">
        <v>16.543600000000001</v>
      </c>
      <c r="Q143">
        <v>10.4093</v>
      </c>
      <c r="R143">
        <v>13.1686</v>
      </c>
      <c r="S143">
        <v>9.4392999999999994</v>
      </c>
      <c r="U143">
        <v>9.6694999999999993</v>
      </c>
      <c r="V143">
        <v>3.5470999999999999</v>
      </c>
      <c r="W143">
        <v>16.647400000000001</v>
      </c>
      <c r="Y143">
        <v>12.1495</v>
      </c>
      <c r="Z143">
        <v>6.9805999999999999</v>
      </c>
      <c r="AA143">
        <v>16.400300000000001</v>
      </c>
      <c r="AC143">
        <v>11.6248</v>
      </c>
      <c r="AD143">
        <v>7.5225999999999997</v>
      </c>
      <c r="AE143">
        <v>14.757300000000001</v>
      </c>
    </row>
    <row r="145" spans="1:31">
      <c r="B145">
        <v>1000</v>
      </c>
      <c r="C145">
        <v>1000</v>
      </c>
      <c r="E145">
        <v>11.111800000000001</v>
      </c>
      <c r="F145">
        <v>9.4629999999999992</v>
      </c>
      <c r="G145">
        <v>13.177199999999999</v>
      </c>
      <c r="I145">
        <v>11.446</v>
      </c>
      <c r="J145">
        <v>10.064299999999999</v>
      </c>
      <c r="K145">
        <v>131.72200000000001</v>
      </c>
      <c r="M145">
        <v>11.1732</v>
      </c>
      <c r="N145">
        <v>8.2948000000000004</v>
      </c>
      <c r="O145">
        <v>15.9527</v>
      </c>
      <c r="Q145">
        <v>8.3222000000000005</v>
      </c>
      <c r="R145">
        <v>8.6229999999999993</v>
      </c>
      <c r="S145">
        <v>8.0204000000000004</v>
      </c>
      <c r="U145">
        <v>10.345700000000001</v>
      </c>
      <c r="V145">
        <v>7.0418000000000003</v>
      </c>
      <c r="W145">
        <v>16.670000000000002</v>
      </c>
      <c r="Y145">
        <v>11.633699999999999</v>
      </c>
      <c r="Z145">
        <v>8.9354999999999993</v>
      </c>
      <c r="AA145">
        <v>16.0806</v>
      </c>
      <c r="AC145">
        <v>11.0863</v>
      </c>
      <c r="AD145">
        <v>9.4276999999999997</v>
      </c>
      <c r="AE145">
        <v>13.1638</v>
      </c>
    </row>
    <row r="147" spans="1:31">
      <c r="B147">
        <v>1400</v>
      </c>
      <c r="C147">
        <v>600</v>
      </c>
      <c r="E147">
        <v>8.2805999999999997</v>
      </c>
      <c r="F147">
        <v>7.1448999999999998</v>
      </c>
      <c r="G147">
        <v>11.6496</v>
      </c>
      <c r="I147">
        <v>9.1974</v>
      </c>
      <c r="J147">
        <v>8.3028999999999993</v>
      </c>
      <c r="K147">
        <v>11.9024</v>
      </c>
      <c r="M147">
        <v>8.2238000000000007</v>
      </c>
      <c r="N147">
        <v>6.6966999999999999</v>
      </c>
      <c r="O147">
        <v>14.4262</v>
      </c>
      <c r="Q147">
        <v>9.1026000000000007</v>
      </c>
      <c r="R147">
        <v>8.9002999999999997</v>
      </c>
      <c r="S147">
        <v>9.5151000000000003</v>
      </c>
      <c r="U147">
        <v>9.0965000000000007</v>
      </c>
      <c r="V147">
        <v>7.5685000000000002</v>
      </c>
      <c r="W147">
        <v>16.670000000000002</v>
      </c>
      <c r="Y147">
        <v>11.085599999999999</v>
      </c>
      <c r="Z147">
        <v>9.8223000000000003</v>
      </c>
      <c r="AA147">
        <v>15.8786</v>
      </c>
      <c r="AC147">
        <v>8.2805999999999997</v>
      </c>
      <c r="AD147">
        <v>7.1448999999999998</v>
      </c>
      <c r="AE147">
        <v>11.6496</v>
      </c>
    </row>
    <row r="149" spans="1:31">
      <c r="B149">
        <v>1200</v>
      </c>
      <c r="C149">
        <v>1200</v>
      </c>
      <c r="E149">
        <v>8.7645999999999997</v>
      </c>
      <c r="F149">
        <v>6.7053000000000003</v>
      </c>
      <c r="G149">
        <v>11.755599999999999</v>
      </c>
      <c r="I149">
        <v>8.81</v>
      </c>
      <c r="J149">
        <v>6.9461000000000004</v>
      </c>
      <c r="K149">
        <v>11.460699999999999</v>
      </c>
      <c r="M149">
        <v>7.7728999999999999</v>
      </c>
      <c r="N149">
        <v>3.9033000000000002</v>
      </c>
      <c r="O149">
        <v>16.519200000000001</v>
      </c>
      <c r="Q149">
        <v>8.6105</v>
      </c>
      <c r="R149">
        <v>7.2922000000000002</v>
      </c>
      <c r="S149">
        <v>10.3535</v>
      </c>
      <c r="U149">
        <v>8.3597999999999999</v>
      </c>
      <c r="V149">
        <v>4.6120999999999999</v>
      </c>
      <c r="W149">
        <v>16.537500000000001</v>
      </c>
      <c r="Y149">
        <v>8.5627999999999993</v>
      </c>
      <c r="Z149">
        <v>5.2820999999999998</v>
      </c>
      <c r="AA149">
        <v>14.0989</v>
      </c>
      <c r="AC149">
        <v>8.2225000000000001</v>
      </c>
      <c r="AD149">
        <v>7.4432999999999998</v>
      </c>
      <c r="AE149">
        <v>9.1351999999999993</v>
      </c>
    </row>
    <row r="152" spans="1:31">
      <c r="A152" t="s">
        <v>20</v>
      </c>
      <c r="B152">
        <v>600</v>
      </c>
      <c r="C152">
        <v>1400</v>
      </c>
      <c r="E152">
        <v>10.601000000000001</v>
      </c>
      <c r="F152">
        <v>5.8047000000000004</v>
      </c>
      <c r="G152">
        <v>15.3507</v>
      </c>
      <c r="I152">
        <v>10.1684</v>
      </c>
      <c r="J152">
        <v>6.6262999999999996</v>
      </c>
      <c r="K152">
        <v>12.9817</v>
      </c>
      <c r="M152">
        <v>9.7779000000000007</v>
      </c>
      <c r="N152">
        <v>4.5397999999999996</v>
      </c>
      <c r="O152">
        <v>16.670000000000002</v>
      </c>
      <c r="Q152">
        <v>11.137600000000001</v>
      </c>
      <c r="R152">
        <v>11.9467</v>
      </c>
      <c r="S152">
        <v>10.862299999999999</v>
      </c>
      <c r="U152">
        <v>8.2297999999999991</v>
      </c>
      <c r="V152">
        <v>2.8155000000000001</v>
      </c>
      <c r="W152">
        <v>16.6204</v>
      </c>
      <c r="Y152">
        <v>11.1479</v>
      </c>
      <c r="Z152">
        <v>6.0263</v>
      </c>
      <c r="AA152">
        <v>16.657800000000002</v>
      </c>
      <c r="AC152">
        <v>10.073600000000001</v>
      </c>
      <c r="AD152">
        <v>6.3677000000000001</v>
      </c>
      <c r="AE152">
        <v>13.654400000000001</v>
      </c>
    </row>
    <row r="154" spans="1:31">
      <c r="B154">
        <v>1000</v>
      </c>
      <c r="C154">
        <v>1000</v>
      </c>
      <c r="E154">
        <v>9.9532000000000007</v>
      </c>
      <c r="F154">
        <v>7.3886000000000003</v>
      </c>
      <c r="G154">
        <v>13.585000000000001</v>
      </c>
      <c r="I154">
        <v>9.8727999999999998</v>
      </c>
      <c r="J154">
        <v>8.2794000000000008</v>
      </c>
      <c r="K154">
        <v>12.3447</v>
      </c>
      <c r="M154">
        <v>9.6838999999999995</v>
      </c>
      <c r="N154">
        <v>6.7984</v>
      </c>
      <c r="O154">
        <v>15.9856</v>
      </c>
      <c r="Q154">
        <v>5.0602999999999998</v>
      </c>
      <c r="R154">
        <v>4.9635999999999996</v>
      </c>
      <c r="S154">
        <v>5.1570999999999998</v>
      </c>
      <c r="U154">
        <v>8.9427000000000003</v>
      </c>
      <c r="V154">
        <v>5.7610999999999999</v>
      </c>
      <c r="W154">
        <v>16.670000000000002</v>
      </c>
      <c r="Y154">
        <v>10.507400000000001</v>
      </c>
      <c r="Z154">
        <v>7.8627000000000002</v>
      </c>
      <c r="AA154">
        <v>16.018599999999999</v>
      </c>
      <c r="AC154">
        <v>9.9059000000000008</v>
      </c>
      <c r="AD154">
        <v>7.3266</v>
      </c>
      <c r="AE154">
        <v>13.5585</v>
      </c>
    </row>
    <row r="156" spans="1:31">
      <c r="B156">
        <v>1400</v>
      </c>
      <c r="C156">
        <v>600</v>
      </c>
      <c r="E156">
        <v>7.7778</v>
      </c>
      <c r="F156">
        <v>6.3536999999999999</v>
      </c>
      <c r="G156">
        <v>12.936400000000001</v>
      </c>
      <c r="I156">
        <v>8.4883000000000006</v>
      </c>
      <c r="J156">
        <v>7.0979000000000001</v>
      </c>
      <c r="K156">
        <v>13.3422</v>
      </c>
      <c r="M156">
        <v>6.4272999999999998</v>
      </c>
      <c r="N156">
        <v>4.5468999999999999</v>
      </c>
      <c r="O156">
        <v>16.4451</v>
      </c>
      <c r="Q156">
        <v>8.0510000000000002</v>
      </c>
      <c r="R156">
        <v>6.7369000000000003</v>
      </c>
      <c r="S156">
        <v>11.3606</v>
      </c>
      <c r="U156">
        <v>8.2399000000000004</v>
      </c>
      <c r="V156">
        <v>6.6936</v>
      </c>
      <c r="W156">
        <v>16.670000000000002</v>
      </c>
      <c r="Y156">
        <v>10.236700000000001</v>
      </c>
      <c r="Z156">
        <v>8.75</v>
      </c>
      <c r="AA156">
        <v>16.273299999999999</v>
      </c>
      <c r="AC156">
        <v>7.7778</v>
      </c>
      <c r="AD156">
        <v>6.3536999999999999</v>
      </c>
      <c r="AE156">
        <v>12.936400000000001</v>
      </c>
    </row>
    <row r="158" spans="1:31">
      <c r="B158">
        <v>1200</v>
      </c>
      <c r="C158">
        <v>1200</v>
      </c>
      <c r="E158">
        <v>7.3994999999999997</v>
      </c>
      <c r="F158">
        <v>4.4610000000000003</v>
      </c>
      <c r="G158">
        <v>11.7902</v>
      </c>
      <c r="I158">
        <v>7.4950999999999999</v>
      </c>
      <c r="J158">
        <v>4.8764000000000003</v>
      </c>
      <c r="K158">
        <v>11.2628</v>
      </c>
      <c r="M158">
        <v>5.6398000000000001</v>
      </c>
      <c r="N158">
        <v>1.5698000000000001</v>
      </c>
      <c r="O158">
        <v>16.670000000000002</v>
      </c>
      <c r="Q158">
        <v>7.3540999999999999</v>
      </c>
      <c r="R158">
        <v>5.835</v>
      </c>
      <c r="S158">
        <v>9.3745999999999992</v>
      </c>
      <c r="U158">
        <v>6.4307999999999996</v>
      </c>
      <c r="V158">
        <v>2.4270999999999998</v>
      </c>
      <c r="W158">
        <v>16.409600000000001</v>
      </c>
      <c r="Y158">
        <v>7.0894000000000004</v>
      </c>
      <c r="Z158">
        <v>2.7881999999999998</v>
      </c>
      <c r="AA158">
        <v>15.718299999999999</v>
      </c>
      <c r="AC158">
        <v>6.6825999999999999</v>
      </c>
      <c r="AD158">
        <v>5.4432</v>
      </c>
      <c r="AE158">
        <v>7.9638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6CAC3-2168-1A4B-8517-44B591B2C1C3}">
  <dimension ref="A2:AE158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C159" sqref="AC159"/>
    </sheetView>
  </sheetViews>
  <sheetFormatPr baseColWidth="10" defaultRowHeight="20"/>
  <cols>
    <col min="4" max="4" width="3" customWidth="1"/>
    <col min="5" max="7" width="9.85546875" customWidth="1"/>
    <col min="8" max="8" width="3.140625" customWidth="1"/>
    <col min="9" max="11" width="10" customWidth="1"/>
    <col min="12" max="12" width="3.140625" customWidth="1"/>
    <col min="13" max="15" width="9.85546875" customWidth="1"/>
    <col min="16" max="16" width="3.140625" customWidth="1"/>
    <col min="17" max="19" width="10" customWidth="1"/>
    <col min="20" max="20" width="3.140625" customWidth="1"/>
    <col min="21" max="23" width="9.85546875" customWidth="1"/>
    <col min="24" max="24" width="3.5703125" customWidth="1"/>
    <col min="25" max="27" width="10" customWidth="1"/>
  </cols>
  <sheetData>
    <row r="2" spans="1:27">
      <c r="B2" t="s">
        <v>0</v>
      </c>
      <c r="C2" t="s">
        <v>1</v>
      </c>
      <c r="E2" t="s">
        <v>3</v>
      </c>
      <c r="F2" t="s">
        <v>4</v>
      </c>
      <c r="I2" t="s">
        <v>3</v>
      </c>
      <c r="J2" t="s">
        <v>8</v>
      </c>
      <c r="M2" t="s">
        <v>9</v>
      </c>
      <c r="Q2" t="s">
        <v>11</v>
      </c>
      <c r="U2" t="s">
        <v>12</v>
      </c>
      <c r="Y2" t="s">
        <v>13</v>
      </c>
    </row>
    <row r="3" spans="1:27">
      <c r="B3" t="s">
        <v>2</v>
      </c>
      <c r="C3" t="s">
        <v>2</v>
      </c>
      <c r="E3" s="1" t="s">
        <v>5</v>
      </c>
      <c r="F3" s="1" t="s">
        <v>6</v>
      </c>
      <c r="G3" s="1" t="s">
        <v>7</v>
      </c>
      <c r="I3" s="1" t="s">
        <v>5</v>
      </c>
      <c r="J3" s="1" t="s">
        <v>6</v>
      </c>
      <c r="K3" s="1" t="s">
        <v>7</v>
      </c>
      <c r="M3" s="1" t="s">
        <v>10</v>
      </c>
      <c r="N3" s="1" t="s">
        <v>6</v>
      </c>
      <c r="O3" s="1" t="s">
        <v>7</v>
      </c>
      <c r="Q3" s="1" t="s">
        <v>10</v>
      </c>
      <c r="R3" s="1" t="s">
        <v>6</v>
      </c>
      <c r="S3" s="1" t="s">
        <v>7</v>
      </c>
      <c r="U3" s="1" t="s">
        <v>10</v>
      </c>
      <c r="V3" s="1" t="s">
        <v>6</v>
      </c>
      <c r="W3" s="1" t="s">
        <v>7</v>
      </c>
      <c r="Y3" s="1" t="s">
        <v>10</v>
      </c>
      <c r="Z3" s="1" t="s">
        <v>6</v>
      </c>
      <c r="AA3" s="1" t="s">
        <v>7</v>
      </c>
    </row>
    <row r="4" spans="1:27" ht="18" customHeight="1"/>
    <row r="5" spans="1:27" ht="18" customHeight="1">
      <c r="A5" t="s">
        <v>14</v>
      </c>
      <c r="B5">
        <v>500</v>
      </c>
      <c r="C5">
        <v>1500</v>
      </c>
    </row>
    <row r="6" spans="1:27" ht="18" customHeight="1">
      <c r="A6" t="s">
        <v>15</v>
      </c>
      <c r="B6">
        <v>600</v>
      </c>
      <c r="C6">
        <v>1400</v>
      </c>
      <c r="E6">
        <v>13.139799999999999</v>
      </c>
      <c r="F6">
        <v>9.6903000000000006</v>
      </c>
      <c r="G6">
        <v>15.164099999999999</v>
      </c>
      <c r="I6">
        <v>13.235300000000001</v>
      </c>
      <c r="J6">
        <v>10.5273</v>
      </c>
      <c r="K6">
        <v>14.710900000000001</v>
      </c>
      <c r="M6">
        <v>13.443</v>
      </c>
      <c r="N6">
        <v>8.9372000000000007</v>
      </c>
      <c r="O6">
        <v>16.533000000000001</v>
      </c>
      <c r="Q6">
        <v>10.2293</v>
      </c>
      <c r="R6">
        <v>9.8194999999999997</v>
      </c>
      <c r="S6">
        <v>10.4339</v>
      </c>
      <c r="U6">
        <v>13.2461</v>
      </c>
      <c r="V6">
        <v>8.3739000000000008</v>
      </c>
      <c r="W6">
        <v>16.670000000000002</v>
      </c>
      <c r="Y6">
        <v>14.074</v>
      </c>
      <c r="Z6">
        <v>10.8119</v>
      </c>
      <c r="AA6">
        <v>16.047899999999998</v>
      </c>
    </row>
    <row r="7" spans="1:27" ht="18" customHeight="1">
      <c r="A7" t="s">
        <v>16</v>
      </c>
      <c r="B7">
        <v>700</v>
      </c>
      <c r="C7">
        <v>1300</v>
      </c>
    </row>
    <row r="8" spans="1:27" ht="18" customHeight="1">
      <c r="A8" t="s">
        <v>17</v>
      </c>
      <c r="B8">
        <v>800</v>
      </c>
      <c r="C8">
        <v>1200</v>
      </c>
      <c r="E8">
        <v>11.88</v>
      </c>
      <c r="F8">
        <v>8.7266999999999992</v>
      </c>
      <c r="G8">
        <v>14.9369</v>
      </c>
      <c r="I8">
        <v>14.0745</v>
      </c>
      <c r="J8">
        <v>11.497199999999999</v>
      </c>
      <c r="K8">
        <v>16.226500000000001</v>
      </c>
      <c r="M8">
        <v>13.229699999999999</v>
      </c>
      <c r="N8">
        <v>9.8942999999999994</v>
      </c>
      <c r="O8">
        <v>16.377099999999999</v>
      </c>
      <c r="Q8">
        <v>11.042</v>
      </c>
      <c r="R8">
        <v>11.446199999999999</v>
      </c>
      <c r="S8">
        <v>10.7623</v>
      </c>
      <c r="U8">
        <v>12.864699999999999</v>
      </c>
      <c r="V8">
        <v>8.9291</v>
      </c>
      <c r="W8">
        <v>16.670000000000002</v>
      </c>
      <c r="Y8">
        <v>13.822100000000001</v>
      </c>
      <c r="Z8">
        <v>11.257300000000001</v>
      </c>
      <c r="AA8">
        <v>16.0701</v>
      </c>
    </row>
    <row r="9" spans="1:27" ht="18" customHeight="1">
      <c r="B9">
        <v>900</v>
      </c>
      <c r="C9">
        <v>1100</v>
      </c>
    </row>
    <row r="10" spans="1:27" ht="18" customHeight="1">
      <c r="B10">
        <v>1000</v>
      </c>
      <c r="C10">
        <v>1000</v>
      </c>
      <c r="E10">
        <v>10.598800000000001</v>
      </c>
      <c r="F10">
        <v>8.7532999999999994</v>
      </c>
      <c r="G10">
        <v>13.0647</v>
      </c>
      <c r="I10">
        <v>10.6892</v>
      </c>
      <c r="J10">
        <v>8.9240999999999993</v>
      </c>
      <c r="K10">
        <v>13.09</v>
      </c>
      <c r="M10" s="1">
        <v>12.340299999999999</v>
      </c>
      <c r="N10" s="1">
        <v>10.061299999999999</v>
      </c>
      <c r="O10" s="1">
        <v>15.527900000000001</v>
      </c>
      <c r="Q10" s="1">
        <v>9.9536999999999995</v>
      </c>
      <c r="R10" s="1">
        <v>8.5632999999999999</v>
      </c>
      <c r="S10" s="1">
        <v>11.602600000000001</v>
      </c>
      <c r="U10" s="1">
        <v>11.106299999999999</v>
      </c>
      <c r="V10" s="1">
        <v>7.8739999999999997</v>
      </c>
      <c r="W10" s="1">
        <v>16.670000000000002</v>
      </c>
      <c r="Y10" s="1">
        <v>12.669</v>
      </c>
      <c r="Z10" s="1">
        <v>10.372999999999999</v>
      </c>
      <c r="AA10" s="1">
        <v>15.877700000000001</v>
      </c>
    </row>
    <row r="11" spans="1:27" ht="18" customHeight="1">
      <c r="B11">
        <v>1100</v>
      </c>
      <c r="C11">
        <v>900</v>
      </c>
    </row>
    <row r="12" spans="1:27" ht="18" customHeight="1">
      <c r="B12">
        <v>1200</v>
      </c>
      <c r="C12">
        <v>800</v>
      </c>
      <c r="E12">
        <v>12.6151</v>
      </c>
      <c r="F12">
        <v>11.639099999999999</v>
      </c>
      <c r="G12">
        <v>14.357699999999999</v>
      </c>
      <c r="I12">
        <v>13.166</v>
      </c>
      <c r="J12">
        <v>12.235799999999999</v>
      </c>
      <c r="K12">
        <v>14.837</v>
      </c>
      <c r="M12" s="1">
        <v>11.811299999999999</v>
      </c>
      <c r="N12" s="1">
        <v>9.9</v>
      </c>
      <c r="O12" s="1">
        <v>15.963900000000001</v>
      </c>
      <c r="Q12" s="1">
        <v>11.3047</v>
      </c>
      <c r="R12" s="1">
        <v>10.1265</v>
      </c>
      <c r="S12" s="1">
        <v>13.379300000000001</v>
      </c>
      <c r="U12" s="1">
        <v>12.043100000000001</v>
      </c>
      <c r="V12" s="1">
        <v>9.9840999999999998</v>
      </c>
      <c r="W12" s="1">
        <v>16.670000000000002</v>
      </c>
      <c r="Y12" s="1">
        <v>11.182700000000001</v>
      </c>
      <c r="Z12" s="1">
        <v>8.8833000000000002</v>
      </c>
      <c r="AA12" s="1">
        <v>16.354700000000001</v>
      </c>
    </row>
    <row r="13" spans="1:27" ht="18" customHeight="1">
      <c r="B13">
        <v>1300</v>
      </c>
      <c r="C13">
        <v>700</v>
      </c>
    </row>
    <row r="14" spans="1:27" ht="18" customHeight="1">
      <c r="B14">
        <v>1400</v>
      </c>
      <c r="C14">
        <v>600</v>
      </c>
      <c r="E14">
        <v>13.161099999999999</v>
      </c>
      <c r="F14">
        <v>13.029299999999999</v>
      </c>
      <c r="G14">
        <v>13.4649</v>
      </c>
      <c r="I14">
        <v>13.159700000000001</v>
      </c>
      <c r="J14">
        <v>13.009499999999999</v>
      </c>
      <c r="K14">
        <v>13.506500000000001</v>
      </c>
      <c r="M14">
        <v>13.3446</v>
      </c>
      <c r="N14">
        <v>12.3987</v>
      </c>
      <c r="O14">
        <v>16.045200000000001</v>
      </c>
      <c r="Q14">
        <v>12.9015</v>
      </c>
      <c r="R14">
        <v>13.3942</v>
      </c>
      <c r="S14">
        <v>11.8142</v>
      </c>
      <c r="U14">
        <v>12.121600000000001</v>
      </c>
      <c r="V14">
        <v>10.6889</v>
      </c>
      <c r="W14">
        <v>16.670000000000002</v>
      </c>
      <c r="X14" s="3"/>
      <c r="Y14">
        <v>11.3462</v>
      </c>
      <c r="Z14">
        <v>10.9084</v>
      </c>
      <c r="AA14">
        <v>12.471299999999999</v>
      </c>
    </row>
    <row r="15" spans="1:27" ht="18" customHeight="1">
      <c r="B15">
        <v>1500</v>
      </c>
      <c r="C15">
        <v>500</v>
      </c>
    </row>
    <row r="16" spans="1:27" ht="18" customHeight="1"/>
    <row r="17" spans="1:27" ht="18" customHeight="1">
      <c r="B17">
        <v>1000</v>
      </c>
      <c r="C17">
        <v>1400</v>
      </c>
      <c r="E17">
        <v>10.483700000000001</v>
      </c>
      <c r="F17">
        <v>7.6821000000000002</v>
      </c>
      <c r="G17">
        <v>13.2277</v>
      </c>
      <c r="I17">
        <v>10.175700000000001</v>
      </c>
      <c r="J17">
        <v>7.7087000000000003</v>
      </c>
      <c r="K17">
        <v>12.581</v>
      </c>
      <c r="M17">
        <v>11.0718</v>
      </c>
      <c r="N17">
        <v>6.7313000000000001</v>
      </c>
      <c r="O17">
        <v>16.384599999999999</v>
      </c>
      <c r="Q17">
        <v>9.3017000000000003</v>
      </c>
      <c r="R17">
        <v>8.6837</v>
      </c>
      <c r="S17">
        <v>9.8023000000000007</v>
      </c>
      <c r="U17">
        <v>10.2887</v>
      </c>
      <c r="V17">
        <v>5.4560000000000004</v>
      </c>
      <c r="W17">
        <v>16.670000000000002</v>
      </c>
      <c r="Y17">
        <v>11.758900000000001</v>
      </c>
      <c r="Z17">
        <v>7.7168999999999999</v>
      </c>
      <c r="AA17">
        <v>16.275500000000001</v>
      </c>
    </row>
    <row r="18" spans="1:27" ht="18" customHeight="1">
      <c r="B18">
        <v>1200</v>
      </c>
      <c r="C18">
        <v>1200</v>
      </c>
      <c r="E18">
        <v>10.7934</v>
      </c>
      <c r="F18">
        <v>8.7367000000000008</v>
      </c>
      <c r="G18">
        <v>13.3156</v>
      </c>
      <c r="I18">
        <v>10.7934</v>
      </c>
      <c r="J18">
        <v>8.7367000000000008</v>
      </c>
      <c r="K18">
        <v>13.3156</v>
      </c>
      <c r="M18">
        <v>10.393000000000001</v>
      </c>
      <c r="N18">
        <v>6.9545000000000003</v>
      </c>
      <c r="O18">
        <v>16.0426</v>
      </c>
      <c r="Q18">
        <v>8.8158999999999992</v>
      </c>
      <c r="R18">
        <v>12.300599999999999</v>
      </c>
      <c r="S18">
        <v>6.3398000000000003</v>
      </c>
      <c r="U18">
        <v>9.6905000000000001</v>
      </c>
      <c r="V18">
        <v>5.7808000000000002</v>
      </c>
      <c r="W18">
        <v>16.670000000000002</v>
      </c>
      <c r="Y18">
        <v>10.2987</v>
      </c>
      <c r="Z18">
        <v>7.8308</v>
      </c>
      <c r="AA18">
        <v>13.924799999999999</v>
      </c>
    </row>
    <row r="19" spans="1:27" ht="18" customHeight="1">
      <c r="B19">
        <v>1400</v>
      </c>
      <c r="C19">
        <v>1000</v>
      </c>
      <c r="E19">
        <v>9.8755000000000006</v>
      </c>
      <c r="F19">
        <v>8.1858000000000004</v>
      </c>
      <c r="G19">
        <v>12.719799999999999</v>
      </c>
      <c r="I19">
        <v>9.1666000000000007</v>
      </c>
      <c r="J19">
        <v>8.1443999999999992</v>
      </c>
      <c r="K19">
        <v>10.8332</v>
      </c>
      <c r="M19">
        <v>9.5646000000000004</v>
      </c>
      <c r="N19">
        <v>6.8297999999999996</v>
      </c>
      <c r="O19">
        <v>15.611800000000001</v>
      </c>
      <c r="Q19">
        <v>8.3291000000000004</v>
      </c>
      <c r="R19">
        <v>6.7830000000000004</v>
      </c>
      <c r="S19">
        <v>11.1777</v>
      </c>
      <c r="U19">
        <v>9.7789000000000001</v>
      </c>
      <c r="V19">
        <v>6.7519</v>
      </c>
      <c r="W19">
        <v>16.6677</v>
      </c>
      <c r="Y19">
        <v>10.6058</v>
      </c>
      <c r="Z19">
        <v>8.7057000000000002</v>
      </c>
      <c r="AA19">
        <v>14.252599999999999</v>
      </c>
    </row>
    <row r="20" spans="1:27" ht="18" customHeight="1">
      <c r="B20">
        <v>800</v>
      </c>
      <c r="C20">
        <v>800</v>
      </c>
      <c r="E20">
        <v>13.9816</v>
      </c>
      <c r="F20">
        <v>12.0976</v>
      </c>
      <c r="G20">
        <v>16.338100000000001</v>
      </c>
      <c r="I20">
        <v>13.8766</v>
      </c>
      <c r="J20">
        <v>12.058299999999999</v>
      </c>
      <c r="K20">
        <v>16.151499999999999</v>
      </c>
      <c r="M20">
        <v>14.004099999999999</v>
      </c>
      <c r="N20">
        <v>12.0549</v>
      </c>
      <c r="O20">
        <v>16.442599999999999</v>
      </c>
      <c r="Q20">
        <v>13.890599999999999</v>
      </c>
      <c r="R20">
        <v>13.617000000000001</v>
      </c>
      <c r="S20">
        <v>14.183400000000001</v>
      </c>
      <c r="U20">
        <v>13.0808</v>
      </c>
      <c r="V20">
        <v>10.3969</v>
      </c>
      <c r="W20">
        <v>16.670000000000002</v>
      </c>
      <c r="Y20">
        <v>14.0299</v>
      </c>
      <c r="Z20">
        <v>12.0512</v>
      </c>
      <c r="AA20">
        <v>16.508600000000001</v>
      </c>
    </row>
    <row r="21" spans="1:27" ht="18" customHeight="1"/>
    <row r="22" spans="1:27" ht="18" customHeight="1">
      <c r="B22">
        <v>500</v>
      </c>
      <c r="C22">
        <v>1500</v>
      </c>
    </row>
    <row r="23" spans="1:27" ht="18" customHeight="1">
      <c r="A23" t="s">
        <v>18</v>
      </c>
      <c r="B23">
        <v>600</v>
      </c>
      <c r="C23">
        <v>1400</v>
      </c>
      <c r="E23">
        <v>12.5791</v>
      </c>
      <c r="F23">
        <v>8.8965999999999994</v>
      </c>
      <c r="G23">
        <v>14.9245</v>
      </c>
      <c r="I23">
        <v>12.701000000000001</v>
      </c>
      <c r="J23">
        <v>9.8449000000000009</v>
      </c>
      <c r="K23">
        <v>14.363300000000001</v>
      </c>
      <c r="M23">
        <v>12.8386</v>
      </c>
      <c r="N23">
        <v>8.0958000000000006</v>
      </c>
      <c r="O23">
        <v>16.492100000000001</v>
      </c>
      <c r="Q23">
        <v>9.1956000000000007</v>
      </c>
      <c r="R23">
        <v>9.0854999999999997</v>
      </c>
      <c r="S23">
        <v>9.2527000000000008</v>
      </c>
      <c r="U23">
        <v>12.16</v>
      </c>
      <c r="V23">
        <v>7.4660000000000002</v>
      </c>
      <c r="W23">
        <v>16.670000000000002</v>
      </c>
      <c r="Y23">
        <v>13.617900000000001</v>
      </c>
      <c r="Z23">
        <v>10.123900000000001</v>
      </c>
      <c r="AA23">
        <v>15.940300000000001</v>
      </c>
    </row>
    <row r="24" spans="1:27" ht="18" customHeight="1">
      <c r="B24">
        <v>700</v>
      </c>
      <c r="C24">
        <v>1300</v>
      </c>
    </row>
    <row r="25" spans="1:27" ht="18" customHeight="1">
      <c r="B25">
        <v>800</v>
      </c>
      <c r="C25">
        <v>1200</v>
      </c>
      <c r="E25">
        <v>11.2317</v>
      </c>
      <c r="F25">
        <v>7.9185999999999996</v>
      </c>
      <c r="G25">
        <v>14.621600000000001</v>
      </c>
      <c r="I25">
        <v>13.72</v>
      </c>
      <c r="J25">
        <v>10.917899999999999</v>
      </c>
      <c r="K25">
        <v>16.144200000000001</v>
      </c>
      <c r="M25">
        <v>12.7623</v>
      </c>
      <c r="N25">
        <v>9.1841000000000008</v>
      </c>
      <c r="O25">
        <v>16.3216</v>
      </c>
      <c r="Q25">
        <v>10.3089</v>
      </c>
      <c r="R25">
        <v>10.8833</v>
      </c>
      <c r="S25">
        <v>9.9099000000000004</v>
      </c>
      <c r="U25">
        <v>12.3428</v>
      </c>
      <c r="V25">
        <v>8.1119000000000003</v>
      </c>
      <c r="W25">
        <v>16.670000000000002</v>
      </c>
      <c r="Y25">
        <v>13.44</v>
      </c>
      <c r="Z25">
        <v>10.678699999999999</v>
      </c>
      <c r="AA25">
        <v>15.965400000000001</v>
      </c>
    </row>
    <row r="26" spans="1:27" ht="18" customHeight="1">
      <c r="B26">
        <v>900</v>
      </c>
      <c r="C26">
        <v>1100</v>
      </c>
    </row>
    <row r="27" spans="1:27" ht="18" customHeight="1">
      <c r="B27">
        <v>1000</v>
      </c>
      <c r="C27">
        <v>1000</v>
      </c>
      <c r="E27">
        <v>9.8140000000000001</v>
      </c>
      <c r="F27">
        <v>8.1600999999999999</v>
      </c>
      <c r="G27">
        <v>12.3498</v>
      </c>
      <c r="I27">
        <v>9.9094999999999995</v>
      </c>
      <c r="J27">
        <v>8.3477999999999994</v>
      </c>
      <c r="K27">
        <v>12.3614</v>
      </c>
      <c r="M27" s="1">
        <v>11.8294</v>
      </c>
      <c r="N27" s="1">
        <v>9.6184999999999992</v>
      </c>
      <c r="O27" s="1">
        <v>15.4697</v>
      </c>
      <c r="Q27" s="1">
        <v>9.0898000000000003</v>
      </c>
      <c r="R27" s="1">
        <v>7.9367000000000001</v>
      </c>
      <c r="S27" s="1">
        <v>10.613899999999999</v>
      </c>
      <c r="U27" s="1">
        <v>10.313800000000001</v>
      </c>
      <c r="V27" s="1">
        <v>7.2862</v>
      </c>
      <c r="W27" s="1">
        <v>16.670000000000002</v>
      </c>
      <c r="Y27" s="1">
        <v>12.1791</v>
      </c>
      <c r="Z27" s="1">
        <v>9.9405999999999999</v>
      </c>
      <c r="AA27" s="1">
        <v>15.8743</v>
      </c>
    </row>
    <row r="28" spans="1:27" ht="18" customHeight="1">
      <c r="B28">
        <v>1100</v>
      </c>
      <c r="C28">
        <v>900</v>
      </c>
    </row>
    <row r="29" spans="1:27" ht="18" customHeight="1">
      <c r="B29">
        <v>1200</v>
      </c>
      <c r="C29">
        <v>800</v>
      </c>
      <c r="E29">
        <v>11.8606</v>
      </c>
      <c r="F29">
        <v>10.785299999999999</v>
      </c>
      <c r="G29">
        <v>13.851800000000001</v>
      </c>
      <c r="I29">
        <v>12.5276</v>
      </c>
      <c r="J29">
        <v>11.5001</v>
      </c>
      <c r="K29">
        <v>14.4459</v>
      </c>
      <c r="M29" s="1">
        <v>10.9276</v>
      </c>
      <c r="N29" s="1">
        <v>8.8574999999999999</v>
      </c>
      <c r="O29" s="1">
        <v>15.7957</v>
      </c>
      <c r="Q29" s="1">
        <v>10.3528</v>
      </c>
      <c r="R29" s="1">
        <v>9.0574999999999992</v>
      </c>
      <c r="S29" s="1">
        <v>12.703799999999999</v>
      </c>
      <c r="U29" s="1">
        <v>11.202400000000001</v>
      </c>
      <c r="V29" s="1">
        <v>8.9733999999999998</v>
      </c>
      <c r="W29" s="1">
        <v>16.670000000000002</v>
      </c>
      <c r="Y29" s="1">
        <v>10.1867</v>
      </c>
      <c r="Z29" s="1">
        <v>7.6962999999999999</v>
      </c>
      <c r="AA29" s="1">
        <v>16.293500000000002</v>
      </c>
    </row>
    <row r="30" spans="1:27" ht="18" customHeight="1">
      <c r="B30">
        <v>1300</v>
      </c>
      <c r="C30">
        <v>700</v>
      </c>
    </row>
    <row r="31" spans="1:27" ht="18" customHeight="1">
      <c r="B31">
        <v>1400</v>
      </c>
      <c r="C31">
        <v>600</v>
      </c>
      <c r="E31">
        <v>12.524699999999999</v>
      </c>
      <c r="F31">
        <v>12.2675</v>
      </c>
      <c r="G31">
        <v>13.055899999999999</v>
      </c>
      <c r="I31">
        <v>12.522500000000001</v>
      </c>
      <c r="J31">
        <v>12.2422</v>
      </c>
      <c r="K31">
        <v>13.102600000000001</v>
      </c>
      <c r="M31">
        <v>12.7486</v>
      </c>
      <c r="N31">
        <v>11.523400000000001</v>
      </c>
      <c r="O31">
        <v>16.013100000000001</v>
      </c>
      <c r="Q31">
        <v>12.2073</v>
      </c>
      <c r="R31">
        <v>12.7278</v>
      </c>
      <c r="S31">
        <v>11.185700000000001</v>
      </c>
      <c r="U31">
        <v>11.333500000000001</v>
      </c>
      <c r="V31">
        <v>9.5772999999999993</v>
      </c>
      <c r="W31">
        <v>16.670000000000002</v>
      </c>
      <c r="Y31">
        <v>10.456899999999999</v>
      </c>
      <c r="Z31">
        <v>9.8592999999999993</v>
      </c>
      <c r="AA31">
        <v>11.878500000000001</v>
      </c>
    </row>
    <row r="32" spans="1:27" ht="18" customHeight="1">
      <c r="B32">
        <v>1500</v>
      </c>
      <c r="C32">
        <v>500</v>
      </c>
    </row>
    <row r="33" spans="1:31" ht="18" customHeight="1"/>
    <row r="34" spans="1:31" ht="18" customHeight="1">
      <c r="B34">
        <v>1000</v>
      </c>
      <c r="C34">
        <v>1400</v>
      </c>
      <c r="E34">
        <v>9.8240999999999996</v>
      </c>
      <c r="F34">
        <v>6.9850000000000003</v>
      </c>
      <c r="G34">
        <v>12.7859</v>
      </c>
      <c r="I34">
        <v>9.4824999999999999</v>
      </c>
      <c r="J34">
        <v>7.0244999999999997</v>
      </c>
      <c r="K34">
        <v>12.0306</v>
      </c>
      <c r="M34">
        <v>10.4064</v>
      </c>
      <c r="N34">
        <v>6.0362999999999998</v>
      </c>
      <c r="O34">
        <v>16.3217</v>
      </c>
      <c r="Q34">
        <v>8.5246999999999993</v>
      </c>
      <c r="R34">
        <v>8.0755999999999997</v>
      </c>
      <c r="S34">
        <v>8.9007000000000005</v>
      </c>
      <c r="U34">
        <v>9.5274000000000001</v>
      </c>
      <c r="V34">
        <v>4.6821999999999999</v>
      </c>
      <c r="W34">
        <v>16.670000000000002</v>
      </c>
      <c r="Y34">
        <v>11.2294</v>
      </c>
      <c r="Z34">
        <v>7.0323000000000002</v>
      </c>
      <c r="AA34">
        <v>16.360099999999999</v>
      </c>
    </row>
    <row r="35" spans="1:31" ht="18" customHeight="1">
      <c r="B35">
        <v>1200</v>
      </c>
      <c r="C35">
        <v>1200</v>
      </c>
      <c r="E35">
        <v>9.9720999999999993</v>
      </c>
      <c r="F35">
        <v>7.7576000000000001</v>
      </c>
      <c r="G35">
        <v>12.861800000000001</v>
      </c>
      <c r="I35">
        <v>9.9720999999999993</v>
      </c>
      <c r="J35">
        <v>7.7576000000000001</v>
      </c>
      <c r="K35">
        <v>12.861800000000001</v>
      </c>
      <c r="M35">
        <v>9.3710000000000004</v>
      </c>
      <c r="N35">
        <v>5.9128999999999996</v>
      </c>
      <c r="O35">
        <v>15.8467</v>
      </c>
      <c r="Q35">
        <v>7.8118999999999996</v>
      </c>
      <c r="R35">
        <v>11.766</v>
      </c>
      <c r="S35">
        <v>5.1281999999999996</v>
      </c>
      <c r="U35">
        <v>8.5637000000000008</v>
      </c>
      <c r="V35">
        <v>4.6428000000000003</v>
      </c>
      <c r="W35">
        <v>16.670000000000002</v>
      </c>
      <c r="Y35">
        <v>9.2568999999999999</v>
      </c>
      <c r="Z35">
        <v>6.8136999999999999</v>
      </c>
      <c r="AA35">
        <v>13.2339</v>
      </c>
    </row>
    <row r="36" spans="1:31" ht="18" customHeight="1">
      <c r="B36">
        <v>1400</v>
      </c>
      <c r="C36">
        <v>1000</v>
      </c>
      <c r="E36">
        <v>9.0587999999999997</v>
      </c>
      <c r="F36">
        <v>7.2321999999999997</v>
      </c>
      <c r="G36">
        <v>12.2607</v>
      </c>
      <c r="I36">
        <v>8.2164000000000001</v>
      </c>
      <c r="J36">
        <v>7.1913</v>
      </c>
      <c r="K36">
        <v>9.9422999999999995</v>
      </c>
      <c r="M36">
        <v>8.4916</v>
      </c>
      <c r="N36">
        <v>5.6767000000000003</v>
      </c>
      <c r="O36">
        <v>15.444900000000001</v>
      </c>
      <c r="Q36">
        <v>7.2743000000000002</v>
      </c>
      <c r="R36">
        <v>5.6965000000000003</v>
      </c>
      <c r="S36">
        <v>10.350099999999999</v>
      </c>
      <c r="U36">
        <v>8.7362000000000002</v>
      </c>
      <c r="V36">
        <v>5.6326000000000001</v>
      </c>
      <c r="W36">
        <v>16.666899999999998</v>
      </c>
      <c r="Y36">
        <v>9.7407000000000004</v>
      </c>
      <c r="Z36">
        <v>7.7686000000000002</v>
      </c>
      <c r="AA36">
        <v>13.829000000000001</v>
      </c>
    </row>
    <row r="37" spans="1:31" s="2" customFormat="1" ht="18" customHeight="1">
      <c r="B37" s="2">
        <v>800</v>
      </c>
      <c r="C37" s="2">
        <v>800</v>
      </c>
      <c r="E37" s="2">
        <v>13.601599999999999</v>
      </c>
      <c r="F37" s="2">
        <v>11.599500000000001</v>
      </c>
      <c r="G37" s="2">
        <v>16.265000000000001</v>
      </c>
      <c r="I37" s="2">
        <v>13.4779</v>
      </c>
      <c r="J37" s="2">
        <v>11.554399999999999</v>
      </c>
      <c r="K37" s="2">
        <v>16.037099999999999</v>
      </c>
      <c r="M37" s="2">
        <v>13.6282</v>
      </c>
      <c r="N37" s="2">
        <v>11.550599999999999</v>
      </c>
      <c r="O37" s="2">
        <v>16.392600000000002</v>
      </c>
      <c r="Q37" s="2">
        <v>13.4801</v>
      </c>
      <c r="R37" s="2">
        <v>13.3094</v>
      </c>
      <c r="S37" s="2">
        <v>13.669</v>
      </c>
      <c r="U37" s="2">
        <v>12.5631</v>
      </c>
      <c r="V37" s="2">
        <v>9.7036999999999995</v>
      </c>
      <c r="W37" s="2">
        <v>16.670000000000002</v>
      </c>
      <c r="Y37" s="2">
        <v>13.662000000000001</v>
      </c>
      <c r="Z37" s="2">
        <v>11.5524</v>
      </c>
      <c r="AA37" s="2">
        <v>16.472899999999999</v>
      </c>
    </row>
    <row r="38" spans="1:31" ht="18" customHeight="1"/>
    <row r="39" spans="1:31" ht="18" customHeight="1">
      <c r="A39" t="s">
        <v>14</v>
      </c>
      <c r="B39">
        <v>500</v>
      </c>
      <c r="C39">
        <v>1500</v>
      </c>
    </row>
    <row r="40" spans="1:31" ht="18" customHeight="1">
      <c r="A40" t="s">
        <v>19</v>
      </c>
      <c r="B40">
        <v>600</v>
      </c>
      <c r="C40">
        <v>1400</v>
      </c>
      <c r="E40">
        <v>12.8649</v>
      </c>
      <c r="F40">
        <v>9.1434999999999995</v>
      </c>
      <c r="G40">
        <v>15.214399999999999</v>
      </c>
      <c r="I40">
        <v>12.8444</v>
      </c>
      <c r="J40">
        <v>9.2924000000000007</v>
      </c>
      <c r="K40">
        <v>15.061199999999999</v>
      </c>
      <c r="M40">
        <v>11.588800000000001</v>
      </c>
      <c r="N40">
        <v>5.5810000000000004</v>
      </c>
      <c r="O40">
        <v>16.670000000000002</v>
      </c>
      <c r="Q40">
        <v>12.1807</v>
      </c>
      <c r="R40">
        <v>12.255000000000001</v>
      </c>
      <c r="S40">
        <v>12.147399999999999</v>
      </c>
      <c r="U40">
        <v>11.588800000000001</v>
      </c>
      <c r="V40">
        <v>5.5810000000000004</v>
      </c>
      <c r="W40">
        <v>16.670000000000002</v>
      </c>
      <c r="Y40">
        <v>13.3386</v>
      </c>
      <c r="Z40">
        <v>8.4543999999999997</v>
      </c>
      <c r="AA40">
        <v>16.559999999999999</v>
      </c>
      <c r="AC40">
        <v>12.9758</v>
      </c>
      <c r="AD40">
        <v>8.7582000000000004</v>
      </c>
      <c r="AE40">
        <v>15.6967</v>
      </c>
    </row>
    <row r="41" spans="1:31" ht="18" customHeight="1">
      <c r="A41" t="s">
        <v>16</v>
      </c>
      <c r="B41">
        <v>700</v>
      </c>
      <c r="C41">
        <v>1300</v>
      </c>
    </row>
    <row r="42" spans="1:31" ht="18" customHeight="1">
      <c r="A42" t="s">
        <v>17</v>
      </c>
      <c r="B42">
        <v>800</v>
      </c>
      <c r="C42">
        <v>1200</v>
      </c>
      <c r="E42">
        <v>11.6882</v>
      </c>
      <c r="F42">
        <v>9.09</v>
      </c>
      <c r="G42">
        <v>13.9953</v>
      </c>
      <c r="I42">
        <v>11.6884</v>
      </c>
      <c r="J42">
        <v>9.1356000000000002</v>
      </c>
      <c r="K42">
        <v>13.882400000000001</v>
      </c>
      <c r="M42">
        <v>12.1974</v>
      </c>
      <c r="N42">
        <v>7.8228999999999997</v>
      </c>
      <c r="O42">
        <v>16.5655</v>
      </c>
      <c r="Q42">
        <v>12.167899999999999</v>
      </c>
      <c r="R42">
        <v>14.0144</v>
      </c>
      <c r="S42">
        <v>11.176299999999999</v>
      </c>
      <c r="U42">
        <v>10.0829</v>
      </c>
      <c r="V42">
        <v>4.8901000000000003</v>
      </c>
      <c r="W42">
        <v>16.670000000000002</v>
      </c>
      <c r="Y42">
        <v>12.1975</v>
      </c>
      <c r="Z42">
        <v>7.8228999999999997</v>
      </c>
      <c r="AA42">
        <v>16.5655</v>
      </c>
      <c r="AC42">
        <v>11.998200000000001</v>
      </c>
      <c r="AD42">
        <v>8.7792999999999992</v>
      </c>
      <c r="AE42">
        <v>14.8908</v>
      </c>
    </row>
    <row r="43" spans="1:31" ht="18" customHeight="1">
      <c r="B43">
        <v>900</v>
      </c>
      <c r="C43">
        <v>1100</v>
      </c>
    </row>
    <row r="44" spans="1:31" ht="18" customHeight="1">
      <c r="B44">
        <v>1000</v>
      </c>
      <c r="C44">
        <v>1000</v>
      </c>
      <c r="E44">
        <v>10.884600000000001</v>
      </c>
      <c r="F44">
        <v>9.0088000000000008</v>
      </c>
      <c r="G44">
        <v>13.370200000000001</v>
      </c>
      <c r="I44">
        <v>10.8627</v>
      </c>
      <c r="J44">
        <v>8.8806999999999992</v>
      </c>
      <c r="K44">
        <v>13.4947</v>
      </c>
      <c r="M44">
        <v>8.6084999999999994</v>
      </c>
      <c r="N44">
        <v>4.5136000000000003</v>
      </c>
      <c r="O44">
        <v>16.670000000000002</v>
      </c>
      <c r="Q44">
        <v>10.231400000000001</v>
      </c>
      <c r="R44">
        <v>10.3957</v>
      </c>
      <c r="S44">
        <v>10.08</v>
      </c>
      <c r="U44">
        <v>8.6084999999999994</v>
      </c>
      <c r="V44">
        <v>4.5136000000000003</v>
      </c>
      <c r="W44">
        <v>16.670000000000002</v>
      </c>
      <c r="Y44">
        <v>10.699</v>
      </c>
      <c r="Z44">
        <v>7.5122999999999998</v>
      </c>
      <c r="AA44">
        <v>15.3621</v>
      </c>
      <c r="AC44">
        <v>10.247999999999999</v>
      </c>
      <c r="AD44">
        <v>8.0218000000000007</v>
      </c>
      <c r="AE44">
        <v>13.3589</v>
      </c>
    </row>
    <row r="45" spans="1:31" ht="18" customHeight="1">
      <c r="B45">
        <v>1100</v>
      </c>
      <c r="C45">
        <v>900</v>
      </c>
    </row>
    <row r="46" spans="1:31" ht="18" customHeight="1">
      <c r="B46">
        <v>1200</v>
      </c>
      <c r="C46">
        <v>800</v>
      </c>
      <c r="E46">
        <v>8.5419</v>
      </c>
      <c r="F46">
        <v>7.3663999999999996</v>
      </c>
      <c r="G46">
        <v>10.5748</v>
      </c>
      <c r="I46">
        <v>8.5511999999999997</v>
      </c>
      <c r="J46">
        <v>7.2930000000000001</v>
      </c>
      <c r="K46">
        <v>10.725899999999999</v>
      </c>
      <c r="M46">
        <v>9.8018999999999998</v>
      </c>
      <c r="N46">
        <v>7.0641999999999996</v>
      </c>
      <c r="O46">
        <v>16.386600000000001</v>
      </c>
      <c r="Q46">
        <v>8.5958000000000006</v>
      </c>
      <c r="R46">
        <v>7.3997999999999999</v>
      </c>
      <c r="S46">
        <v>10.670500000000001</v>
      </c>
      <c r="U46">
        <v>8.3937000000000008</v>
      </c>
      <c r="V46">
        <v>5.375</v>
      </c>
      <c r="W46">
        <v>16.6569</v>
      </c>
      <c r="Y46">
        <v>9.8018999999999998</v>
      </c>
      <c r="Z46">
        <v>7.0641999999999996</v>
      </c>
      <c r="AA46">
        <v>16.386600000000001</v>
      </c>
      <c r="AC46">
        <v>8.5419</v>
      </c>
      <c r="AD46">
        <v>7.3663999999999996</v>
      </c>
      <c r="AE46">
        <v>10.5748</v>
      </c>
    </row>
    <row r="47" spans="1:31" ht="18" customHeight="1">
      <c r="B47">
        <v>1300</v>
      </c>
      <c r="C47">
        <v>700</v>
      </c>
    </row>
    <row r="48" spans="1:31" ht="18" customHeight="1">
      <c r="B48">
        <v>1400</v>
      </c>
      <c r="C48">
        <v>600</v>
      </c>
      <c r="E48">
        <v>9.6440999999999999</v>
      </c>
      <c r="F48">
        <v>8.8344000000000005</v>
      </c>
      <c r="G48">
        <v>11.849500000000001</v>
      </c>
      <c r="I48">
        <v>9.6440999999999999</v>
      </c>
      <c r="J48">
        <v>8.8344000000000005</v>
      </c>
      <c r="K48">
        <v>11.849500000000001</v>
      </c>
      <c r="M48">
        <v>10.206099999999999</v>
      </c>
      <c r="N48">
        <v>8.5280000000000005</v>
      </c>
      <c r="O48">
        <v>15.7043</v>
      </c>
      <c r="Q48">
        <v>9.6486000000000001</v>
      </c>
      <c r="R48">
        <v>8.8117000000000001</v>
      </c>
      <c r="S48">
        <v>11.901899999999999</v>
      </c>
      <c r="U48">
        <v>10.405900000000001</v>
      </c>
      <c r="V48">
        <v>8.5888000000000009</v>
      </c>
      <c r="W48">
        <v>16.653700000000001</v>
      </c>
      <c r="Y48">
        <v>10.405900000000001</v>
      </c>
      <c r="Z48">
        <v>8.5888000000000009</v>
      </c>
      <c r="AA48">
        <v>16.653700000000001</v>
      </c>
      <c r="AC48">
        <v>9.6440999999999999</v>
      </c>
      <c r="AD48">
        <v>8.8344000000000005</v>
      </c>
      <c r="AE48">
        <v>11.849500000000001</v>
      </c>
    </row>
    <row r="49" spans="1:31" ht="18" customHeight="1">
      <c r="B49">
        <v>1500</v>
      </c>
      <c r="C49">
        <v>500</v>
      </c>
    </row>
    <row r="50" spans="1:31" ht="18" customHeight="1"/>
    <row r="51" spans="1:31" ht="18" customHeight="1">
      <c r="B51">
        <v>1000</v>
      </c>
      <c r="C51">
        <v>1400</v>
      </c>
      <c r="E51">
        <v>9.8009000000000004</v>
      </c>
      <c r="F51">
        <v>7.0159000000000002</v>
      </c>
      <c r="G51">
        <v>12.6082</v>
      </c>
      <c r="I51">
        <v>9.9474</v>
      </c>
      <c r="J51">
        <v>7.1536999999999997</v>
      </c>
      <c r="K51">
        <v>12.763</v>
      </c>
      <c r="M51">
        <v>9.2642000000000007</v>
      </c>
      <c r="N51">
        <v>4.0694999999999997</v>
      </c>
      <c r="O51">
        <v>16.670000000000002</v>
      </c>
      <c r="Q51">
        <v>9.1342999999999996</v>
      </c>
      <c r="R51">
        <v>10.3042</v>
      </c>
      <c r="S51">
        <v>8.3650000000000002</v>
      </c>
      <c r="U51">
        <v>9.2642000000000007</v>
      </c>
      <c r="V51">
        <v>4.0694999999999997</v>
      </c>
      <c r="W51">
        <v>16.670000000000002</v>
      </c>
      <c r="Y51">
        <v>10.3672</v>
      </c>
      <c r="Z51">
        <v>5.8533999999999997</v>
      </c>
      <c r="AA51">
        <v>15.543200000000001</v>
      </c>
      <c r="AC51">
        <v>9.8465000000000007</v>
      </c>
      <c r="AD51">
        <v>6.7709000000000001</v>
      </c>
      <c r="AE51">
        <v>13.0329</v>
      </c>
    </row>
    <row r="52" spans="1:31" ht="18" customHeight="1">
      <c r="B52">
        <v>1200</v>
      </c>
      <c r="C52">
        <v>1200</v>
      </c>
      <c r="E52">
        <v>9.4579000000000004</v>
      </c>
      <c r="F52">
        <v>7.8003999999999998</v>
      </c>
      <c r="G52">
        <v>11.6137</v>
      </c>
      <c r="I52">
        <v>9.2180999999999997</v>
      </c>
      <c r="J52">
        <v>7.1776999999999997</v>
      </c>
      <c r="K52">
        <v>11.8314</v>
      </c>
      <c r="M52">
        <v>8.7756000000000007</v>
      </c>
      <c r="N52">
        <v>4.5819000000000001</v>
      </c>
      <c r="O52">
        <v>16.500900000000001</v>
      </c>
      <c r="Q52">
        <v>9.0762999999999998</v>
      </c>
      <c r="R52">
        <v>8.7870000000000008</v>
      </c>
      <c r="S52">
        <v>9.3739000000000008</v>
      </c>
      <c r="U52">
        <v>7.6468999999999996</v>
      </c>
      <c r="V52">
        <v>3.2370000000000001</v>
      </c>
      <c r="W52">
        <v>16.670000000000002</v>
      </c>
      <c r="Y52">
        <v>8.4164999999999992</v>
      </c>
      <c r="Z52">
        <v>4.1195000000000004</v>
      </c>
      <c r="AA52">
        <v>16.6252</v>
      </c>
      <c r="AC52">
        <v>9.4579000000000004</v>
      </c>
      <c r="AD52">
        <v>7.8003999999999998</v>
      </c>
      <c r="AE52">
        <v>11.6137</v>
      </c>
    </row>
    <row r="53" spans="1:31" ht="18" customHeight="1">
      <c r="B53">
        <v>1400</v>
      </c>
      <c r="C53">
        <v>1000</v>
      </c>
      <c r="E53">
        <v>8.4312000000000005</v>
      </c>
      <c r="F53">
        <v>6.3551000000000002</v>
      </c>
      <c r="G53">
        <v>12.347</v>
      </c>
      <c r="I53">
        <v>8.4312000000000005</v>
      </c>
      <c r="J53">
        <v>6.3551000000000002</v>
      </c>
      <c r="K53">
        <v>12.347</v>
      </c>
      <c r="M53">
        <v>7.2556000000000003</v>
      </c>
      <c r="N53">
        <v>3.6509999999999998</v>
      </c>
      <c r="O53">
        <v>16.544</v>
      </c>
      <c r="Q53">
        <v>8.4169</v>
      </c>
      <c r="R53">
        <v>6.3609999999999998</v>
      </c>
      <c r="S53">
        <v>12.295</v>
      </c>
      <c r="U53">
        <v>6.5896999999999997</v>
      </c>
      <c r="V53">
        <v>2.8902000000000001</v>
      </c>
      <c r="W53">
        <v>16.670000000000002</v>
      </c>
      <c r="Y53">
        <v>7.2556000000000003</v>
      </c>
      <c r="Z53">
        <v>3.6509999999999998</v>
      </c>
      <c r="AA53">
        <v>16.544</v>
      </c>
      <c r="AC53">
        <v>8.4312000000000005</v>
      </c>
      <c r="AD53">
        <v>6.3551000000000002</v>
      </c>
      <c r="AE53">
        <v>12.347</v>
      </c>
    </row>
    <row r="54" spans="1:31" ht="18" customHeight="1">
      <c r="B54">
        <v>800</v>
      </c>
      <c r="C54">
        <v>800</v>
      </c>
      <c r="E54">
        <v>12.692399999999999</v>
      </c>
      <c r="F54">
        <v>10.782500000000001</v>
      </c>
      <c r="G54">
        <v>15.0822</v>
      </c>
      <c r="I54">
        <v>12.785500000000001</v>
      </c>
      <c r="J54">
        <v>10.356299999999999</v>
      </c>
      <c r="K54">
        <v>15.7639</v>
      </c>
      <c r="M54">
        <v>13.148199999999999</v>
      </c>
      <c r="N54">
        <v>10.710900000000001</v>
      </c>
      <c r="O54">
        <v>16.247299999999999</v>
      </c>
      <c r="Q54">
        <v>14.54</v>
      </c>
      <c r="R54">
        <v>14.5791</v>
      </c>
      <c r="S54">
        <v>14.5006</v>
      </c>
      <c r="U54">
        <v>10.146699999999999</v>
      </c>
      <c r="V54">
        <v>6.3634000000000004</v>
      </c>
      <c r="W54">
        <v>16.6435</v>
      </c>
      <c r="Y54">
        <v>15.5022</v>
      </c>
      <c r="Z54">
        <v>14.740600000000001</v>
      </c>
      <c r="AA54">
        <v>16.316500000000001</v>
      </c>
      <c r="AC54">
        <v>12.692399999999999</v>
      </c>
      <c r="AD54">
        <v>10.782500000000001</v>
      </c>
      <c r="AE54">
        <v>15.0822</v>
      </c>
    </row>
    <row r="55" spans="1:31" ht="18" customHeight="1"/>
    <row r="56" spans="1:31" ht="18" customHeight="1">
      <c r="B56">
        <v>500</v>
      </c>
      <c r="C56">
        <v>1500</v>
      </c>
    </row>
    <row r="57" spans="1:31" ht="18" customHeight="1">
      <c r="A57" t="s">
        <v>18</v>
      </c>
      <c r="B57">
        <v>600</v>
      </c>
      <c r="C57">
        <v>1400</v>
      </c>
      <c r="E57">
        <v>12.1721</v>
      </c>
      <c r="F57">
        <v>8.3007000000000009</v>
      </c>
      <c r="G57">
        <v>14.8696</v>
      </c>
      <c r="I57">
        <v>12.1494</v>
      </c>
      <c r="J57">
        <v>8.4703999999999997</v>
      </c>
      <c r="K57">
        <v>14.676500000000001</v>
      </c>
      <c r="M57">
        <v>10.687099999999999</v>
      </c>
      <c r="N57">
        <v>4.5749000000000004</v>
      </c>
      <c r="O57">
        <v>16.670000000000002</v>
      </c>
      <c r="Q57">
        <v>11.3766</v>
      </c>
      <c r="R57">
        <v>11.8499</v>
      </c>
      <c r="S57">
        <v>11.1591</v>
      </c>
      <c r="U57">
        <v>10.687099999999999</v>
      </c>
      <c r="V57">
        <v>4.5749000000000004</v>
      </c>
      <c r="W57">
        <v>16.670000000000002</v>
      </c>
      <c r="Y57">
        <v>12.739599999999999</v>
      </c>
      <c r="Z57">
        <v>7.5159000000000002</v>
      </c>
      <c r="AA57">
        <v>16.584499999999998</v>
      </c>
      <c r="AC57">
        <v>12.304399999999999</v>
      </c>
      <c r="AD57">
        <v>7.8733000000000004</v>
      </c>
      <c r="AE57">
        <v>15.472300000000001</v>
      </c>
    </row>
    <row r="58" spans="1:31" ht="18" customHeight="1">
      <c r="B58">
        <v>700</v>
      </c>
      <c r="C58">
        <v>1300</v>
      </c>
    </row>
    <row r="59" spans="1:31" ht="18" customHeight="1">
      <c r="B59">
        <v>800</v>
      </c>
      <c r="C59">
        <v>1200</v>
      </c>
      <c r="E59">
        <v>11.1686</v>
      </c>
      <c r="F59">
        <v>8.4319000000000006</v>
      </c>
      <c r="G59">
        <v>13.6972</v>
      </c>
      <c r="I59">
        <v>11.172700000000001</v>
      </c>
      <c r="J59">
        <v>8.4750999999999994</v>
      </c>
      <c r="K59">
        <v>13.5732</v>
      </c>
      <c r="M59">
        <v>11.680999999999999</v>
      </c>
      <c r="N59">
        <v>7.0442999999999998</v>
      </c>
      <c r="O59">
        <v>16.595600000000001</v>
      </c>
      <c r="Q59">
        <v>11.7134</v>
      </c>
      <c r="R59">
        <v>13.9397</v>
      </c>
      <c r="S59">
        <v>10.558999999999999</v>
      </c>
      <c r="U59">
        <v>9.3572000000000006</v>
      </c>
      <c r="V59">
        <v>4.0656999999999996</v>
      </c>
      <c r="W59">
        <v>16.670000000000002</v>
      </c>
      <c r="Y59">
        <v>11.680999999999999</v>
      </c>
      <c r="Z59">
        <v>7.0442999999999998</v>
      </c>
      <c r="AA59">
        <v>16.595600000000001</v>
      </c>
      <c r="AC59">
        <v>11.519299999999999</v>
      </c>
      <c r="AD59">
        <v>8.0812000000000008</v>
      </c>
      <c r="AE59">
        <v>14.741099999999999</v>
      </c>
    </row>
    <row r="60" spans="1:31" ht="18" customHeight="1">
      <c r="B60">
        <v>900</v>
      </c>
      <c r="C60">
        <v>1100</v>
      </c>
    </row>
    <row r="61" spans="1:31" ht="18" customHeight="1">
      <c r="B61">
        <v>1000</v>
      </c>
      <c r="C61">
        <v>1000</v>
      </c>
      <c r="E61">
        <v>10.099500000000001</v>
      </c>
      <c r="F61">
        <v>8.4369999999999994</v>
      </c>
      <c r="G61">
        <v>12.6272</v>
      </c>
      <c r="I61">
        <v>10.075900000000001</v>
      </c>
      <c r="J61">
        <v>8.2959999999999994</v>
      </c>
      <c r="K61">
        <v>12.7883</v>
      </c>
      <c r="M61">
        <v>7.4782000000000002</v>
      </c>
      <c r="N61">
        <v>3.7002000000000002</v>
      </c>
      <c r="O61">
        <v>16.670000000000002</v>
      </c>
      <c r="Q61">
        <v>9.3968000000000007</v>
      </c>
      <c r="R61">
        <v>9.9330999999999996</v>
      </c>
      <c r="S61">
        <v>8.8507999999999996</v>
      </c>
      <c r="U61">
        <v>7.4782000000000002</v>
      </c>
      <c r="V61">
        <v>3.7002000000000002</v>
      </c>
      <c r="W61">
        <v>16.670000000000002</v>
      </c>
      <c r="Y61">
        <v>9.8518000000000008</v>
      </c>
      <c r="Z61">
        <v>6.7859999999999996</v>
      </c>
      <c r="AA61">
        <v>15.1295</v>
      </c>
      <c r="AC61">
        <v>9.3684999999999992</v>
      </c>
      <c r="AD61">
        <v>7.3758999999999997</v>
      </c>
      <c r="AE61">
        <v>12.5816</v>
      </c>
    </row>
    <row r="62" spans="1:31" ht="18" customHeight="1">
      <c r="B62">
        <v>1100</v>
      </c>
      <c r="C62">
        <v>900</v>
      </c>
    </row>
    <row r="63" spans="1:31" ht="18" customHeight="1">
      <c r="B63">
        <v>1200</v>
      </c>
      <c r="C63">
        <v>800</v>
      </c>
      <c r="E63">
        <v>7.4711999999999996</v>
      </c>
      <c r="F63">
        <v>6.3765000000000001</v>
      </c>
      <c r="G63">
        <v>9.4078999999999997</v>
      </c>
      <c r="I63">
        <v>7.4817</v>
      </c>
      <c r="J63">
        <v>6.2904999999999998</v>
      </c>
      <c r="K63">
        <v>9.5878999999999994</v>
      </c>
      <c r="M63">
        <v>8.8673999999999999</v>
      </c>
      <c r="N63">
        <v>6.0594000000000001</v>
      </c>
      <c r="O63">
        <v>16.308499999999999</v>
      </c>
      <c r="Q63">
        <v>7.5331999999999999</v>
      </c>
      <c r="R63">
        <v>6.4154</v>
      </c>
      <c r="S63">
        <v>9.5177999999999994</v>
      </c>
      <c r="U63">
        <v>7.2925000000000004</v>
      </c>
      <c r="V63">
        <v>4.2550999999999997</v>
      </c>
      <c r="W63">
        <v>16.653199999999998</v>
      </c>
      <c r="Y63">
        <v>8.8673999999999999</v>
      </c>
      <c r="Z63">
        <v>6.0594000000000001</v>
      </c>
      <c r="AA63">
        <v>16.308499999999999</v>
      </c>
      <c r="AC63">
        <v>7.4711999999999996</v>
      </c>
      <c r="AD63">
        <v>6.3765000000000001</v>
      </c>
      <c r="AE63">
        <v>9.4078999999999997</v>
      </c>
    </row>
    <row r="64" spans="1:31" ht="18" customHeight="1">
      <c r="B64">
        <v>1300</v>
      </c>
      <c r="C64">
        <v>700</v>
      </c>
    </row>
    <row r="65" spans="1:31" ht="18" customHeight="1">
      <c r="B65">
        <v>1400</v>
      </c>
      <c r="C65">
        <v>600</v>
      </c>
      <c r="E65">
        <v>8.9400999999999993</v>
      </c>
      <c r="F65">
        <v>7.9668000000000001</v>
      </c>
      <c r="G65">
        <v>11.424099999999999</v>
      </c>
      <c r="I65">
        <v>8.9400999999999993</v>
      </c>
      <c r="J65">
        <v>7.9668000000000001</v>
      </c>
      <c r="K65">
        <v>11.424099999999999</v>
      </c>
      <c r="M65">
        <v>9.5660000000000007</v>
      </c>
      <c r="N65">
        <v>7.5820999999999996</v>
      </c>
      <c r="O65">
        <v>15.8255</v>
      </c>
      <c r="Q65">
        <v>8.9356000000000009</v>
      </c>
      <c r="R65">
        <v>7.9234999999999998</v>
      </c>
      <c r="S65">
        <v>11.481999999999999</v>
      </c>
      <c r="U65">
        <v>9.7375000000000007</v>
      </c>
      <c r="V65">
        <v>7.6665000000000001</v>
      </c>
      <c r="W65">
        <v>16.650700000000001</v>
      </c>
      <c r="Y65">
        <v>9.7375000000000007</v>
      </c>
      <c r="Z65">
        <v>7.6665000000000001</v>
      </c>
      <c r="AA65">
        <v>16.650700000000001</v>
      </c>
      <c r="AC65">
        <v>8.9400999999999993</v>
      </c>
      <c r="AD65">
        <v>7.9668000000000001</v>
      </c>
      <c r="AE65">
        <v>11.424099999999999</v>
      </c>
    </row>
    <row r="66" spans="1:31" ht="18" customHeight="1">
      <c r="B66">
        <v>1500</v>
      </c>
      <c r="C66">
        <v>500</v>
      </c>
    </row>
    <row r="67" spans="1:31" ht="18" customHeight="1"/>
    <row r="68" spans="1:31" ht="18" customHeight="1">
      <c r="B68">
        <v>1000</v>
      </c>
      <c r="C68">
        <v>1400</v>
      </c>
      <c r="E68">
        <v>9.0294000000000008</v>
      </c>
      <c r="F68">
        <v>6.2788000000000004</v>
      </c>
      <c r="G68">
        <v>11.9893</v>
      </c>
      <c r="I68">
        <v>9.1931999999999992</v>
      </c>
      <c r="J68">
        <v>6.4279000000000002</v>
      </c>
      <c r="K68">
        <v>12.1694</v>
      </c>
      <c r="M68">
        <v>8.3960000000000008</v>
      </c>
      <c r="N68">
        <v>3.2343000000000002</v>
      </c>
      <c r="O68">
        <v>16.670000000000002</v>
      </c>
      <c r="Q68">
        <v>8.3041999999999998</v>
      </c>
      <c r="R68">
        <v>9.8291000000000004</v>
      </c>
      <c r="S68">
        <v>7.2968999999999999</v>
      </c>
      <c r="U68">
        <v>8.3960000000000008</v>
      </c>
      <c r="V68">
        <v>3.2343000000000002</v>
      </c>
      <c r="W68">
        <v>16.670000000000002</v>
      </c>
      <c r="Y68">
        <v>9.6417000000000002</v>
      </c>
      <c r="Z68">
        <v>5.0204000000000004</v>
      </c>
      <c r="AA68">
        <v>15.427</v>
      </c>
      <c r="AC68">
        <v>9.0815999999999999</v>
      </c>
      <c r="AD68">
        <v>6.0293000000000001</v>
      </c>
      <c r="AE68">
        <v>12.468</v>
      </c>
    </row>
    <row r="69" spans="1:31" ht="18" customHeight="1">
      <c r="B69">
        <v>1200</v>
      </c>
      <c r="C69">
        <v>1200</v>
      </c>
      <c r="E69">
        <v>8.5751000000000008</v>
      </c>
      <c r="F69">
        <v>6.9382000000000001</v>
      </c>
      <c r="G69">
        <v>10.8607</v>
      </c>
      <c r="I69">
        <v>8.3175000000000008</v>
      </c>
      <c r="J69">
        <v>6.2382</v>
      </c>
      <c r="K69">
        <v>11.161099999999999</v>
      </c>
      <c r="M69">
        <v>7.5876000000000001</v>
      </c>
      <c r="N69">
        <v>3.4176000000000002</v>
      </c>
      <c r="O69">
        <v>16.505600000000001</v>
      </c>
      <c r="Q69">
        <v>8.1798000000000002</v>
      </c>
      <c r="R69">
        <v>8.0349000000000004</v>
      </c>
      <c r="S69">
        <v>8.3322000000000003</v>
      </c>
      <c r="U69">
        <v>6.4038000000000004</v>
      </c>
      <c r="V69">
        <v>2.1480000000000001</v>
      </c>
      <c r="W69">
        <v>16.670000000000002</v>
      </c>
      <c r="Y69">
        <v>7.1829999999999998</v>
      </c>
      <c r="Z69">
        <v>2.9319999999999999</v>
      </c>
      <c r="AA69">
        <v>16.669799999999999</v>
      </c>
      <c r="AC69">
        <v>8.5751000000000008</v>
      </c>
      <c r="AD69">
        <v>6.9382000000000001</v>
      </c>
      <c r="AE69">
        <v>10.8607</v>
      </c>
    </row>
    <row r="70" spans="1:31" ht="18" customHeight="1">
      <c r="B70">
        <v>1400</v>
      </c>
      <c r="C70">
        <v>1000</v>
      </c>
      <c r="E70">
        <v>7.3823999999999996</v>
      </c>
      <c r="F70">
        <v>5.1749000000000001</v>
      </c>
      <c r="G70">
        <v>11.8127</v>
      </c>
      <c r="I70">
        <v>7.3823999999999996</v>
      </c>
      <c r="J70">
        <v>5.1749000000000001</v>
      </c>
      <c r="K70">
        <v>11.8127</v>
      </c>
      <c r="M70">
        <v>5.8941999999999997</v>
      </c>
      <c r="N70">
        <v>2.2698</v>
      </c>
      <c r="O70">
        <v>16.6585</v>
      </c>
      <c r="Q70">
        <v>7.3653000000000004</v>
      </c>
      <c r="R70">
        <v>5.1818999999999997</v>
      </c>
      <c r="S70">
        <v>11.747299999999999</v>
      </c>
      <c r="U70">
        <v>5.2432999999999996</v>
      </c>
      <c r="V70">
        <v>1.6222000000000001</v>
      </c>
      <c r="W70">
        <v>16.670000000000002</v>
      </c>
      <c r="Y70">
        <v>5.8941999999999997</v>
      </c>
      <c r="Z70">
        <v>2.2698</v>
      </c>
      <c r="AA70">
        <v>16.6585</v>
      </c>
      <c r="AC70">
        <v>7.3823999999999996</v>
      </c>
      <c r="AD70">
        <v>5.1749000000000001</v>
      </c>
      <c r="AE70">
        <v>11.8127</v>
      </c>
    </row>
    <row r="71" spans="1:31" ht="18" customHeight="1">
      <c r="B71">
        <v>800</v>
      </c>
      <c r="C71">
        <v>800</v>
      </c>
      <c r="E71">
        <v>12.271599999999999</v>
      </c>
      <c r="F71">
        <v>10.2699</v>
      </c>
      <c r="G71">
        <v>14.926399999999999</v>
      </c>
      <c r="I71">
        <v>12.377599999999999</v>
      </c>
      <c r="J71">
        <v>9.7742000000000004</v>
      </c>
      <c r="K71">
        <v>15.7502</v>
      </c>
      <c r="M71">
        <v>12.783899999999999</v>
      </c>
      <c r="N71">
        <v>10.1966</v>
      </c>
      <c r="O71">
        <v>16.285399999999999</v>
      </c>
      <c r="Q71">
        <v>14.42</v>
      </c>
      <c r="R71">
        <v>14.603300000000001</v>
      </c>
      <c r="S71">
        <v>14.230499999999999</v>
      </c>
      <c r="U71">
        <v>9.4039000000000001</v>
      </c>
      <c r="V71">
        <v>5.5968999999999998</v>
      </c>
      <c r="W71">
        <v>16.637599999999999</v>
      </c>
      <c r="Y71">
        <v>15.5296</v>
      </c>
      <c r="Z71">
        <v>14.8208</v>
      </c>
      <c r="AA71">
        <v>16.315200000000001</v>
      </c>
      <c r="AC71">
        <v>12.271599999999999</v>
      </c>
      <c r="AD71">
        <v>10.2699</v>
      </c>
      <c r="AE71">
        <v>14.926399999999999</v>
      </c>
    </row>
    <row r="72" spans="1:31" ht="18" customHeight="1"/>
    <row r="73" spans="1:31" ht="18" customHeight="1">
      <c r="B73">
        <v>500</v>
      </c>
      <c r="C73">
        <v>1500</v>
      </c>
    </row>
    <row r="74" spans="1:31" ht="18" customHeight="1">
      <c r="A74" t="s">
        <v>20</v>
      </c>
      <c r="B74">
        <v>600</v>
      </c>
      <c r="C74">
        <v>1400</v>
      </c>
      <c r="E74">
        <v>11.114000000000001</v>
      </c>
      <c r="F74">
        <v>7.2835000000000001</v>
      </c>
      <c r="G74">
        <v>14.383800000000001</v>
      </c>
      <c r="I74">
        <v>11.0822</v>
      </c>
      <c r="J74">
        <v>7.5373000000000001</v>
      </c>
      <c r="K74">
        <v>14.0327</v>
      </c>
      <c r="M74">
        <v>9.9210999999999991</v>
      </c>
      <c r="N74">
        <v>4.1243999999999996</v>
      </c>
      <c r="O74">
        <v>16.670000000000002</v>
      </c>
      <c r="Q74">
        <v>10.9869</v>
      </c>
      <c r="R74">
        <v>11.0001</v>
      </c>
      <c r="S74">
        <v>10.979799999999999</v>
      </c>
      <c r="U74">
        <v>9.9210999999999991</v>
      </c>
      <c r="V74">
        <v>4.1243999999999996</v>
      </c>
      <c r="W74">
        <v>16.670000000000002</v>
      </c>
      <c r="Y74">
        <v>11.8354</v>
      </c>
      <c r="Z74">
        <v>6.2426000000000004</v>
      </c>
      <c r="AA74">
        <v>16.670000000000002</v>
      </c>
      <c r="AC74">
        <v>11.594200000000001</v>
      </c>
      <c r="AD74">
        <v>7.0296000000000003</v>
      </c>
      <c r="AE74">
        <v>15.5282</v>
      </c>
    </row>
    <row r="75" spans="1:31" ht="18" customHeight="1">
      <c r="B75">
        <v>700</v>
      </c>
      <c r="C75">
        <v>1300</v>
      </c>
    </row>
    <row r="76" spans="1:31" ht="18" customHeight="1">
      <c r="B76">
        <v>800</v>
      </c>
      <c r="C76">
        <v>1200</v>
      </c>
      <c r="E76">
        <v>9.4623000000000008</v>
      </c>
      <c r="F76">
        <v>7.3558000000000003</v>
      </c>
      <c r="G76">
        <v>12.0007</v>
      </c>
      <c r="I76">
        <v>9.4911999999999992</v>
      </c>
      <c r="J76">
        <v>7.4016999999999999</v>
      </c>
      <c r="K76">
        <v>11.8424</v>
      </c>
      <c r="M76">
        <v>9.8408999999999995</v>
      </c>
      <c r="N76">
        <v>5.2042999999999999</v>
      </c>
      <c r="O76">
        <v>16.6676</v>
      </c>
      <c r="Q76">
        <v>10.9247</v>
      </c>
      <c r="R76">
        <v>12.999499999999999</v>
      </c>
      <c r="S76">
        <v>9.7647999999999993</v>
      </c>
      <c r="U76">
        <v>7.6561000000000003</v>
      </c>
      <c r="V76">
        <v>3.0686</v>
      </c>
      <c r="W76">
        <v>16.670000000000002</v>
      </c>
      <c r="Y76">
        <v>9.8408999999999995</v>
      </c>
      <c r="Z76">
        <v>5.2042999999999999</v>
      </c>
      <c r="AA76">
        <v>16.6676</v>
      </c>
      <c r="AC76">
        <v>10.045500000000001</v>
      </c>
      <c r="AD76">
        <v>6.8159000000000001</v>
      </c>
      <c r="AE76">
        <v>14.054</v>
      </c>
    </row>
    <row r="77" spans="1:31" ht="18" customHeight="1">
      <c r="B77">
        <v>900</v>
      </c>
      <c r="C77">
        <v>1100</v>
      </c>
    </row>
    <row r="78" spans="1:31" ht="18" customHeight="1">
      <c r="B78">
        <v>1000</v>
      </c>
      <c r="C78">
        <v>1000</v>
      </c>
      <c r="E78">
        <v>9.1874000000000002</v>
      </c>
      <c r="F78">
        <v>7.7774000000000001</v>
      </c>
      <c r="G78">
        <v>11.778600000000001</v>
      </c>
      <c r="I78">
        <v>9.3292000000000002</v>
      </c>
      <c r="J78">
        <v>7.5210999999999997</v>
      </c>
      <c r="K78">
        <v>12.7562</v>
      </c>
      <c r="M78">
        <v>5.8945999999999996</v>
      </c>
      <c r="N78">
        <v>2.5135000000000001</v>
      </c>
      <c r="O78">
        <v>16.670000000000002</v>
      </c>
      <c r="Q78">
        <v>8.9520999999999997</v>
      </c>
      <c r="R78">
        <v>8.4708000000000006</v>
      </c>
      <c r="S78">
        <v>9.4875000000000007</v>
      </c>
      <c r="U78">
        <v>5.8945999999999996</v>
      </c>
      <c r="V78">
        <v>2.5135000000000001</v>
      </c>
      <c r="W78">
        <v>16.670000000000002</v>
      </c>
      <c r="Y78">
        <v>8.3580000000000005</v>
      </c>
      <c r="Z78">
        <v>4.8582000000000001</v>
      </c>
      <c r="AA78">
        <v>16.654699999999998</v>
      </c>
      <c r="AC78">
        <v>8.3649000000000004</v>
      </c>
      <c r="AD78">
        <v>6.4602000000000004</v>
      </c>
      <c r="AE78">
        <v>12.254300000000001</v>
      </c>
    </row>
    <row r="79" spans="1:31" ht="18" customHeight="1">
      <c r="B79">
        <v>1100</v>
      </c>
      <c r="C79">
        <v>900</v>
      </c>
    </row>
    <row r="80" spans="1:31" ht="18" customHeight="1">
      <c r="B80">
        <v>1200</v>
      </c>
      <c r="C80">
        <v>800</v>
      </c>
      <c r="E80">
        <v>4.7096</v>
      </c>
      <c r="F80">
        <v>3.6162999999999998</v>
      </c>
      <c r="G80">
        <v>6.7321999999999997</v>
      </c>
      <c r="I80">
        <v>4.7248999999999999</v>
      </c>
      <c r="J80">
        <v>3.4769999999999999</v>
      </c>
      <c r="K80">
        <v>7.0312999999999999</v>
      </c>
      <c r="M80">
        <v>6.3861999999999997</v>
      </c>
      <c r="N80">
        <v>3.5118</v>
      </c>
      <c r="O80">
        <v>16.646599999999999</v>
      </c>
      <c r="Q80">
        <v>4.8040000000000003</v>
      </c>
      <c r="R80">
        <v>3.6781000000000001</v>
      </c>
      <c r="S80">
        <v>6.8992000000000004</v>
      </c>
      <c r="U80">
        <v>5.0315000000000003</v>
      </c>
      <c r="V80">
        <v>2.2566000000000002</v>
      </c>
      <c r="W80">
        <v>16.6462</v>
      </c>
      <c r="Y80">
        <v>6.3861999999999997</v>
      </c>
      <c r="Z80">
        <v>3.5118</v>
      </c>
      <c r="AA80">
        <v>16.646599999999999</v>
      </c>
      <c r="AC80">
        <v>4.7096</v>
      </c>
      <c r="AD80">
        <v>3.6162999999999998</v>
      </c>
      <c r="AE80">
        <v>6.7321999999999997</v>
      </c>
    </row>
    <row r="81" spans="1:31" ht="18" customHeight="1">
      <c r="B81">
        <v>1300</v>
      </c>
      <c r="C81">
        <v>700</v>
      </c>
    </row>
    <row r="82" spans="1:31" ht="18" customHeight="1">
      <c r="B82">
        <v>1400</v>
      </c>
      <c r="C82">
        <v>600</v>
      </c>
      <c r="E82">
        <v>7.3457999999999997</v>
      </c>
      <c r="F82">
        <v>6.4550999999999998</v>
      </c>
      <c r="G82">
        <v>9.6313999999999993</v>
      </c>
      <c r="I82">
        <v>7.3457999999999997</v>
      </c>
      <c r="J82">
        <v>6.4550999999999998</v>
      </c>
      <c r="K82">
        <v>9.6313999999999993</v>
      </c>
      <c r="M82">
        <v>7.7276999999999996</v>
      </c>
      <c r="N82">
        <v>5.3738999999999999</v>
      </c>
      <c r="O82">
        <v>16.481999999999999</v>
      </c>
      <c r="Q82">
        <v>7.3007</v>
      </c>
      <c r="R82">
        <v>6.3364000000000003</v>
      </c>
      <c r="S82">
        <v>9.7171000000000003</v>
      </c>
      <c r="U82">
        <v>7.5663999999999998</v>
      </c>
      <c r="V82">
        <v>5.1551999999999998</v>
      </c>
      <c r="W82">
        <v>16.634</v>
      </c>
      <c r="Y82">
        <v>7.5663999999999998</v>
      </c>
      <c r="Z82">
        <v>5.1551999999999998</v>
      </c>
      <c r="AA82">
        <v>16.634</v>
      </c>
      <c r="AC82">
        <v>7.3457999999999997</v>
      </c>
      <c r="AD82">
        <v>6.4550999999999998</v>
      </c>
      <c r="AE82">
        <v>9.6313999999999993</v>
      </c>
    </row>
    <row r="83" spans="1:31" ht="18" customHeight="1">
      <c r="B83">
        <v>1500</v>
      </c>
      <c r="C83">
        <v>500</v>
      </c>
    </row>
    <row r="84" spans="1:31" ht="18" customHeight="1"/>
    <row r="85" spans="1:31" ht="18" customHeight="1">
      <c r="B85">
        <v>1000</v>
      </c>
      <c r="C85">
        <v>1400</v>
      </c>
      <c r="E85">
        <v>7.3699000000000003</v>
      </c>
      <c r="F85">
        <v>4.8925999999999998</v>
      </c>
      <c r="G85">
        <v>10.4986</v>
      </c>
      <c r="I85">
        <v>7.6288999999999998</v>
      </c>
      <c r="J85">
        <v>5.1127000000000002</v>
      </c>
      <c r="K85">
        <v>10.8118</v>
      </c>
      <c r="M85">
        <v>6.7022000000000004</v>
      </c>
      <c r="N85">
        <v>1.8722000000000001</v>
      </c>
      <c r="O85">
        <v>16.670000000000002</v>
      </c>
      <c r="Q85">
        <v>7.4924999999999997</v>
      </c>
      <c r="R85">
        <v>8.3009000000000004</v>
      </c>
      <c r="S85">
        <v>6.9298000000000002</v>
      </c>
      <c r="U85">
        <v>6.7022000000000004</v>
      </c>
      <c r="V85">
        <v>1.8722000000000001</v>
      </c>
      <c r="W85">
        <v>16.670000000000002</v>
      </c>
      <c r="Y85">
        <v>7.9875999999999996</v>
      </c>
      <c r="Z85">
        <v>2.9479000000000002</v>
      </c>
      <c r="AA85">
        <v>16.670000000000002</v>
      </c>
      <c r="AC85">
        <v>7.6322999999999999</v>
      </c>
      <c r="AD85">
        <v>4.8655999999999997</v>
      </c>
      <c r="AE85">
        <v>11.390599999999999</v>
      </c>
    </row>
    <row r="86" spans="1:31" ht="18" customHeight="1">
      <c r="B86">
        <v>1200</v>
      </c>
      <c r="C86">
        <v>1200</v>
      </c>
      <c r="E86">
        <v>6.8353000000000002</v>
      </c>
      <c r="F86">
        <v>5.4874000000000001</v>
      </c>
      <c r="G86">
        <v>8.8409999999999993</v>
      </c>
      <c r="I86">
        <v>6.7317</v>
      </c>
      <c r="J86">
        <v>4.4806999999999997</v>
      </c>
      <c r="K86">
        <v>10.3569</v>
      </c>
      <c r="M86">
        <v>5.7133000000000003</v>
      </c>
      <c r="N86">
        <v>1.4300999999999999</v>
      </c>
      <c r="O86">
        <v>16.670000000000002</v>
      </c>
      <c r="Q86">
        <v>7.1302000000000003</v>
      </c>
      <c r="R86">
        <v>6.4855</v>
      </c>
      <c r="S86">
        <v>7.8372000000000002</v>
      </c>
      <c r="U86">
        <v>4.9112</v>
      </c>
      <c r="V86">
        <v>0.62719999999999998</v>
      </c>
      <c r="W86">
        <v>16.670000000000002</v>
      </c>
      <c r="Y86">
        <v>5.4119999999999999</v>
      </c>
      <c r="Z86">
        <v>1.1274999999999999</v>
      </c>
      <c r="AA86">
        <v>16.670000000000002</v>
      </c>
      <c r="AC86">
        <v>6.8353000000000002</v>
      </c>
      <c r="AD86">
        <v>5.4874000000000001</v>
      </c>
      <c r="AE86">
        <v>8.8409999999999993</v>
      </c>
    </row>
    <row r="87" spans="1:31" ht="18" customHeight="1">
      <c r="B87">
        <v>1400</v>
      </c>
      <c r="C87">
        <v>1000</v>
      </c>
      <c r="E87">
        <v>6.0456000000000003</v>
      </c>
      <c r="F87">
        <v>3.5042</v>
      </c>
      <c r="G87">
        <v>11.376200000000001</v>
      </c>
      <c r="I87">
        <v>6.0456000000000003</v>
      </c>
      <c r="J87">
        <v>3.5042</v>
      </c>
      <c r="K87">
        <v>11.376200000000001</v>
      </c>
      <c r="M87">
        <v>4.4246999999999996</v>
      </c>
      <c r="N87">
        <v>0.52400000000000002</v>
      </c>
      <c r="O87">
        <v>16.670000000000002</v>
      </c>
      <c r="Q87">
        <v>6.0174000000000003</v>
      </c>
      <c r="R87">
        <v>3.5158999999999998</v>
      </c>
      <c r="S87">
        <v>11.2652</v>
      </c>
      <c r="U87">
        <v>4.1216999999999997</v>
      </c>
      <c r="V87">
        <v>0.20030000000000001</v>
      </c>
      <c r="W87">
        <v>16.670000000000002</v>
      </c>
      <c r="Y87">
        <v>4.4246999999999996</v>
      </c>
      <c r="Z87">
        <v>0.52400000000000002</v>
      </c>
      <c r="AA87">
        <v>16.670000000000002</v>
      </c>
      <c r="AC87">
        <v>6.0456000000000003</v>
      </c>
      <c r="AD87">
        <v>3.5042</v>
      </c>
      <c r="AE87">
        <v>11.376200000000001</v>
      </c>
    </row>
    <row r="88" spans="1:31" s="2" customFormat="1" ht="18" customHeight="1">
      <c r="B88" s="2">
        <v>800</v>
      </c>
      <c r="C88" s="2">
        <v>800</v>
      </c>
      <c r="E88" s="2">
        <v>10.898300000000001</v>
      </c>
      <c r="F88" s="2">
        <v>8.8745999999999992</v>
      </c>
      <c r="G88" s="2">
        <v>14.4535</v>
      </c>
      <c r="I88" s="2">
        <v>11.0662</v>
      </c>
      <c r="J88" s="2">
        <v>8.0631000000000004</v>
      </c>
      <c r="K88" s="2">
        <v>16.136600000000001</v>
      </c>
      <c r="M88" s="2">
        <v>11.633599999999999</v>
      </c>
      <c r="N88" s="2">
        <v>8.8295999999999992</v>
      </c>
      <c r="O88" s="2">
        <v>16.433199999999999</v>
      </c>
      <c r="Q88" s="2">
        <v>14.039</v>
      </c>
      <c r="R88" s="2">
        <v>14.370799999999999</v>
      </c>
      <c r="S88" s="2">
        <v>13.6144</v>
      </c>
      <c r="U88" s="2">
        <v>7.7601000000000004</v>
      </c>
      <c r="V88" s="2">
        <v>4.1604000000000001</v>
      </c>
      <c r="W88" s="2">
        <v>16.670000000000002</v>
      </c>
      <c r="Y88" s="2">
        <v>15.2766</v>
      </c>
      <c r="Z88" s="2">
        <v>14.7296</v>
      </c>
      <c r="AA88" s="2">
        <v>15.977399999999999</v>
      </c>
      <c r="AC88" s="2">
        <v>10.898300000000001</v>
      </c>
      <c r="AD88" s="2">
        <v>8.8745999999999992</v>
      </c>
      <c r="AE88" s="2">
        <v>14.4535</v>
      </c>
    </row>
    <row r="89" spans="1:31" ht="18" customHeight="1"/>
    <row r="90" spans="1:31" ht="18" customHeight="1">
      <c r="A90" t="s">
        <v>14</v>
      </c>
      <c r="B90">
        <v>500</v>
      </c>
      <c r="C90">
        <v>1500</v>
      </c>
    </row>
    <row r="91" spans="1:31" ht="18" customHeight="1">
      <c r="A91" t="s">
        <v>21</v>
      </c>
      <c r="B91">
        <v>600</v>
      </c>
      <c r="C91">
        <v>1400</v>
      </c>
      <c r="E91">
        <v>11.5663</v>
      </c>
      <c r="F91">
        <v>6.9983000000000004</v>
      </c>
      <c r="G91">
        <v>15.0334</v>
      </c>
      <c r="I91">
        <v>11.8934</v>
      </c>
      <c r="J91">
        <v>8.2081</v>
      </c>
      <c r="K91">
        <v>14.332700000000001</v>
      </c>
      <c r="M91">
        <v>11.576700000000001</v>
      </c>
      <c r="N91">
        <v>5.5720999999999998</v>
      </c>
      <c r="O91">
        <v>16.652000000000001</v>
      </c>
      <c r="Q91">
        <v>11.902200000000001</v>
      </c>
      <c r="R91">
        <v>11.5794</v>
      </c>
      <c r="S91">
        <v>12.0547</v>
      </c>
      <c r="U91">
        <v>11.576700000000001</v>
      </c>
      <c r="V91">
        <v>5.5720999999999998</v>
      </c>
      <c r="W91">
        <v>16.652100000000001</v>
      </c>
      <c r="Y91">
        <v>11.576700000000001</v>
      </c>
      <c r="Z91">
        <v>5.5720999999999998</v>
      </c>
      <c r="AA91">
        <v>16.652100000000001</v>
      </c>
      <c r="AC91">
        <v>11.5236</v>
      </c>
      <c r="AD91">
        <v>6.9317000000000002</v>
      </c>
      <c r="AE91">
        <v>15.0794</v>
      </c>
    </row>
    <row r="92" spans="1:31" ht="18" customHeight="1">
      <c r="A92" t="s">
        <v>16</v>
      </c>
      <c r="B92">
        <v>700</v>
      </c>
      <c r="C92">
        <v>1300</v>
      </c>
    </row>
    <row r="93" spans="1:31" ht="18" customHeight="1">
      <c r="A93" t="s">
        <v>17</v>
      </c>
      <c r="B93">
        <v>800</v>
      </c>
      <c r="C93">
        <v>1200</v>
      </c>
    </row>
    <row r="94" spans="1:31" ht="18" customHeight="1">
      <c r="B94">
        <v>900</v>
      </c>
      <c r="C94">
        <v>1100</v>
      </c>
    </row>
    <row r="95" spans="1:31" ht="18" customHeight="1">
      <c r="B95">
        <v>1000</v>
      </c>
      <c r="C95">
        <v>1000</v>
      </c>
      <c r="E95">
        <v>9.9534000000000002</v>
      </c>
      <c r="F95">
        <v>7.2393999999999998</v>
      </c>
      <c r="G95">
        <v>14.169600000000001</v>
      </c>
      <c r="I95">
        <v>9.9534000000000002</v>
      </c>
      <c r="J95">
        <v>7.2393999999999998</v>
      </c>
      <c r="K95">
        <v>14.169600000000001</v>
      </c>
      <c r="M95">
        <v>8.6064000000000007</v>
      </c>
      <c r="N95">
        <v>4.5141999999999998</v>
      </c>
      <c r="O95">
        <v>16.670000000000002</v>
      </c>
      <c r="Q95">
        <v>10.585599999999999</v>
      </c>
      <c r="R95">
        <v>9.3562999999999992</v>
      </c>
      <c r="S95">
        <v>12.029400000000001</v>
      </c>
      <c r="U95">
        <v>8.6064000000000007</v>
      </c>
      <c r="V95">
        <v>4.5141999999999998</v>
      </c>
      <c r="W95">
        <v>16.670000000000002</v>
      </c>
      <c r="Y95">
        <v>8.6064000000000007</v>
      </c>
      <c r="Z95">
        <v>4.5141999999999998</v>
      </c>
      <c r="AA95">
        <v>16.670000000000002</v>
      </c>
      <c r="AC95">
        <v>9.9534000000000002</v>
      </c>
      <c r="AD95">
        <v>7.2393999999999998</v>
      </c>
      <c r="AE95">
        <v>14.169600000000001</v>
      </c>
    </row>
    <row r="96" spans="1:31" ht="18" customHeight="1">
      <c r="B96">
        <v>1100</v>
      </c>
      <c r="C96">
        <v>900</v>
      </c>
    </row>
    <row r="97" spans="1:31" ht="18" customHeight="1">
      <c r="B97">
        <v>1200</v>
      </c>
      <c r="C97">
        <v>800</v>
      </c>
    </row>
    <row r="98" spans="1:31" ht="18" customHeight="1">
      <c r="B98">
        <v>1300</v>
      </c>
      <c r="C98">
        <v>700</v>
      </c>
    </row>
    <row r="99" spans="1:31" ht="18" customHeight="1">
      <c r="B99">
        <v>1400</v>
      </c>
      <c r="C99">
        <v>600</v>
      </c>
      <c r="E99">
        <v>7.4873000000000003</v>
      </c>
      <c r="F99">
        <v>5.7968000000000002</v>
      </c>
      <c r="G99">
        <v>14.020300000000001</v>
      </c>
      <c r="I99">
        <v>7.4873000000000003</v>
      </c>
      <c r="J99">
        <v>5.7968000000000002</v>
      </c>
      <c r="K99">
        <v>14.020300000000001</v>
      </c>
      <c r="M99">
        <v>6.4801000000000002</v>
      </c>
      <c r="N99">
        <v>4.1702000000000004</v>
      </c>
      <c r="O99">
        <v>16.6325</v>
      </c>
      <c r="Q99">
        <v>8.0198</v>
      </c>
      <c r="R99">
        <v>6.5090000000000003</v>
      </c>
      <c r="S99">
        <v>13.1525</v>
      </c>
      <c r="U99">
        <v>6.4801000000000002</v>
      </c>
      <c r="V99">
        <v>4.1702000000000004</v>
      </c>
      <c r="W99">
        <v>16.6325</v>
      </c>
      <c r="Y99">
        <v>6.8174000000000001</v>
      </c>
      <c r="Z99">
        <v>4.5483000000000002</v>
      </c>
      <c r="AA99">
        <v>16.602599999999999</v>
      </c>
      <c r="AC99">
        <v>7.4873000000000003</v>
      </c>
      <c r="AD99">
        <v>5.7968000000000002</v>
      </c>
      <c r="AE99">
        <v>14.020300000000001</v>
      </c>
    </row>
    <row r="100" spans="1:31" ht="18" customHeight="1">
      <c r="B100">
        <v>1500</v>
      </c>
      <c r="C100">
        <v>500</v>
      </c>
    </row>
    <row r="101" spans="1:31" ht="18" customHeight="1"/>
    <row r="102" spans="1:31" ht="18" customHeight="1">
      <c r="B102">
        <v>1200</v>
      </c>
      <c r="C102">
        <v>1200</v>
      </c>
      <c r="E102">
        <v>8.6279000000000003</v>
      </c>
      <c r="F102">
        <v>6.3223000000000003</v>
      </c>
      <c r="G102">
        <v>12.139799999999999</v>
      </c>
      <c r="I102">
        <v>8.9769000000000005</v>
      </c>
      <c r="J102">
        <v>6.7542</v>
      </c>
      <c r="K102">
        <v>12.0792</v>
      </c>
      <c r="M102">
        <v>7.6439000000000004</v>
      </c>
      <c r="N102">
        <v>3.2338</v>
      </c>
      <c r="O102">
        <v>16.670000000000002</v>
      </c>
      <c r="Q102">
        <v>8.9397000000000002</v>
      </c>
      <c r="R102">
        <v>7.6516000000000002</v>
      </c>
      <c r="S102">
        <v>10.5474</v>
      </c>
      <c r="U102">
        <v>7.6439000000000004</v>
      </c>
      <c r="V102">
        <v>3.2338</v>
      </c>
      <c r="W102">
        <v>16.670000000000002</v>
      </c>
      <c r="Y102">
        <v>7.6439000000000004</v>
      </c>
      <c r="Z102">
        <v>3.2338</v>
      </c>
      <c r="AA102">
        <v>16.670000000000002</v>
      </c>
      <c r="AC102">
        <v>8.6279000000000003</v>
      </c>
      <c r="AD102">
        <v>6.3223000000000003</v>
      </c>
      <c r="AE102">
        <v>12.139799999999999</v>
      </c>
    </row>
    <row r="103" spans="1:31" ht="18" customHeight="1"/>
    <row r="104" spans="1:31" ht="18" customHeight="1">
      <c r="B104">
        <v>500</v>
      </c>
      <c r="C104">
        <v>1500</v>
      </c>
    </row>
    <row r="105" spans="1:31" ht="18" customHeight="1">
      <c r="A105" t="s">
        <v>18</v>
      </c>
      <c r="B105">
        <v>600</v>
      </c>
      <c r="C105">
        <v>1400</v>
      </c>
      <c r="E105">
        <v>10.6608</v>
      </c>
      <c r="F105">
        <v>6.1093999999999999</v>
      </c>
      <c r="G105">
        <v>14.5725</v>
      </c>
      <c r="I105">
        <v>11.047599999999999</v>
      </c>
      <c r="J105">
        <v>7.4002999999999997</v>
      </c>
      <c r="K105">
        <v>13.712999999999999</v>
      </c>
      <c r="M105">
        <v>10.673400000000001</v>
      </c>
      <c r="N105">
        <v>4.5654000000000003</v>
      </c>
      <c r="O105">
        <v>16.646699999999999</v>
      </c>
      <c r="Q105">
        <v>11.0451</v>
      </c>
      <c r="R105">
        <v>11.166700000000001</v>
      </c>
      <c r="S105">
        <v>10.9857</v>
      </c>
      <c r="U105">
        <v>10.673400000000001</v>
      </c>
      <c r="V105">
        <v>4.5654000000000003</v>
      </c>
      <c r="W105">
        <v>16.646699999999999</v>
      </c>
      <c r="Y105">
        <v>10.673400000000001</v>
      </c>
      <c r="Z105">
        <v>4.5654000000000003</v>
      </c>
      <c r="AA105">
        <v>16.646699999999999</v>
      </c>
      <c r="AC105">
        <v>10.6061</v>
      </c>
      <c r="AD105">
        <v>6.0429000000000004</v>
      </c>
      <c r="AE105">
        <v>14.6249</v>
      </c>
    </row>
    <row r="106" spans="1:31" ht="18" customHeight="1">
      <c r="B106">
        <v>700</v>
      </c>
      <c r="C106">
        <v>1300</v>
      </c>
    </row>
    <row r="107" spans="1:31" ht="18" customHeight="1">
      <c r="B107">
        <v>800</v>
      </c>
      <c r="C107">
        <v>1200</v>
      </c>
    </row>
    <row r="108" spans="1:31" ht="18" customHeight="1">
      <c r="B108">
        <v>900</v>
      </c>
      <c r="C108">
        <v>1100</v>
      </c>
    </row>
    <row r="109" spans="1:31" ht="18" customHeight="1">
      <c r="B109">
        <v>1000</v>
      </c>
      <c r="C109">
        <v>1000</v>
      </c>
      <c r="E109">
        <v>9.0068000000000001</v>
      </c>
      <c r="F109">
        <v>6.5929000000000002</v>
      </c>
      <c r="G109">
        <v>13.420299999999999</v>
      </c>
      <c r="I109">
        <v>9.0068000000000001</v>
      </c>
      <c r="J109">
        <v>6.5929000000000002</v>
      </c>
      <c r="K109">
        <v>13.420299999999999</v>
      </c>
      <c r="M109">
        <v>7.4764999999999997</v>
      </c>
      <c r="N109">
        <v>3.7016</v>
      </c>
      <c r="O109">
        <v>16.670000000000002</v>
      </c>
      <c r="Q109">
        <v>9.7203999999999997</v>
      </c>
      <c r="R109">
        <v>8.8546999999999993</v>
      </c>
      <c r="S109">
        <v>10.8551</v>
      </c>
      <c r="U109">
        <v>7.4764999999999997</v>
      </c>
      <c r="V109">
        <v>3.7016</v>
      </c>
      <c r="W109">
        <v>16.670000000000002</v>
      </c>
      <c r="Y109">
        <v>7.4764999999999997</v>
      </c>
      <c r="Z109">
        <v>3.7016</v>
      </c>
      <c r="AA109">
        <v>16.670000000000002</v>
      </c>
      <c r="AC109">
        <v>9.0068000000000001</v>
      </c>
      <c r="AD109">
        <v>6.5929000000000002</v>
      </c>
      <c r="AE109">
        <v>13.420299999999999</v>
      </c>
    </row>
    <row r="110" spans="1:31" ht="18" customHeight="1">
      <c r="B110">
        <v>1100</v>
      </c>
      <c r="C110">
        <v>900</v>
      </c>
    </row>
    <row r="111" spans="1:31" ht="18" customHeight="1">
      <c r="B111">
        <v>1200</v>
      </c>
      <c r="C111">
        <v>800</v>
      </c>
    </row>
    <row r="112" spans="1:31" ht="18" customHeight="1">
      <c r="B112">
        <v>1300</v>
      </c>
      <c r="C112">
        <v>700</v>
      </c>
    </row>
    <row r="113" spans="1:31" ht="18" customHeight="1">
      <c r="B113">
        <v>1400</v>
      </c>
      <c r="C113">
        <v>600</v>
      </c>
      <c r="E113">
        <v>6.6933999999999996</v>
      </c>
      <c r="F113">
        <v>4.8628999999999998</v>
      </c>
      <c r="G113">
        <v>13.716100000000001</v>
      </c>
      <c r="I113">
        <v>6.6933999999999996</v>
      </c>
      <c r="J113">
        <v>4.8628999999999998</v>
      </c>
      <c r="K113">
        <v>13.716100000000001</v>
      </c>
      <c r="M113">
        <v>5.4973999999999998</v>
      </c>
      <c r="N113">
        <v>3.0017</v>
      </c>
      <c r="O113">
        <v>16.625599999999999</v>
      </c>
      <c r="Q113">
        <v>7.2846000000000002</v>
      </c>
      <c r="R113">
        <v>5.6318000000000001</v>
      </c>
      <c r="S113">
        <v>12.7445</v>
      </c>
      <c r="U113">
        <v>5.4973999999999998</v>
      </c>
      <c r="V113">
        <v>3.0017</v>
      </c>
      <c r="W113">
        <v>16.625599999999999</v>
      </c>
      <c r="Y113">
        <v>5.8761999999999999</v>
      </c>
      <c r="Z113">
        <v>3.4194</v>
      </c>
      <c r="AA113">
        <v>16.590299999999999</v>
      </c>
      <c r="AC113">
        <v>6.6933999999999996</v>
      </c>
      <c r="AD113">
        <v>4.8628999999999998</v>
      </c>
      <c r="AE113">
        <v>13.716100000000001</v>
      </c>
    </row>
    <row r="114" spans="1:31" ht="18" customHeight="1">
      <c r="B114">
        <v>1500</v>
      </c>
      <c r="C114">
        <v>500</v>
      </c>
    </row>
    <row r="115" spans="1:31" ht="18" customHeight="1"/>
    <row r="116" spans="1:31" ht="18" customHeight="1">
      <c r="B116">
        <v>1200</v>
      </c>
      <c r="C116">
        <v>1200</v>
      </c>
      <c r="E116">
        <v>7.5763999999999996</v>
      </c>
      <c r="F116">
        <v>5.5263999999999998</v>
      </c>
      <c r="G116">
        <v>11.012600000000001</v>
      </c>
      <c r="I116">
        <v>7.9618000000000002</v>
      </c>
      <c r="J116">
        <v>5.9669999999999996</v>
      </c>
      <c r="K116">
        <v>10.9793</v>
      </c>
      <c r="M116">
        <v>6.4005000000000001</v>
      </c>
      <c r="N116">
        <v>2.1448999999999998</v>
      </c>
      <c r="O116">
        <v>16.670000000000002</v>
      </c>
      <c r="Q116">
        <v>7.9335000000000004</v>
      </c>
      <c r="R116">
        <v>6.9455</v>
      </c>
      <c r="S116">
        <v>9.2398000000000007</v>
      </c>
      <c r="U116">
        <v>6.4005000000000001</v>
      </c>
      <c r="V116">
        <v>2.1448999999999998</v>
      </c>
      <c r="W116">
        <v>16.670000000000002</v>
      </c>
      <c r="Y116">
        <v>6.4005000000000001</v>
      </c>
      <c r="Z116">
        <v>2.1448999999999998</v>
      </c>
      <c r="AA116">
        <v>16.670000000000002</v>
      </c>
      <c r="AC116">
        <v>7.5763999999999996</v>
      </c>
      <c r="AD116">
        <v>5.5263999999999998</v>
      </c>
      <c r="AE116">
        <v>11.012600000000001</v>
      </c>
    </row>
    <row r="117" spans="1:31" ht="18" customHeight="1"/>
    <row r="118" spans="1:31" ht="18" customHeight="1">
      <c r="B118">
        <v>500</v>
      </c>
      <c r="C118">
        <v>1500</v>
      </c>
    </row>
    <row r="119" spans="1:31" ht="18" customHeight="1">
      <c r="A119" t="s">
        <v>20</v>
      </c>
      <c r="B119">
        <v>600</v>
      </c>
      <c r="C119">
        <v>1400</v>
      </c>
      <c r="E119">
        <v>9.9946999999999999</v>
      </c>
      <c r="F119">
        <v>6.0711000000000004</v>
      </c>
      <c r="G119">
        <v>13.696899999999999</v>
      </c>
      <c r="I119">
        <v>10.4718</v>
      </c>
      <c r="J119">
        <v>7.7342000000000004</v>
      </c>
      <c r="K119">
        <v>12.5555</v>
      </c>
      <c r="M119">
        <v>9.9166000000000007</v>
      </c>
      <c r="N119">
        <v>4.1420000000000003</v>
      </c>
      <c r="O119">
        <v>16.627700000000001</v>
      </c>
      <c r="Q119">
        <v>10.775600000000001</v>
      </c>
      <c r="R119">
        <v>11.238300000000001</v>
      </c>
      <c r="S119">
        <v>10.5413</v>
      </c>
      <c r="U119">
        <v>9.9166000000000007</v>
      </c>
      <c r="V119">
        <v>4.1420000000000003</v>
      </c>
      <c r="W119">
        <v>16.627700000000001</v>
      </c>
      <c r="Y119">
        <v>9.9166000000000007</v>
      </c>
      <c r="Z119">
        <v>4.1420000000000003</v>
      </c>
      <c r="AA119">
        <v>16.627700000000001</v>
      </c>
      <c r="AC119">
        <v>9.7868999999999993</v>
      </c>
      <c r="AD119">
        <v>6.0976999999999997</v>
      </c>
      <c r="AE119">
        <v>13.3926</v>
      </c>
    </row>
    <row r="120" spans="1:31" ht="18" customHeight="1">
      <c r="B120">
        <v>700</v>
      </c>
      <c r="C120">
        <v>1300</v>
      </c>
    </row>
    <row r="121" spans="1:31" ht="18" customHeight="1">
      <c r="B121">
        <v>800</v>
      </c>
      <c r="C121">
        <v>1200</v>
      </c>
    </row>
    <row r="122" spans="1:31" ht="18" customHeight="1">
      <c r="B122">
        <v>900</v>
      </c>
      <c r="C122">
        <v>1100</v>
      </c>
    </row>
    <row r="123" spans="1:31" ht="18" customHeight="1">
      <c r="B123">
        <v>1000</v>
      </c>
      <c r="C123">
        <v>1000</v>
      </c>
      <c r="E123">
        <v>8.1006999999999998</v>
      </c>
      <c r="F123">
        <v>6.0041000000000002</v>
      </c>
      <c r="G123">
        <v>12.5861</v>
      </c>
      <c r="I123">
        <v>8.1006999999999998</v>
      </c>
      <c r="J123">
        <v>6.0041000000000002</v>
      </c>
      <c r="K123">
        <v>12.5861</v>
      </c>
      <c r="M123">
        <v>5.8941999999999997</v>
      </c>
      <c r="N123">
        <v>2.5181</v>
      </c>
      <c r="O123">
        <v>16.670000000000002</v>
      </c>
      <c r="Q123">
        <v>9.0036000000000005</v>
      </c>
      <c r="R123">
        <v>7.9100999999999999</v>
      </c>
      <c r="S123">
        <v>10.561400000000001</v>
      </c>
      <c r="U123">
        <v>5.8941999999999997</v>
      </c>
      <c r="V123">
        <v>2.5181</v>
      </c>
      <c r="W123">
        <v>16.670000000000002</v>
      </c>
      <c r="Y123">
        <v>5.8941999999999997</v>
      </c>
      <c r="Z123">
        <v>2.5181</v>
      </c>
      <c r="AA123">
        <v>16.670000000000002</v>
      </c>
      <c r="AC123">
        <v>8.1006999999999998</v>
      </c>
      <c r="AD123">
        <v>6.0041000000000002</v>
      </c>
      <c r="AE123">
        <v>12.5861</v>
      </c>
    </row>
    <row r="124" spans="1:31" ht="18" customHeight="1">
      <c r="B124">
        <v>1100</v>
      </c>
      <c r="C124">
        <v>900</v>
      </c>
    </row>
    <row r="125" spans="1:31" ht="18" customHeight="1">
      <c r="B125">
        <v>1200</v>
      </c>
      <c r="C125">
        <v>800</v>
      </c>
    </row>
    <row r="126" spans="1:31" ht="18" customHeight="1">
      <c r="B126">
        <v>1300</v>
      </c>
      <c r="C126">
        <v>700</v>
      </c>
    </row>
    <row r="127" spans="1:31" ht="18" customHeight="1">
      <c r="B127">
        <v>1400</v>
      </c>
      <c r="C127">
        <v>600</v>
      </c>
      <c r="E127">
        <v>5.6247999999999996</v>
      </c>
      <c r="F127">
        <v>3.9283999999999999</v>
      </c>
      <c r="G127">
        <v>12.4732</v>
      </c>
      <c r="I127">
        <v>5.6247999999999996</v>
      </c>
      <c r="J127">
        <v>3.9283999999999999</v>
      </c>
      <c r="K127">
        <v>12.4732</v>
      </c>
      <c r="M127">
        <v>3.69</v>
      </c>
      <c r="N127">
        <v>1.1374</v>
      </c>
      <c r="O127">
        <v>16.637499999999999</v>
      </c>
      <c r="Q127">
        <v>5.9629000000000003</v>
      </c>
      <c r="R127">
        <v>4.1174999999999997</v>
      </c>
      <c r="S127">
        <v>12.173999999999999</v>
      </c>
      <c r="U127">
        <v>3.69</v>
      </c>
      <c r="V127">
        <v>1.1374</v>
      </c>
      <c r="W127">
        <v>16.637499999999999</v>
      </c>
      <c r="Y127">
        <v>3.944</v>
      </c>
      <c r="Z127">
        <v>1.3955</v>
      </c>
      <c r="AA127">
        <v>16.644300000000001</v>
      </c>
      <c r="AC127">
        <v>5.6348000000000003</v>
      </c>
      <c r="AD127">
        <v>3.9283999999999999</v>
      </c>
      <c r="AE127">
        <v>12.4732</v>
      </c>
    </row>
    <row r="128" spans="1:31" ht="18" customHeight="1">
      <c r="B128">
        <v>1500</v>
      </c>
      <c r="C128">
        <v>500</v>
      </c>
    </row>
    <row r="129" spans="1:31" ht="18" customHeight="1"/>
    <row r="130" spans="1:31" ht="18" customHeight="1">
      <c r="B130">
        <v>1200</v>
      </c>
      <c r="C130">
        <v>1200</v>
      </c>
      <c r="E130">
        <v>6.5509000000000004</v>
      </c>
      <c r="F130">
        <v>4.7089999999999996</v>
      </c>
      <c r="G130">
        <v>9.6036000000000001</v>
      </c>
      <c r="I130">
        <v>7.0499000000000001</v>
      </c>
      <c r="J130">
        <v>4.8140000000000001</v>
      </c>
      <c r="K130">
        <v>10.4123</v>
      </c>
      <c r="M130">
        <v>4.9273999999999996</v>
      </c>
      <c r="N130">
        <v>0.64939999999999998</v>
      </c>
      <c r="O130">
        <v>16.670000000000002</v>
      </c>
      <c r="Q130">
        <v>7.0065999999999997</v>
      </c>
      <c r="R130">
        <v>5.9217000000000004</v>
      </c>
      <c r="S130">
        <v>8.3922000000000008</v>
      </c>
      <c r="U130">
        <v>4.9273999999999996</v>
      </c>
      <c r="V130">
        <v>0.64939999999999998</v>
      </c>
      <c r="W130">
        <v>16.670000000000002</v>
      </c>
      <c r="Y130">
        <v>4.9273999999999996</v>
      </c>
      <c r="Z130">
        <v>0.64939999999999998</v>
      </c>
      <c r="AA130">
        <v>16.670000000000002</v>
      </c>
      <c r="AC130">
        <v>6.5509000000000004</v>
      </c>
      <c r="AD130">
        <v>4.7089999999999996</v>
      </c>
      <c r="AE130">
        <v>9.6036000000000001</v>
      </c>
    </row>
    <row r="131" spans="1:31" s="2" customFormat="1"/>
    <row r="134" spans="1:31">
      <c r="A134" t="s">
        <v>14</v>
      </c>
      <c r="B134">
        <v>600</v>
      </c>
      <c r="C134">
        <v>1400</v>
      </c>
      <c r="E134">
        <v>12.4604</v>
      </c>
      <c r="F134">
        <v>9.2693999999999992</v>
      </c>
      <c r="G134">
        <v>14.44</v>
      </c>
      <c r="I134">
        <v>12.6572</v>
      </c>
      <c r="J134">
        <v>8.6021999999999998</v>
      </c>
      <c r="K134">
        <v>15.335800000000001</v>
      </c>
      <c r="M134">
        <v>13.6577</v>
      </c>
      <c r="N134">
        <v>9.3551000000000002</v>
      </c>
      <c r="O134">
        <v>16.441400000000002</v>
      </c>
      <c r="Q134">
        <v>11.414300000000001</v>
      </c>
      <c r="R134">
        <v>12.612399999999999</v>
      </c>
      <c r="S134">
        <v>10.9099</v>
      </c>
      <c r="U134">
        <v>12.208</v>
      </c>
      <c r="V134">
        <v>6.6593999999999998</v>
      </c>
      <c r="W134">
        <v>16.6524</v>
      </c>
      <c r="Y134">
        <v>12.58</v>
      </c>
      <c r="Z134">
        <v>12.2559</v>
      </c>
      <c r="AA134">
        <v>12.726800000000001</v>
      </c>
      <c r="AC134">
        <v>12.291499999999999</v>
      </c>
      <c r="AD134">
        <v>9.2690999999999999</v>
      </c>
      <c r="AE134">
        <v>14.1737</v>
      </c>
    </row>
    <row r="135" spans="1:31">
      <c r="A135" t="s">
        <v>52</v>
      </c>
    </row>
    <row r="136" spans="1:31">
      <c r="A136" t="s">
        <v>16</v>
      </c>
      <c r="B136">
        <v>1000</v>
      </c>
      <c r="C136">
        <v>1000</v>
      </c>
      <c r="E136">
        <v>10.2271</v>
      </c>
      <c r="F136">
        <v>7.3567</v>
      </c>
      <c r="G136">
        <v>14.561500000000001</v>
      </c>
      <c r="I136">
        <v>10.0222</v>
      </c>
      <c r="J136">
        <v>7.4675000000000002</v>
      </c>
      <c r="K136">
        <v>13.3375</v>
      </c>
      <c r="M136">
        <v>11.215400000000001</v>
      </c>
      <c r="N136">
        <v>8.0319000000000003</v>
      </c>
      <c r="O136">
        <v>16.1584</v>
      </c>
      <c r="Q136">
        <v>10.1922</v>
      </c>
      <c r="R136">
        <v>9.7957000000000001</v>
      </c>
      <c r="S136">
        <v>10.5893</v>
      </c>
      <c r="U136">
        <v>9.7499000000000002</v>
      </c>
      <c r="V136">
        <v>5.9362000000000004</v>
      </c>
      <c r="W136">
        <v>16.670000000000002</v>
      </c>
      <c r="Y136">
        <v>10.393599999999999</v>
      </c>
      <c r="Z136">
        <v>7.1764000000000001</v>
      </c>
      <c r="AA136">
        <v>15.2996</v>
      </c>
      <c r="AC136">
        <v>9.8306000000000004</v>
      </c>
      <c r="AD136">
        <v>6.6001000000000003</v>
      </c>
      <c r="AE136">
        <v>14.9255</v>
      </c>
    </row>
    <row r="137" spans="1:31">
      <c r="A137" t="s">
        <v>17</v>
      </c>
    </row>
    <row r="138" spans="1:31">
      <c r="B138">
        <v>1400</v>
      </c>
      <c r="C138">
        <v>600</v>
      </c>
      <c r="E138">
        <v>9.8615999999999993</v>
      </c>
      <c r="F138">
        <v>9.7636000000000003</v>
      </c>
      <c r="G138">
        <v>10.103899999999999</v>
      </c>
      <c r="I138">
        <v>9.8547999999999991</v>
      </c>
      <c r="J138">
        <v>9.4695</v>
      </c>
      <c r="K138">
        <v>10.752700000000001</v>
      </c>
      <c r="M138">
        <v>12.3415</v>
      </c>
      <c r="N138">
        <v>11.0259</v>
      </c>
      <c r="O138">
        <v>16.100300000000001</v>
      </c>
      <c r="Q138">
        <v>10.961499999999999</v>
      </c>
      <c r="R138">
        <v>11.042</v>
      </c>
      <c r="S138">
        <v>10.7943</v>
      </c>
      <c r="U138">
        <v>11.0603</v>
      </c>
      <c r="V138">
        <v>9.3895999999999997</v>
      </c>
      <c r="W138">
        <v>16.659500000000001</v>
      </c>
      <c r="Y138">
        <v>12.5428</v>
      </c>
      <c r="Z138">
        <v>11.347899999999999</v>
      </c>
      <c r="AA138">
        <v>16.116900000000001</v>
      </c>
      <c r="AC138">
        <v>9.8615999999999993</v>
      </c>
      <c r="AD138">
        <v>9.7636000000000003</v>
      </c>
      <c r="AE138">
        <v>10.103899999999999</v>
      </c>
    </row>
    <row r="140" spans="1:31">
      <c r="B140">
        <v>1200</v>
      </c>
      <c r="C140">
        <v>1200</v>
      </c>
      <c r="E140">
        <v>10.0648</v>
      </c>
      <c r="F140">
        <v>8.35</v>
      </c>
      <c r="G140">
        <v>12.1897</v>
      </c>
      <c r="I140">
        <v>10.071400000000001</v>
      </c>
      <c r="J140">
        <v>8.1928999999999998</v>
      </c>
      <c r="K140">
        <v>12.367699999999999</v>
      </c>
      <c r="M140">
        <v>10.2781</v>
      </c>
      <c r="N140">
        <v>6.5407999999999999</v>
      </c>
      <c r="O140">
        <v>16.362400000000001</v>
      </c>
      <c r="Q140">
        <v>6.6943999999999999</v>
      </c>
      <c r="R140">
        <v>6.4450000000000003</v>
      </c>
      <c r="S140">
        <v>6.9279000000000002</v>
      </c>
      <c r="U140">
        <v>8.7650000000000006</v>
      </c>
      <c r="V140">
        <v>4.5488999999999997</v>
      </c>
      <c r="W140">
        <v>16.670000000000002</v>
      </c>
      <c r="Y140">
        <v>10.2186</v>
      </c>
      <c r="Z140">
        <v>6.4574999999999996</v>
      </c>
      <c r="AA140">
        <v>16.459199999999999</v>
      </c>
      <c r="AC140">
        <v>9.7782999999999998</v>
      </c>
      <c r="AD140">
        <v>7.3052999999999999</v>
      </c>
      <c r="AE140">
        <v>13.297000000000001</v>
      </c>
    </row>
    <row r="143" spans="1:31">
      <c r="A143" t="s">
        <v>18</v>
      </c>
      <c r="B143">
        <v>600</v>
      </c>
      <c r="C143">
        <v>1400</v>
      </c>
      <c r="E143">
        <v>11.808</v>
      </c>
      <c r="F143">
        <v>8.4903999999999993</v>
      </c>
      <c r="G143">
        <v>14.0649</v>
      </c>
      <c r="I143">
        <v>12.055300000000001</v>
      </c>
      <c r="J143">
        <v>7.7605000000000004</v>
      </c>
      <c r="K143">
        <v>15.204000000000001</v>
      </c>
      <c r="M143">
        <v>13.1539</v>
      </c>
      <c r="N143">
        <v>8.6263000000000005</v>
      </c>
      <c r="O143">
        <v>16.409600000000001</v>
      </c>
      <c r="Q143">
        <v>10.5716</v>
      </c>
      <c r="R143">
        <v>12.260199999999999</v>
      </c>
      <c r="S143">
        <v>9.8536999999999999</v>
      </c>
      <c r="U143">
        <v>11.4156</v>
      </c>
      <c r="V143">
        <v>5.7320000000000002</v>
      </c>
      <c r="W143">
        <v>16.647099999999998</v>
      </c>
      <c r="Y143">
        <v>11.8531</v>
      </c>
      <c r="Z143">
        <v>11.86</v>
      </c>
      <c r="AA143">
        <v>11.8498</v>
      </c>
      <c r="AC143">
        <v>11.5984</v>
      </c>
      <c r="AD143">
        <v>8.4901999999999997</v>
      </c>
      <c r="AE143">
        <v>13.7233</v>
      </c>
    </row>
    <row r="145" spans="1:31">
      <c r="B145">
        <v>1000</v>
      </c>
      <c r="C145">
        <v>1000</v>
      </c>
      <c r="E145">
        <v>9.4594000000000005</v>
      </c>
      <c r="F145">
        <v>6.6898</v>
      </c>
      <c r="G145">
        <v>14.3523</v>
      </c>
      <c r="I145">
        <v>9.2231000000000005</v>
      </c>
      <c r="J145">
        <v>6.7682000000000002</v>
      </c>
      <c r="K145">
        <v>12.8325</v>
      </c>
      <c r="M145">
        <v>10.412699999999999</v>
      </c>
      <c r="N145">
        <v>7.4137000000000004</v>
      </c>
      <c r="O145">
        <v>15.9876</v>
      </c>
      <c r="Q145">
        <v>9.4345999999999997</v>
      </c>
      <c r="R145">
        <v>9.2718000000000007</v>
      </c>
      <c r="S145">
        <v>9.6107999999999993</v>
      </c>
      <c r="U145">
        <v>8.7484999999999999</v>
      </c>
      <c r="V145">
        <v>5.1885000000000003</v>
      </c>
      <c r="W145">
        <v>16.670000000000002</v>
      </c>
      <c r="Y145">
        <v>9.5246999999999993</v>
      </c>
      <c r="Z145">
        <v>6.4551999999999996</v>
      </c>
      <c r="AA145">
        <v>15.052899999999999</v>
      </c>
      <c r="AC145">
        <v>9.0022000000000002</v>
      </c>
      <c r="AD145">
        <v>5.8738000000000001</v>
      </c>
      <c r="AE145">
        <v>14.820600000000001</v>
      </c>
    </row>
    <row r="147" spans="1:31">
      <c r="B147">
        <v>1400</v>
      </c>
      <c r="C147">
        <v>600</v>
      </c>
      <c r="E147">
        <v>9.0608000000000004</v>
      </c>
      <c r="F147">
        <v>8.6468000000000007</v>
      </c>
      <c r="G147">
        <v>10.0063</v>
      </c>
      <c r="I147">
        <v>9.0694999999999997</v>
      </c>
      <c r="J147">
        <v>8.2866999999999997</v>
      </c>
      <c r="K147">
        <v>10.7403</v>
      </c>
      <c r="M147">
        <v>11.714399999999999</v>
      </c>
      <c r="N147">
        <v>10.0823</v>
      </c>
      <c r="O147">
        <v>16.058399999999999</v>
      </c>
      <c r="Q147">
        <v>10.2658</v>
      </c>
      <c r="R147">
        <v>9.9192999999999998</v>
      </c>
      <c r="S147">
        <v>10.907400000000001</v>
      </c>
      <c r="U147">
        <v>10.377700000000001</v>
      </c>
      <c r="V147">
        <v>8.4387000000000008</v>
      </c>
      <c r="W147">
        <v>16.657599999999999</v>
      </c>
      <c r="Y147">
        <v>12.0504</v>
      </c>
      <c r="Z147">
        <v>10.5395</v>
      </c>
      <c r="AA147">
        <v>16.317699999999999</v>
      </c>
      <c r="AC147">
        <v>9.0608000000000004</v>
      </c>
      <c r="AD147">
        <v>8.6468000000000007</v>
      </c>
      <c r="AE147">
        <v>10.0063</v>
      </c>
    </row>
    <row r="149" spans="1:31">
      <c r="B149">
        <v>1200</v>
      </c>
      <c r="C149">
        <v>1200</v>
      </c>
      <c r="E149">
        <v>9.0844000000000005</v>
      </c>
      <c r="F149">
        <v>7.3403999999999998</v>
      </c>
      <c r="G149">
        <v>11.3849</v>
      </c>
      <c r="I149">
        <v>9.0955999999999992</v>
      </c>
      <c r="J149">
        <v>7.1532999999999998</v>
      </c>
      <c r="K149">
        <v>11.6157</v>
      </c>
      <c r="M149">
        <v>9.2096</v>
      </c>
      <c r="N149">
        <v>5.3949999999999996</v>
      </c>
      <c r="O149">
        <v>16.281600000000001</v>
      </c>
      <c r="Q149">
        <v>5.39</v>
      </c>
      <c r="R149">
        <v>5.1765999999999996</v>
      </c>
      <c r="S149">
        <v>5.5907</v>
      </c>
      <c r="U149">
        <v>7.4882999999999997</v>
      </c>
      <c r="V149">
        <v>3.2883</v>
      </c>
      <c r="W149">
        <v>16.670000000000002</v>
      </c>
      <c r="Y149">
        <v>9.1437000000000008</v>
      </c>
      <c r="Z149">
        <v>5.3164999999999996</v>
      </c>
      <c r="AA149">
        <v>16.4038</v>
      </c>
      <c r="AC149">
        <v>8.6677999999999997</v>
      </c>
      <c r="AD149">
        <v>6.2622</v>
      </c>
      <c r="AE149">
        <v>12.420400000000001</v>
      </c>
    </row>
    <row r="152" spans="1:31">
      <c r="A152" t="s">
        <v>20</v>
      </c>
      <c r="B152">
        <v>600</v>
      </c>
      <c r="C152">
        <v>1400</v>
      </c>
      <c r="E152">
        <v>10.9008</v>
      </c>
      <c r="F152">
        <v>8.7352000000000007</v>
      </c>
      <c r="G152">
        <v>12.4832</v>
      </c>
      <c r="I152">
        <v>11.438700000000001</v>
      </c>
      <c r="J152">
        <v>7.4969999999999999</v>
      </c>
      <c r="K152">
        <v>14.7684</v>
      </c>
      <c r="M152">
        <v>12.667400000000001</v>
      </c>
      <c r="N152">
        <v>8.0096000000000007</v>
      </c>
      <c r="O152">
        <v>16.461099999999998</v>
      </c>
      <c r="Q152">
        <v>9.8132000000000001</v>
      </c>
      <c r="R152">
        <v>11.834199999999999</v>
      </c>
      <c r="S152">
        <v>8.8691999999999993</v>
      </c>
      <c r="U152">
        <v>10.8355</v>
      </c>
      <c r="V152">
        <v>5.3598999999999997</v>
      </c>
      <c r="W152">
        <v>16.628499999999999</v>
      </c>
      <c r="Y152">
        <v>12.186500000000001</v>
      </c>
      <c r="Z152">
        <v>11.028700000000001</v>
      </c>
      <c r="AA152">
        <v>12.8019</v>
      </c>
      <c r="AC152">
        <v>10.531000000000001</v>
      </c>
      <c r="AD152">
        <v>8.7347999999999999</v>
      </c>
      <c r="AE152">
        <v>11.8551</v>
      </c>
    </row>
    <row r="154" spans="1:31">
      <c r="B154">
        <v>1000</v>
      </c>
      <c r="C154">
        <v>1000</v>
      </c>
      <c r="E154">
        <v>8.8070000000000004</v>
      </c>
      <c r="F154">
        <v>6.1509999999999998</v>
      </c>
      <c r="G154">
        <v>15.319900000000001</v>
      </c>
      <c r="I154">
        <v>8.3924000000000003</v>
      </c>
      <c r="J154">
        <v>5.2137000000000002</v>
      </c>
      <c r="K154">
        <v>14.7074</v>
      </c>
      <c r="M154">
        <v>9.4430999999999994</v>
      </c>
      <c r="N154">
        <v>6.2797999999999998</v>
      </c>
      <c r="O154">
        <v>16.2194</v>
      </c>
      <c r="Q154">
        <v>8.9194999999999993</v>
      </c>
      <c r="R154">
        <v>7.6519000000000004</v>
      </c>
      <c r="S154">
        <v>10.6288</v>
      </c>
      <c r="U154">
        <v>7.3707000000000003</v>
      </c>
      <c r="V154">
        <v>3.0642</v>
      </c>
      <c r="W154">
        <v>16.670000000000002</v>
      </c>
      <c r="Y154">
        <v>8.3811</v>
      </c>
      <c r="Z154">
        <v>5.1801000000000004</v>
      </c>
      <c r="AA154">
        <v>16.533100000000001</v>
      </c>
      <c r="AC154">
        <v>8.0068000000000001</v>
      </c>
      <c r="AD154">
        <v>4.883</v>
      </c>
      <c r="AE154">
        <v>16.447800000000001</v>
      </c>
    </row>
    <row r="156" spans="1:31">
      <c r="B156">
        <v>1400</v>
      </c>
      <c r="C156">
        <v>600</v>
      </c>
      <c r="E156">
        <v>7.1242999999999999</v>
      </c>
      <c r="F156">
        <v>6.9645000000000001</v>
      </c>
      <c r="G156">
        <v>7.5468999999999999</v>
      </c>
      <c r="I156">
        <v>7.6275000000000004</v>
      </c>
      <c r="J156">
        <v>6.2683</v>
      </c>
      <c r="K156">
        <v>10.8988</v>
      </c>
      <c r="M156">
        <v>10.053900000000001</v>
      </c>
      <c r="N156">
        <v>7.9570999999999996</v>
      </c>
      <c r="O156">
        <v>15.9765</v>
      </c>
      <c r="Q156">
        <v>8.6365999999999996</v>
      </c>
      <c r="R156">
        <v>7.6441999999999997</v>
      </c>
      <c r="S156">
        <v>10.7125</v>
      </c>
      <c r="U156">
        <v>8.5324000000000009</v>
      </c>
      <c r="V156">
        <v>6.3083999999999998</v>
      </c>
      <c r="W156">
        <v>16.646699999999999</v>
      </c>
      <c r="Y156">
        <v>11.0992</v>
      </c>
      <c r="Z156">
        <v>9.3978999999999999</v>
      </c>
      <c r="AA156">
        <v>16.433900000000001</v>
      </c>
      <c r="AC156">
        <v>7.1242999999999999</v>
      </c>
      <c r="AD156">
        <v>6.9645000000000001</v>
      </c>
      <c r="AE156">
        <v>7.5468999999999999</v>
      </c>
    </row>
    <row r="158" spans="1:31">
      <c r="B158">
        <v>1200</v>
      </c>
      <c r="C158">
        <v>1200</v>
      </c>
      <c r="E158">
        <v>7.9835000000000003</v>
      </c>
      <c r="F158">
        <v>5.5759999999999996</v>
      </c>
      <c r="G158">
        <v>11.6968</v>
      </c>
      <c r="I158">
        <v>8.0092999999999996</v>
      </c>
      <c r="J158">
        <v>5.2643000000000004</v>
      </c>
      <c r="K158">
        <v>12.117900000000001</v>
      </c>
      <c r="M158">
        <v>7.3711000000000002</v>
      </c>
      <c r="N158">
        <v>2.9624000000000001</v>
      </c>
      <c r="O158">
        <v>16.669699999999999</v>
      </c>
      <c r="Q158">
        <v>3.8365</v>
      </c>
      <c r="R158">
        <v>2.7</v>
      </c>
      <c r="S158">
        <v>4.8875000000000002</v>
      </c>
      <c r="U158">
        <v>5.6977000000000002</v>
      </c>
      <c r="V158">
        <v>1.4096</v>
      </c>
      <c r="W158">
        <v>16.670000000000002</v>
      </c>
      <c r="Y158">
        <v>7.4438000000000004</v>
      </c>
      <c r="Z158">
        <v>3.1945000000000001</v>
      </c>
      <c r="AA158">
        <v>16.607600000000001</v>
      </c>
      <c r="AC158">
        <v>7.1830999999999996</v>
      </c>
      <c r="AD158">
        <v>4.6376999999999997</v>
      </c>
      <c r="AE158">
        <v>11.240600000000001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C100-B344-9C44-911A-44D635319BF5}">
  <dimension ref="A2:AV158"/>
  <sheetViews>
    <sheetView zoomScale="7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B134" sqref="AB134"/>
    </sheetView>
  </sheetViews>
  <sheetFormatPr baseColWidth="10" defaultRowHeight="20"/>
  <cols>
    <col min="4" max="4" width="3" customWidth="1"/>
    <col min="5" max="7" width="9.85546875" customWidth="1"/>
    <col min="8" max="8" width="3.140625" customWidth="1"/>
    <col min="9" max="11" width="10" customWidth="1"/>
    <col min="12" max="12" width="3.140625" customWidth="1"/>
    <col min="13" max="15" width="9.85546875" customWidth="1"/>
    <col min="16" max="16" width="3.140625" customWidth="1"/>
    <col min="17" max="19" width="10" customWidth="1"/>
    <col min="20" max="20" width="3.140625" customWidth="1"/>
    <col min="21" max="23" width="9.85546875" customWidth="1"/>
    <col min="24" max="24" width="3.5703125" customWidth="1"/>
    <col min="25" max="27" width="10" customWidth="1"/>
  </cols>
  <sheetData>
    <row r="2" spans="1:39">
      <c r="B2" t="s">
        <v>0</v>
      </c>
      <c r="C2" t="s">
        <v>1</v>
      </c>
      <c r="E2" t="s">
        <v>3</v>
      </c>
      <c r="F2" t="s">
        <v>4</v>
      </c>
      <c r="I2" t="s">
        <v>3</v>
      </c>
      <c r="J2" t="s">
        <v>8</v>
      </c>
      <c r="M2" t="s">
        <v>9</v>
      </c>
      <c r="Q2" t="s">
        <v>11</v>
      </c>
      <c r="U2" t="s">
        <v>12</v>
      </c>
      <c r="Y2" t="s">
        <v>13</v>
      </c>
    </row>
    <row r="3" spans="1:39">
      <c r="B3" t="s">
        <v>2</v>
      </c>
      <c r="C3" t="s">
        <v>2</v>
      </c>
      <c r="E3" s="1" t="s">
        <v>5</v>
      </c>
      <c r="F3" s="1" t="s">
        <v>6</v>
      </c>
      <c r="G3" s="1" t="s">
        <v>7</v>
      </c>
      <c r="I3" s="1" t="s">
        <v>5</v>
      </c>
      <c r="J3" s="1" t="s">
        <v>6</v>
      </c>
      <c r="K3" s="1" t="s">
        <v>7</v>
      </c>
      <c r="M3" s="1" t="s">
        <v>10</v>
      </c>
      <c r="N3" s="1" t="s">
        <v>6</v>
      </c>
      <c r="O3" s="1" t="s">
        <v>7</v>
      </c>
      <c r="Q3" s="1" t="s">
        <v>10</v>
      </c>
      <c r="R3" s="1" t="s">
        <v>6</v>
      </c>
      <c r="S3" s="1" t="s">
        <v>7</v>
      </c>
      <c r="U3" s="1" t="s">
        <v>10</v>
      </c>
      <c r="V3" s="1" t="s">
        <v>6</v>
      </c>
      <c r="W3" s="1" t="s">
        <v>7</v>
      </c>
      <c r="Y3" s="1" t="s">
        <v>10</v>
      </c>
      <c r="Z3" s="1" t="s">
        <v>6</v>
      </c>
      <c r="AA3" s="1" t="s">
        <v>7</v>
      </c>
      <c r="AG3" t="s">
        <v>23</v>
      </c>
      <c r="AH3" t="s">
        <v>24</v>
      </c>
      <c r="AI3" t="s">
        <v>25</v>
      </c>
      <c r="AJ3" t="s">
        <v>26</v>
      </c>
      <c r="AK3" t="s">
        <v>27</v>
      </c>
      <c r="AL3" t="s">
        <v>28</v>
      </c>
      <c r="AM3" t="s">
        <v>29</v>
      </c>
    </row>
    <row r="4" spans="1:39" ht="18" customHeight="1"/>
    <row r="5" spans="1:39" ht="18" customHeight="1">
      <c r="A5" t="s">
        <v>14</v>
      </c>
      <c r="B5">
        <v>500</v>
      </c>
      <c r="C5">
        <v>1500</v>
      </c>
    </row>
    <row r="6" spans="1:39" ht="18" customHeight="1">
      <c r="A6" t="s">
        <v>15</v>
      </c>
      <c r="B6">
        <v>600</v>
      </c>
      <c r="C6">
        <v>1400</v>
      </c>
      <c r="E6">
        <f>ROUND(AVERAGE(seed1!E6,seed2!E6,seed3!E6,seed4!E6,seed5!E6,seed6!E6),4)</f>
        <v>13.870200000000001</v>
      </c>
      <c r="F6">
        <f>ROUND(AVERAGE(seed1!F6,seed2!F6,seed3!F6,seed4!F6,seed5!F6,seed6!F6),4)</f>
        <v>10.632400000000001</v>
      </c>
      <c r="G6">
        <f>ROUND(AVERAGE(seed1!G6,seed2!G6,seed3!G6,seed4!G6,seed5!G6,seed6!G6),4)</f>
        <v>15.725099999999999</v>
      </c>
      <c r="I6">
        <f>ROUND(AVERAGE(seed1!I6,seed2!I6,seed3!I6,seed4!I6,seed5!I6,seed6!I6),4)</f>
        <v>13.912599999999999</v>
      </c>
      <c r="J6">
        <f>ROUND(AVERAGE(seed1!J6,seed2!J6,seed3!J6,seed4!J6,seed5!J6,seed6!J6),4)</f>
        <v>11.1244</v>
      </c>
      <c r="K6">
        <f>ROUND(AVERAGE(seed1!K6,seed2!K6,seed3!K6,seed4!K6,seed5!K6,seed6!K6),4)</f>
        <v>15.477</v>
      </c>
      <c r="M6">
        <f>ROUND(AVERAGE(seed1!M6,seed2!M6,seed3!M6,seed4!M6,seed5!M6,seed6!M6),4)</f>
        <v>13.4267</v>
      </c>
      <c r="N6">
        <f>ROUND(AVERAGE(seed1!N6,seed2!N6,seed3!N6,seed4!N6,seed5!N6,seed6!N6),4)</f>
        <v>8.8899000000000008</v>
      </c>
      <c r="O6">
        <f>ROUND(AVERAGE(seed1!O6,seed2!O6,seed3!O6,seed4!O6,seed5!O6,seed6!O6),4)</f>
        <v>16.503399999999999</v>
      </c>
      <c r="Q6">
        <f>ROUND(AVERAGE(seed1!Q6,seed2!Q6,seed3!Q6,seed4!Q6,seed5!Q6,seed6!Q6),4)</f>
        <v>12.8142</v>
      </c>
      <c r="R6">
        <f>ROUND(AVERAGE(seed1!R6,seed2!R6,seed3!R6,seed4!R6,seed5!R6,seed6!R6),4)</f>
        <v>12.667</v>
      </c>
      <c r="S6">
        <f>ROUND(AVERAGE(seed1!S6,seed2!S6,seed3!S6,seed4!S6,seed5!S6,seed6!S6),4)</f>
        <v>13.082000000000001</v>
      </c>
      <c r="U6">
        <f>ROUND(AVERAGE(seed1!U6,seed2!U6,seed3!U6,seed4!U6,seed5!U6,seed6!U6),4)</f>
        <v>12.7536</v>
      </c>
      <c r="V6">
        <f>ROUND(AVERAGE(seed1!V6,seed2!V6,seed3!V6,seed4!V6,seed5!V6,seed6!V6),4)</f>
        <v>7.5500999999999996</v>
      </c>
      <c r="W6">
        <f>ROUND(AVERAGE(seed1!W6,seed2!W6,seed3!W6,seed4!W6,seed5!W6,seed6!W6),4)</f>
        <v>16.670000000000002</v>
      </c>
      <c r="Y6">
        <f>ROUND(AVERAGE(seed1!Y6,seed2!Y6,seed3!Y6,seed4!Y6,seed5!Y6,seed6!Y6),4)</f>
        <v>14.3018</v>
      </c>
      <c r="Z6">
        <f>ROUND(AVERAGE(seed1!Z6,seed2!Z6,seed3!Z6,seed4!Z6,seed5!Z6,seed6!Z6),4)</f>
        <v>11.978999999999999</v>
      </c>
      <c r="AA6">
        <f>ROUND(AVERAGE(seed1!AA6,seed2!AA6,seed3!AA6,seed4!AA6,seed5!AA6,seed6!AA6),4)</f>
        <v>15.742800000000001</v>
      </c>
      <c r="AG6">
        <f>E6</f>
        <v>13.870200000000001</v>
      </c>
      <c r="AH6">
        <f>I6</f>
        <v>13.912599999999999</v>
      </c>
      <c r="AI6">
        <f>AC6</f>
        <v>0</v>
      </c>
      <c r="AJ6">
        <f>M6</f>
        <v>13.4267</v>
      </c>
      <c r="AK6">
        <f>Q6</f>
        <v>12.8142</v>
      </c>
      <c r="AL6">
        <f>U6</f>
        <v>12.7536</v>
      </c>
      <c r="AM6">
        <f>Y6</f>
        <v>14.3018</v>
      </c>
    </row>
    <row r="7" spans="1:39" ht="18" customHeight="1">
      <c r="A7" t="s">
        <v>16</v>
      </c>
      <c r="B7">
        <v>700</v>
      </c>
      <c r="C7">
        <v>1300</v>
      </c>
      <c r="AG7">
        <f t="shared" ref="AG7:AG70" si="0">E7</f>
        <v>0</v>
      </c>
      <c r="AH7">
        <f t="shared" ref="AH7:AH70" si="1">I7</f>
        <v>0</v>
      </c>
      <c r="AI7">
        <f t="shared" ref="AI7:AI70" si="2">AC7</f>
        <v>0</v>
      </c>
      <c r="AJ7">
        <f t="shared" ref="AJ7:AJ70" si="3">M7</f>
        <v>0</v>
      </c>
      <c r="AK7">
        <f t="shared" ref="AK7:AK70" si="4">Q7</f>
        <v>0</v>
      </c>
      <c r="AL7">
        <f t="shared" ref="AL7:AL70" si="5">U7</f>
        <v>0</v>
      </c>
      <c r="AM7">
        <f t="shared" ref="AM7:AM70" si="6">Y7</f>
        <v>0</v>
      </c>
    </row>
    <row r="8" spans="1:39" ht="18" customHeight="1">
      <c r="A8" t="s">
        <v>17</v>
      </c>
      <c r="B8">
        <v>800</v>
      </c>
      <c r="C8">
        <v>1200</v>
      </c>
      <c r="E8">
        <f>ROUND(AVERAGE(seed1!E8,seed2!E8,seed3!E8,seed4!E8,seed5!E8,seed6!E8),4)</f>
        <v>13.0586</v>
      </c>
      <c r="F8">
        <f>ROUND(AVERAGE(seed1!F8,seed2!F8,seed3!F8,seed4!F8,seed5!F8,seed6!F8),4)</f>
        <v>11.2233</v>
      </c>
      <c r="G8">
        <f>ROUND(AVERAGE(seed1!G8,seed2!G8,seed3!G8,seed4!G8,seed5!G8,seed6!G8),4)</f>
        <v>14.671900000000001</v>
      </c>
      <c r="I8">
        <f>ROUND(AVERAGE(seed1!I8,seed2!I8,seed3!I8,seed4!I8,seed5!I8,seed6!I8),4)</f>
        <v>13.4542</v>
      </c>
      <c r="J8">
        <f>ROUND(AVERAGE(seed1!J8,seed2!J8,seed3!J8,seed4!J8,seed5!J8,seed6!J8),4)</f>
        <v>11.7584</v>
      </c>
      <c r="K8">
        <f>ROUND(AVERAGE(seed1!K8,seed2!K8,seed3!K8,seed4!K8,seed5!K8,seed6!K8),4)</f>
        <v>14.892099999999999</v>
      </c>
      <c r="M8">
        <f>ROUND(AVERAGE(seed1!M8,seed2!M8,seed3!M8,seed4!M8,seed5!M8,seed6!M8),4)</f>
        <v>13.5748</v>
      </c>
      <c r="N8">
        <f>ROUND(AVERAGE(seed1!N8,seed2!N8,seed3!N8,seed4!N8,seed5!N8,seed6!N8),4)</f>
        <v>10.641400000000001</v>
      </c>
      <c r="O8">
        <f>ROUND(AVERAGE(seed1!O8,seed2!O8,seed3!O8,seed4!O8,seed5!O8,seed6!O8),4)</f>
        <v>16.442799999999998</v>
      </c>
      <c r="Q8">
        <f>ROUND(AVERAGE(seed1!Q8,seed2!Q8,seed3!Q8,seed4!Q8,seed5!Q8,seed6!Q8),4)</f>
        <v>12.1052</v>
      </c>
      <c r="R8">
        <f>ROUND(AVERAGE(seed1!R8,seed2!R8,seed3!R8,seed4!R8,seed5!R8,seed6!R8),4)</f>
        <v>12.891</v>
      </c>
      <c r="S8">
        <f>ROUND(AVERAGE(seed1!S8,seed2!S8,seed3!S8,seed4!S8,seed5!S8,seed6!S8),4)</f>
        <v>11.652200000000001</v>
      </c>
      <c r="U8">
        <f>ROUND(AVERAGE(seed1!U8,seed2!U8,seed3!U8,seed4!U8,seed5!U8,seed6!U8),4)</f>
        <v>12.5242</v>
      </c>
      <c r="V8">
        <f>ROUND(AVERAGE(seed1!V8,seed2!V8,seed3!V8,seed4!V8,seed5!V8,seed6!V8),4)</f>
        <v>8.6394000000000002</v>
      </c>
      <c r="W8">
        <f>ROUND(AVERAGE(seed1!W8,seed2!W8,seed3!W8,seed4!W8,seed5!W8,seed6!W8),4)</f>
        <v>16.670000000000002</v>
      </c>
      <c r="Y8">
        <f>ROUND(AVERAGE(seed1!Y8,seed2!Y8,seed3!Y8,seed4!Y8,seed5!Y8,seed6!Y8),4)</f>
        <v>14.177899999999999</v>
      </c>
      <c r="Z8">
        <f>ROUND(AVERAGE(seed1!Z8,seed2!Z8,seed3!Z8,seed4!Z8,seed5!Z8,seed6!Z8),4)</f>
        <v>12.1532</v>
      </c>
      <c r="AA8">
        <f>ROUND(AVERAGE(seed1!AA8,seed2!AA8,seed3!AA8,seed4!AA8,seed5!AA8,seed6!AA8),4)</f>
        <v>16.034800000000001</v>
      </c>
      <c r="AG8">
        <f t="shared" si="0"/>
        <v>13.0586</v>
      </c>
      <c r="AH8">
        <f t="shared" si="1"/>
        <v>13.4542</v>
      </c>
      <c r="AI8">
        <f t="shared" si="2"/>
        <v>0</v>
      </c>
      <c r="AJ8">
        <f t="shared" si="3"/>
        <v>13.5748</v>
      </c>
      <c r="AK8">
        <f t="shared" si="4"/>
        <v>12.1052</v>
      </c>
      <c r="AL8">
        <f t="shared" si="5"/>
        <v>12.5242</v>
      </c>
      <c r="AM8">
        <f t="shared" si="6"/>
        <v>14.177899999999999</v>
      </c>
    </row>
    <row r="9" spans="1:39" ht="18" customHeight="1">
      <c r="B9">
        <v>900</v>
      </c>
      <c r="C9">
        <v>1100</v>
      </c>
      <c r="AG9">
        <f t="shared" si="0"/>
        <v>0</v>
      </c>
      <c r="AH9">
        <f t="shared" si="1"/>
        <v>0</v>
      </c>
      <c r="AI9">
        <f t="shared" si="2"/>
        <v>0</v>
      </c>
      <c r="AJ9">
        <f t="shared" si="3"/>
        <v>0</v>
      </c>
      <c r="AK9">
        <f t="shared" si="4"/>
        <v>0</v>
      </c>
      <c r="AL9">
        <f t="shared" si="5"/>
        <v>0</v>
      </c>
      <c r="AM9">
        <f t="shared" si="6"/>
        <v>0</v>
      </c>
    </row>
    <row r="10" spans="1:39" ht="18" customHeight="1">
      <c r="B10">
        <v>1000</v>
      </c>
      <c r="C10">
        <v>1000</v>
      </c>
      <c r="E10">
        <f>ROUND(AVERAGE(seed1!E10,seed2!E10,seed3!E10,seed4!E10,seed5!E10,seed6!E10),4)</f>
        <v>12.780099999999999</v>
      </c>
      <c r="F10">
        <f>ROUND(AVERAGE(seed1!F10,seed2!F10,seed3!F10,seed4!F10,seed5!F10,seed6!F10),4)</f>
        <v>11.3682</v>
      </c>
      <c r="G10">
        <f>ROUND(AVERAGE(seed1!G10,seed2!G10,seed3!G10,seed4!G10,seed5!G10,seed6!G10),4)</f>
        <v>14.556699999999999</v>
      </c>
      <c r="I10">
        <f>ROUND(AVERAGE(seed1!I10,seed2!I10,seed3!I10,seed4!I10,seed5!I10,seed6!I10),4)</f>
        <v>12.3514</v>
      </c>
      <c r="J10">
        <f>ROUND(AVERAGE(seed1!J10,seed2!J10,seed3!J10,seed4!J10,seed5!J10,seed6!J10),4)</f>
        <v>11.1153</v>
      </c>
      <c r="K10">
        <f>ROUND(AVERAGE(seed1!K10,seed2!K10,seed3!K10,seed4!K10,seed5!K10,seed6!K10),4)</f>
        <v>13.8864</v>
      </c>
      <c r="M10">
        <f>ROUND(AVERAGE(seed1!M10,seed2!M10,seed3!M10,seed4!M10,seed5!M10,seed6!M10),4)</f>
        <v>13.0327</v>
      </c>
      <c r="N10">
        <f>ROUND(AVERAGE(seed1!N10,seed2!N10,seed3!N10,seed4!N10,seed5!N10,seed6!N10),4)</f>
        <v>10.9726</v>
      </c>
      <c r="O10">
        <f>ROUND(AVERAGE(seed1!O10,seed2!O10,seed3!O10,seed4!O10,seed5!O10,seed6!O10),4)</f>
        <v>15.8287</v>
      </c>
      <c r="Q10">
        <f>ROUND(AVERAGE(seed1!Q10,seed2!Q10,seed3!Q10,seed4!Q10,seed5!Q10,seed6!Q10),4)</f>
        <v>11.0121</v>
      </c>
      <c r="R10">
        <f>ROUND(AVERAGE(seed1!R10,seed2!R10,seed3!R10,seed4!R10,seed5!R10,seed6!R10),4)</f>
        <v>10.891</v>
      </c>
      <c r="S10">
        <f>ROUND(AVERAGE(seed1!S10,seed2!S10,seed3!S10,seed4!S10,seed5!S10,seed6!S10),4)</f>
        <v>11.2081</v>
      </c>
      <c r="U10">
        <f>ROUND(AVERAGE(seed1!U10,seed2!U10,seed3!U10,seed4!U10,seed5!U10,seed6!U10),4)</f>
        <v>11.8048</v>
      </c>
      <c r="V10">
        <f>ROUND(AVERAGE(seed1!V10,seed2!V10,seed3!V10,seed4!V10,seed5!V10,seed6!V10),4)</f>
        <v>8.7368000000000006</v>
      </c>
      <c r="W10">
        <f>ROUND(AVERAGE(seed1!W10,seed2!W10,seed3!W10,seed4!W10,seed5!W10,seed6!W10),4)</f>
        <v>16.664300000000001</v>
      </c>
      <c r="Y10">
        <f>ROUND(AVERAGE(seed1!Y10,seed2!Y10,seed3!Y10,seed4!Y10,seed5!Y10,seed6!Y10),4)</f>
        <v>13.3398</v>
      </c>
      <c r="Z10">
        <f>ROUND(AVERAGE(seed1!Z10,seed2!Z10,seed3!Z10,seed4!Z10,seed5!Z10,seed6!Z10),4)</f>
        <v>11.301</v>
      </c>
      <c r="AA10">
        <f>ROUND(AVERAGE(seed1!AA10,seed2!AA10,seed3!AA10,seed4!AA10,seed5!AA10,seed6!AA10),4)</f>
        <v>16.049299999999999</v>
      </c>
      <c r="AG10">
        <f t="shared" si="0"/>
        <v>12.780099999999999</v>
      </c>
      <c r="AH10">
        <f t="shared" si="1"/>
        <v>12.3514</v>
      </c>
      <c r="AI10">
        <f t="shared" si="2"/>
        <v>0</v>
      </c>
      <c r="AJ10">
        <f t="shared" si="3"/>
        <v>13.0327</v>
      </c>
      <c r="AK10">
        <f t="shared" si="4"/>
        <v>11.0121</v>
      </c>
      <c r="AL10">
        <f t="shared" si="5"/>
        <v>11.8048</v>
      </c>
      <c r="AM10">
        <f t="shared" si="6"/>
        <v>13.3398</v>
      </c>
    </row>
    <row r="11" spans="1:39" ht="18" customHeight="1">
      <c r="B11">
        <v>1100</v>
      </c>
      <c r="C11">
        <v>900</v>
      </c>
      <c r="AG11">
        <f t="shared" si="0"/>
        <v>0</v>
      </c>
      <c r="AH11">
        <f t="shared" si="1"/>
        <v>0</v>
      </c>
      <c r="AI11">
        <f t="shared" si="2"/>
        <v>0</v>
      </c>
      <c r="AJ11">
        <f t="shared" si="3"/>
        <v>0</v>
      </c>
      <c r="AK11">
        <f t="shared" si="4"/>
        <v>0</v>
      </c>
      <c r="AL11">
        <f t="shared" si="5"/>
        <v>0</v>
      </c>
      <c r="AM11">
        <f t="shared" si="6"/>
        <v>0</v>
      </c>
    </row>
    <row r="12" spans="1:39" ht="18" customHeight="1">
      <c r="B12">
        <v>1200</v>
      </c>
      <c r="C12">
        <v>800</v>
      </c>
      <c r="E12">
        <f>ROUND(AVERAGE(seed1!E12,seed2!E12,seed3!E12,seed4!E12,seed5!E12,seed6!E12),4)</f>
        <v>12.0024</v>
      </c>
      <c r="F12">
        <f>ROUND(AVERAGE(seed1!F12,seed2!F12,seed3!F12,seed4!F12,seed5!F12,seed6!F12),4)</f>
        <v>10.737</v>
      </c>
      <c r="G12">
        <f>ROUND(AVERAGE(seed1!G12,seed2!G12,seed3!G12,seed4!G12,seed5!G12,seed6!G12),4)</f>
        <v>14.3614</v>
      </c>
      <c r="I12">
        <f>ROUND(AVERAGE(seed1!I12,seed2!I12,seed3!I12,seed4!I12,seed5!I12,seed6!I12),4)</f>
        <v>11.8735</v>
      </c>
      <c r="J12">
        <f>ROUND(AVERAGE(seed1!J12,seed2!J12,seed3!J12,seed4!J12,seed5!J12,seed6!J12),4)</f>
        <v>10.669600000000001</v>
      </c>
      <c r="K12">
        <f>ROUND(AVERAGE(seed1!K12,seed2!K12,seed3!K12,seed4!K12,seed5!K12,seed6!K12),4)</f>
        <v>14.1365</v>
      </c>
      <c r="M12">
        <f>ROUND(AVERAGE(seed1!M12,seed2!M12,seed3!M12,seed4!M12,seed5!M12,seed6!M12),4)</f>
        <v>12.020200000000001</v>
      </c>
      <c r="N12">
        <f>ROUND(AVERAGE(seed1!N12,seed2!N12,seed3!N12,seed4!N12,seed5!N12,seed6!N12),4)</f>
        <v>10.188499999999999</v>
      </c>
      <c r="O12">
        <f>ROUND(AVERAGE(seed1!O12,seed2!O12,seed3!O12,seed4!O12,seed5!O12,seed6!O12),4)</f>
        <v>15.9316</v>
      </c>
      <c r="Q12">
        <f>ROUND(AVERAGE(seed1!Q12,seed2!Q12,seed3!Q12,seed4!Q12,seed5!Q12,seed6!Q12),4)</f>
        <v>10.569599999999999</v>
      </c>
      <c r="R12">
        <f>ROUND(AVERAGE(seed1!R12,seed2!R12,seed3!R12,seed4!R12,seed5!R12,seed6!R12),4)</f>
        <v>10.1982</v>
      </c>
      <c r="S12">
        <f>ROUND(AVERAGE(seed1!S12,seed2!S12,seed3!S12,seed4!S12,seed5!S12,seed6!S12),4)</f>
        <v>11.2264</v>
      </c>
      <c r="U12">
        <f>ROUND(AVERAGE(seed1!U12,seed2!U12,seed3!U12,seed4!U12,seed5!U12,seed6!U12),4)</f>
        <v>11.1777</v>
      </c>
      <c r="V12">
        <f>ROUND(AVERAGE(seed1!V12,seed2!V12,seed3!V12,seed4!V12,seed5!V12,seed6!V12),4)</f>
        <v>8.8485999999999994</v>
      </c>
      <c r="W12">
        <f>ROUND(AVERAGE(seed1!W12,seed2!W12,seed3!W12,seed4!W12,seed5!W12,seed6!W12),4)</f>
        <v>16.670000000000002</v>
      </c>
      <c r="Y12">
        <f>ROUND(AVERAGE(seed1!Y12,seed2!Y12,seed3!Y12,seed4!Y12,seed5!Y12,seed6!Y12),4)</f>
        <v>12.326700000000001</v>
      </c>
      <c r="Z12">
        <f>ROUND(AVERAGE(seed1!Z12,seed2!Z12,seed3!Z12,seed4!Z12,seed5!Z12,seed6!Z12),4)</f>
        <v>10.577999999999999</v>
      </c>
      <c r="AA12">
        <f>ROUND(AVERAGE(seed1!AA12,seed2!AA12,seed3!AA12,seed4!AA12,seed5!AA12,seed6!AA12),4)</f>
        <v>15.9337</v>
      </c>
      <c r="AG12">
        <f t="shared" si="0"/>
        <v>12.0024</v>
      </c>
      <c r="AH12">
        <f t="shared" si="1"/>
        <v>11.8735</v>
      </c>
      <c r="AI12">
        <f t="shared" si="2"/>
        <v>0</v>
      </c>
      <c r="AJ12">
        <f t="shared" si="3"/>
        <v>12.020200000000001</v>
      </c>
      <c r="AK12">
        <f t="shared" si="4"/>
        <v>10.569599999999999</v>
      </c>
      <c r="AL12">
        <f t="shared" si="5"/>
        <v>11.1777</v>
      </c>
      <c r="AM12">
        <f t="shared" si="6"/>
        <v>12.326700000000001</v>
      </c>
    </row>
    <row r="13" spans="1:39" ht="18" customHeight="1">
      <c r="B13">
        <v>1300</v>
      </c>
      <c r="C13">
        <v>700</v>
      </c>
      <c r="AG13">
        <f t="shared" si="0"/>
        <v>0</v>
      </c>
      <c r="AH13">
        <f t="shared" si="1"/>
        <v>0</v>
      </c>
      <c r="AI13">
        <f t="shared" si="2"/>
        <v>0</v>
      </c>
      <c r="AJ13">
        <f t="shared" si="3"/>
        <v>0</v>
      </c>
      <c r="AK13">
        <f t="shared" si="4"/>
        <v>0</v>
      </c>
      <c r="AL13">
        <f t="shared" si="5"/>
        <v>0</v>
      </c>
      <c r="AM13">
        <f t="shared" si="6"/>
        <v>0</v>
      </c>
    </row>
    <row r="14" spans="1:39" ht="18" customHeight="1">
      <c r="B14">
        <v>1400</v>
      </c>
      <c r="C14">
        <v>600</v>
      </c>
      <c r="E14">
        <f>ROUND(AVERAGE(seed1!E14,seed2!E14,seed3!E14,seed4!E14,seed5!E14,seed6!E14),4)</f>
        <v>12.4514</v>
      </c>
      <c r="F14">
        <f>ROUND(AVERAGE(seed1!F14,seed2!F14,seed3!F14,seed4!F14,seed5!F14,seed6!F14),4)</f>
        <v>12.0099</v>
      </c>
      <c r="G14">
        <f>ROUND(AVERAGE(seed1!G14,seed2!G14,seed3!G14,seed4!G14,seed5!G14,seed6!G14),4)</f>
        <v>13.6172</v>
      </c>
      <c r="I14">
        <f>ROUND(AVERAGE(seed1!I14,seed2!I14,seed3!I14,seed4!I14,seed5!I14,seed6!I14),4)</f>
        <v>12.7689</v>
      </c>
      <c r="J14">
        <f>ROUND(AVERAGE(seed1!J14,seed2!J14,seed3!J14,seed4!J14,seed5!J14,seed6!J14),4)</f>
        <v>12.286899999999999</v>
      </c>
      <c r="K14">
        <f>ROUND(AVERAGE(seed1!K14,seed2!K14,seed3!K14,seed4!K14,seed5!K14,seed6!K14),4)</f>
        <v>14.0463</v>
      </c>
      <c r="M14">
        <f>ROUND(AVERAGE(seed1!M14,seed2!M14,seed3!M14,seed4!M14,seed5!M14,seed6!M14),4)</f>
        <v>12.9129</v>
      </c>
      <c r="N14">
        <f>ROUND(AVERAGE(seed1!N14,seed2!N14,seed3!N14,seed4!N14,seed5!N14,seed6!N14),4)</f>
        <v>11.8725</v>
      </c>
      <c r="O14">
        <f>ROUND(AVERAGE(seed1!O14,seed2!O14,seed3!O14,seed4!O14,seed5!O14,seed6!O14),4)</f>
        <v>16.121400000000001</v>
      </c>
      <c r="Q14">
        <f>ROUND(AVERAGE(seed1!Q14,seed2!Q14,seed3!Q14,seed4!Q14,seed5!Q14,seed6!Q14),4)</f>
        <v>11.6526</v>
      </c>
      <c r="R14">
        <f>ROUND(AVERAGE(seed1!R14,seed2!R14,seed3!R14,seed4!R14,seed5!R14,seed6!R14),4)</f>
        <v>12.1456</v>
      </c>
      <c r="S14">
        <f>ROUND(AVERAGE(seed1!S14,seed2!S14,seed3!S14,seed4!S14,seed5!S14,seed6!S14),4)</f>
        <v>10.693</v>
      </c>
      <c r="U14">
        <f>ROUND(AVERAGE(seed1!U14,seed2!U14,seed3!U14,seed4!U14,seed5!U14,seed6!U14),4)</f>
        <v>12.1975</v>
      </c>
      <c r="V14">
        <f>ROUND(AVERAGE(seed1!V14,seed2!V14,seed3!V14,seed4!V14,seed5!V14,seed6!V14),4)</f>
        <v>10.844200000000001</v>
      </c>
      <c r="W14">
        <f>ROUND(AVERAGE(seed1!W14,seed2!W14,seed3!W14,seed4!W14,seed5!W14,seed6!W14),4)</f>
        <v>16.667200000000001</v>
      </c>
      <c r="Y14">
        <f>ROUND(AVERAGE(seed1!Y14,seed2!Y14,seed3!Y14,seed4!Y14,seed5!Y14,seed6!Y14),4)</f>
        <v>12.603899999999999</v>
      </c>
      <c r="Z14">
        <f>ROUND(AVERAGE(seed1!Z14,seed2!Z14,seed3!Z14,seed4!Z14,seed5!Z14,seed6!Z14),4)</f>
        <v>11.6508</v>
      </c>
      <c r="AA14">
        <f>ROUND(AVERAGE(seed1!AA14,seed2!AA14,seed3!AA14,seed4!AA14,seed5!AA14,seed6!AA14),4)</f>
        <v>15.4703</v>
      </c>
      <c r="AG14">
        <f t="shared" si="0"/>
        <v>12.4514</v>
      </c>
      <c r="AH14">
        <f t="shared" si="1"/>
        <v>12.7689</v>
      </c>
      <c r="AI14">
        <f t="shared" si="2"/>
        <v>0</v>
      </c>
      <c r="AJ14">
        <f t="shared" si="3"/>
        <v>12.9129</v>
      </c>
      <c r="AK14">
        <f t="shared" si="4"/>
        <v>11.6526</v>
      </c>
      <c r="AL14">
        <f t="shared" si="5"/>
        <v>12.1975</v>
      </c>
      <c r="AM14">
        <f t="shared" si="6"/>
        <v>12.603899999999999</v>
      </c>
    </row>
    <row r="15" spans="1:39" ht="18" customHeight="1">
      <c r="B15">
        <v>1500</v>
      </c>
      <c r="C15">
        <v>500</v>
      </c>
      <c r="AG15">
        <f t="shared" si="0"/>
        <v>0</v>
      </c>
      <c r="AH15">
        <f t="shared" si="1"/>
        <v>0</v>
      </c>
      <c r="AI15">
        <f t="shared" si="2"/>
        <v>0</v>
      </c>
      <c r="AJ15">
        <f t="shared" si="3"/>
        <v>0</v>
      </c>
      <c r="AK15">
        <f t="shared" si="4"/>
        <v>0</v>
      </c>
      <c r="AL15">
        <f t="shared" si="5"/>
        <v>0</v>
      </c>
      <c r="AM15">
        <f t="shared" si="6"/>
        <v>0</v>
      </c>
    </row>
    <row r="16" spans="1:39" ht="18" customHeight="1">
      <c r="AG16">
        <f t="shared" si="0"/>
        <v>0</v>
      </c>
      <c r="AH16">
        <f t="shared" si="1"/>
        <v>0</v>
      </c>
      <c r="AI16">
        <f t="shared" si="2"/>
        <v>0</v>
      </c>
      <c r="AJ16">
        <f t="shared" si="3"/>
        <v>0</v>
      </c>
      <c r="AK16">
        <f t="shared" si="4"/>
        <v>0</v>
      </c>
      <c r="AL16">
        <f t="shared" si="5"/>
        <v>0</v>
      </c>
      <c r="AM16">
        <f t="shared" si="6"/>
        <v>0</v>
      </c>
    </row>
    <row r="17" spans="1:39" ht="18" customHeight="1">
      <c r="B17">
        <v>1000</v>
      </c>
      <c r="C17">
        <v>1400</v>
      </c>
      <c r="E17">
        <f>ROUND(AVERAGE(seed1!E17,seed2!E17,seed3!E17,seed4!E17,seed5!E17,seed6!E17),4)</f>
        <v>11.459</v>
      </c>
      <c r="F17">
        <f>ROUND(AVERAGE(seed1!F17,seed2!F17,seed3!F17,seed4!F17,seed5!F17,seed6!F17),4)</f>
        <v>9.0173000000000005</v>
      </c>
      <c r="G17">
        <f>ROUND(AVERAGE(seed1!G17,seed2!G17,seed3!G17,seed4!G17,seed5!G17,seed6!G17),4)</f>
        <v>13.7822</v>
      </c>
      <c r="I17">
        <f>ROUND(AVERAGE(seed1!I17,seed2!I17,seed3!I17,seed4!I17,seed5!I17,seed6!I17),4)</f>
        <v>11.327299999999999</v>
      </c>
      <c r="J17">
        <f>ROUND(AVERAGE(seed1!J17,seed2!J17,seed3!J17,seed4!J17,seed5!J17,seed6!J17),4)</f>
        <v>9.3937000000000008</v>
      </c>
      <c r="K17">
        <f>ROUND(AVERAGE(seed1!K17,seed2!K17,seed3!K17,seed4!K17,seed5!K17,seed6!K17),4)</f>
        <v>13.065099999999999</v>
      </c>
      <c r="M17">
        <f>ROUND(AVERAGE(seed1!M17,seed2!M17,seed3!M17,seed4!M17,seed5!M17,seed6!M17),4)</f>
        <v>11.603899999999999</v>
      </c>
      <c r="N17">
        <f>ROUND(AVERAGE(seed1!N17,seed2!N17,seed3!N17,seed4!N17,seed5!N17,seed6!N17),4)</f>
        <v>7.69</v>
      </c>
      <c r="O17">
        <f>ROUND(AVERAGE(seed1!O17,seed2!O17,seed3!O17,seed4!O17,seed5!O17,seed6!O17),4)</f>
        <v>16.249700000000001</v>
      </c>
      <c r="Q17">
        <f>ROUND(AVERAGE(seed1!Q17,seed2!Q17,seed3!Q17,seed4!Q17,seed5!Q17,seed6!Q17),4)</f>
        <v>10.1676</v>
      </c>
      <c r="R17">
        <f>ROUND(AVERAGE(seed1!R17,seed2!R17,seed3!R17,seed4!R17,seed5!R17,seed6!R17),4)</f>
        <v>10.920999999999999</v>
      </c>
      <c r="S17">
        <f>ROUND(AVERAGE(seed1!S17,seed2!S17,seed3!S17,seed4!S17,seed5!S17,seed6!S17),4)</f>
        <v>9.6809999999999992</v>
      </c>
      <c r="U17">
        <f>ROUND(AVERAGE(seed1!U17,seed2!U17,seed3!U17,seed4!U17,seed5!U17,seed6!U17),4)</f>
        <v>10.494199999999999</v>
      </c>
      <c r="V17">
        <f>ROUND(AVERAGE(seed1!V17,seed2!V17,seed3!V17,seed4!V17,seed5!V17,seed6!V17),4)</f>
        <v>5.8284000000000002</v>
      </c>
      <c r="W17">
        <f>ROUND(AVERAGE(seed1!W17,seed2!W17,seed3!W17,seed4!W17,seed5!W17,seed6!W17),4)</f>
        <v>16.670000000000002</v>
      </c>
      <c r="Y17">
        <f>ROUND(AVERAGE(seed1!Y17,seed2!Y17,seed3!Y17,seed4!Y17,seed5!Y17,seed6!Y17),4)</f>
        <v>12.5274</v>
      </c>
      <c r="Z17">
        <f>ROUND(AVERAGE(seed1!Z17,seed2!Z17,seed3!Z17,seed4!Z17,seed5!Z17,seed6!Z17),4)</f>
        <v>9.2367000000000008</v>
      </c>
      <c r="AA17">
        <f>ROUND(AVERAGE(seed1!AA17,seed2!AA17,seed3!AA17,seed4!AA17,seed5!AA17,seed6!AA17),4)</f>
        <v>15.9465</v>
      </c>
      <c r="AG17">
        <f t="shared" si="0"/>
        <v>11.459</v>
      </c>
      <c r="AH17">
        <f t="shared" si="1"/>
        <v>11.327299999999999</v>
      </c>
      <c r="AI17">
        <f t="shared" si="2"/>
        <v>0</v>
      </c>
      <c r="AJ17">
        <f t="shared" si="3"/>
        <v>11.603899999999999</v>
      </c>
      <c r="AK17">
        <f t="shared" si="4"/>
        <v>10.1676</v>
      </c>
      <c r="AL17">
        <f t="shared" si="5"/>
        <v>10.494199999999999</v>
      </c>
      <c r="AM17">
        <f t="shared" si="6"/>
        <v>12.5274</v>
      </c>
    </row>
    <row r="18" spans="1:39" ht="18" customHeight="1">
      <c r="B18">
        <v>1200</v>
      </c>
      <c r="C18">
        <v>1200</v>
      </c>
      <c r="E18">
        <f>ROUND(AVERAGE(seed1!E18,seed2!E18,seed3!E18,seed4!E18,seed5!E18,seed6!E18),4)</f>
        <v>10.837999999999999</v>
      </c>
      <c r="F18">
        <f>ROUND(AVERAGE(seed1!F18,seed2!F18,seed3!F18,seed4!F18,seed5!F18,seed6!F18),4)</f>
        <v>9.0973000000000006</v>
      </c>
      <c r="G18">
        <f>ROUND(AVERAGE(seed1!G18,seed2!G18,seed3!G18,seed4!G18,seed5!G18,seed6!G18),4)</f>
        <v>13.096500000000001</v>
      </c>
      <c r="I18">
        <f>ROUND(AVERAGE(seed1!I18,seed2!I18,seed3!I18,seed4!I18,seed5!I18,seed6!I18),4)</f>
        <v>10.4733</v>
      </c>
      <c r="J18">
        <f>ROUND(AVERAGE(seed1!J18,seed2!J18,seed3!J18,seed4!J18,seed5!J18,seed6!J18),4)</f>
        <v>8.7158999999999995</v>
      </c>
      <c r="K18">
        <f>ROUND(AVERAGE(seed1!K18,seed2!K18,seed3!K18,seed4!K18,seed5!K18,seed6!K18),4)</f>
        <v>12.7791</v>
      </c>
      <c r="M18">
        <f>ROUND(AVERAGE(seed1!M18,seed2!M18,seed3!M18,seed4!M18,seed5!M18,seed6!M18),4)</f>
        <v>10.846</v>
      </c>
      <c r="N18">
        <f>ROUND(AVERAGE(seed1!N18,seed2!N18,seed3!N18,seed4!N18,seed5!N18,seed6!N18),4)</f>
        <v>7.6711</v>
      </c>
      <c r="O18">
        <f>ROUND(AVERAGE(seed1!O18,seed2!O18,seed3!O18,seed4!O18,seed5!O18,seed6!O18),4)</f>
        <v>16.023599999999998</v>
      </c>
      <c r="Q18">
        <f>ROUND(AVERAGE(seed1!Q18,seed2!Q18,seed3!Q18,seed4!Q18,seed5!Q18,seed6!Q18),4)</f>
        <v>9.5329999999999995</v>
      </c>
      <c r="R18">
        <f>ROUND(AVERAGE(seed1!R18,seed2!R18,seed3!R18,seed4!R18,seed5!R18,seed6!R18),4)</f>
        <v>10.6799</v>
      </c>
      <c r="S18">
        <f>ROUND(AVERAGE(seed1!S18,seed2!S18,seed3!S18,seed4!S18,seed5!S18,seed6!S18),4)</f>
        <v>8.6666000000000007</v>
      </c>
      <c r="U18">
        <f>ROUND(AVERAGE(seed1!U18,seed2!U18,seed3!U18,seed4!U18,seed5!U18,seed6!U18),4)</f>
        <v>9.5310000000000006</v>
      </c>
      <c r="V18">
        <f>ROUND(AVERAGE(seed1!V18,seed2!V18,seed3!V18,seed4!V18,seed5!V18,seed6!V18),4)</f>
        <v>5.6387</v>
      </c>
      <c r="W18">
        <f>ROUND(AVERAGE(seed1!W18,seed2!W18,seed3!W18,seed4!W18,seed5!W18,seed6!W18),4)</f>
        <v>16.666499999999999</v>
      </c>
      <c r="Y18">
        <f>ROUND(AVERAGE(seed1!Y18,seed2!Y18,seed3!Y18,seed4!Y18,seed5!Y18,seed6!Y18),4)</f>
        <v>11.5589</v>
      </c>
      <c r="Z18">
        <f>ROUND(AVERAGE(seed1!Z18,seed2!Z18,seed3!Z18,seed4!Z18,seed5!Z18,seed6!Z18),4)</f>
        <v>8.9410000000000007</v>
      </c>
      <c r="AA18">
        <f>ROUND(AVERAGE(seed1!AA18,seed2!AA18,seed3!AA18,seed4!AA18,seed5!AA18,seed6!AA18),4)</f>
        <v>15.497299999999999</v>
      </c>
      <c r="AG18">
        <f t="shared" si="0"/>
        <v>10.837999999999999</v>
      </c>
      <c r="AH18">
        <f t="shared" si="1"/>
        <v>10.4733</v>
      </c>
      <c r="AI18">
        <f t="shared" si="2"/>
        <v>0</v>
      </c>
      <c r="AJ18">
        <f t="shared" si="3"/>
        <v>10.846</v>
      </c>
      <c r="AK18">
        <f t="shared" si="4"/>
        <v>9.5329999999999995</v>
      </c>
      <c r="AL18">
        <f t="shared" si="5"/>
        <v>9.5310000000000006</v>
      </c>
      <c r="AM18">
        <f t="shared" si="6"/>
        <v>11.5589</v>
      </c>
    </row>
    <row r="19" spans="1:39" ht="18" customHeight="1">
      <c r="B19">
        <v>1400</v>
      </c>
      <c r="C19">
        <v>1000</v>
      </c>
      <c r="E19">
        <f>ROUND(AVERAGE(seed1!E19,seed2!E19,seed3!E19,seed4!E19,seed5!E19,seed6!E19),4)</f>
        <v>9.8948</v>
      </c>
      <c r="F19">
        <f>ROUND(AVERAGE(seed1!F19,seed2!F19,seed3!F19,seed4!F19,seed5!F19,seed6!F19),4)</f>
        <v>8.4875000000000007</v>
      </c>
      <c r="G19">
        <f>ROUND(AVERAGE(seed1!G19,seed2!G19,seed3!G19,seed4!G19,seed5!G19,seed6!G19),4)</f>
        <v>12.399800000000001</v>
      </c>
      <c r="I19">
        <f>ROUND(AVERAGE(seed1!I19,seed2!I19,seed3!I19,seed4!I19,seed5!I19,seed6!I19),4)</f>
        <v>9.4062000000000001</v>
      </c>
      <c r="J19">
        <f>ROUND(AVERAGE(seed1!J19,seed2!J19,seed3!J19,seed4!J19,seed5!J19,seed6!J19),4)</f>
        <v>8.2894000000000005</v>
      </c>
      <c r="K19">
        <f>ROUND(AVERAGE(seed1!K19,seed2!K19,seed3!K19,seed4!K19,seed5!K19,seed6!K19),4)</f>
        <v>11.3249</v>
      </c>
      <c r="M19">
        <f>ROUND(AVERAGE(seed1!M19,seed2!M19,seed3!M19,seed4!M19,seed5!M19,seed6!M19),4)</f>
        <v>10.6106</v>
      </c>
      <c r="N19">
        <f>ROUND(AVERAGE(seed1!N19,seed2!N19,seed3!N19,seed4!N19,seed5!N19,seed6!N19),4)</f>
        <v>8.2065999999999999</v>
      </c>
      <c r="O19">
        <f>ROUND(AVERAGE(seed1!O19,seed2!O19,seed3!O19,seed4!O19,seed5!O19,seed6!O19),4)</f>
        <v>15.8184</v>
      </c>
      <c r="Q19">
        <f>ROUND(AVERAGE(seed1!Q19,seed2!Q19,seed3!Q19,seed4!Q19,seed5!Q19,seed6!Q19),4)</f>
        <v>8.9669000000000008</v>
      </c>
      <c r="R19">
        <f>ROUND(AVERAGE(seed1!R19,seed2!R19,seed3!R19,seed4!R19,seed5!R19,seed6!R19),4)</f>
        <v>9.0152000000000001</v>
      </c>
      <c r="S19">
        <f>ROUND(AVERAGE(seed1!S19,seed2!S19,seed3!S19,seed4!S19,seed5!S19,seed6!S19),4)</f>
        <v>9.1861999999999995</v>
      </c>
      <c r="U19">
        <f>ROUND(AVERAGE(seed1!U19,seed2!U19,seed3!U19,seed4!U19,seed5!U19,seed6!U19),4)</f>
        <v>9.8912999999999993</v>
      </c>
      <c r="V19">
        <f>ROUND(AVERAGE(seed1!V19,seed2!V19,seed3!V19,seed4!V19,seed5!V19,seed6!V19),4)</f>
        <v>7.0590000000000002</v>
      </c>
      <c r="W19">
        <f>ROUND(AVERAGE(seed1!W19,seed2!W19,seed3!W19,seed4!W19,seed5!W19,seed6!W19),4)</f>
        <v>16.650600000000001</v>
      </c>
      <c r="Y19">
        <f>ROUND(AVERAGE(seed1!Y19,seed2!Y19,seed3!Y19,seed4!Y19,seed5!Y19,seed6!Y19),4)</f>
        <v>10.773300000000001</v>
      </c>
      <c r="Z19">
        <f>ROUND(AVERAGE(seed1!Z19,seed2!Z19,seed3!Z19,seed4!Z19,seed5!Z19,seed6!Z19),4)</f>
        <v>8.6760000000000002</v>
      </c>
      <c r="AA19">
        <f>ROUND(AVERAGE(seed1!AA19,seed2!AA19,seed3!AA19,seed4!AA19,seed5!AA19,seed6!AA19),4)</f>
        <v>15.0152</v>
      </c>
      <c r="AG19">
        <f t="shared" si="0"/>
        <v>9.8948</v>
      </c>
      <c r="AH19">
        <f t="shared" si="1"/>
        <v>9.4062000000000001</v>
      </c>
      <c r="AI19">
        <f t="shared" si="2"/>
        <v>0</v>
      </c>
      <c r="AJ19">
        <f t="shared" si="3"/>
        <v>10.6106</v>
      </c>
      <c r="AK19">
        <f t="shared" si="4"/>
        <v>8.9669000000000008</v>
      </c>
      <c r="AL19">
        <f t="shared" si="5"/>
        <v>9.8912999999999993</v>
      </c>
      <c r="AM19">
        <f t="shared" si="6"/>
        <v>10.773300000000001</v>
      </c>
    </row>
    <row r="20" spans="1:39" ht="18" customHeight="1">
      <c r="B20">
        <v>800</v>
      </c>
      <c r="C20">
        <v>800</v>
      </c>
      <c r="E20">
        <f>ROUND(AVERAGE(seed1!E20,seed2!E20,seed3!E20,seed4!E20,seed5!E20,seed6!E20),4)</f>
        <v>14.5831</v>
      </c>
      <c r="F20">
        <f>ROUND(AVERAGE(seed1!F20,seed2!F20,seed3!F20,seed4!F20,seed5!F20,seed6!F20),4)</f>
        <v>13.709099999999999</v>
      </c>
      <c r="G20">
        <f>ROUND(AVERAGE(seed1!G20,seed2!G20,seed3!G20,seed4!G20,seed5!G20,seed6!G20),4)</f>
        <v>15.624000000000001</v>
      </c>
      <c r="I20">
        <f>ROUND(AVERAGE(seed1!I20,seed2!I20,seed3!I20,seed4!I20,seed5!I20,seed6!I20),4)</f>
        <v>14.4557</v>
      </c>
      <c r="J20">
        <f>ROUND(AVERAGE(seed1!J20,seed2!J20,seed3!J20,seed4!J20,seed5!J20,seed6!J20),4)</f>
        <v>13.730600000000001</v>
      </c>
      <c r="K20">
        <f>ROUND(AVERAGE(seed1!K20,seed2!K20,seed3!K20,seed4!K20,seed5!K20,seed6!K20),4)</f>
        <v>15.3134</v>
      </c>
      <c r="M20">
        <f>ROUND(AVERAGE(seed1!M20,seed2!M20,seed3!M20,seed4!M20,seed5!M20,seed6!M20),4)</f>
        <v>14.704000000000001</v>
      </c>
      <c r="N20">
        <f>ROUND(AVERAGE(seed1!N20,seed2!N20,seed3!N20,seed4!N20,seed5!N20,seed6!N20),4)</f>
        <v>13.274100000000001</v>
      </c>
      <c r="O20">
        <f>ROUND(AVERAGE(seed1!O20,seed2!O20,seed3!O20,seed4!O20,seed5!O20,seed6!O20),4)</f>
        <v>16.480799999999999</v>
      </c>
      <c r="Q20">
        <f>ROUND(AVERAGE(seed1!Q20,seed2!Q20,seed3!Q20,seed4!Q20,seed5!Q20,seed6!Q20),4)</f>
        <v>14.3443</v>
      </c>
      <c r="R20">
        <f>ROUND(AVERAGE(seed1!R20,seed2!R20,seed3!R20,seed4!R20,seed5!R20,seed6!R20),4)</f>
        <v>14.053900000000001</v>
      </c>
      <c r="S20">
        <f>ROUND(AVERAGE(seed1!S20,seed2!S20,seed3!S20,seed4!S20,seed5!S20,seed6!S20),4)</f>
        <v>14.687200000000001</v>
      </c>
      <c r="U20">
        <f>ROUND(AVERAGE(seed1!U20,seed2!U20,seed3!U20,seed4!U20,seed5!U20,seed6!U20),4)</f>
        <v>13.706899999999999</v>
      </c>
      <c r="V20">
        <f>ROUND(AVERAGE(seed1!V20,seed2!V20,seed3!V20,seed4!V20,seed5!V20,seed6!V20),4)</f>
        <v>11.534800000000001</v>
      </c>
      <c r="W20">
        <f>ROUND(AVERAGE(seed1!W20,seed2!W20,seed3!W20,seed4!W20,seed5!W20,seed6!W20),4)</f>
        <v>16.670000000000002</v>
      </c>
      <c r="Y20">
        <f>ROUND(AVERAGE(seed1!Y20,seed2!Y20,seed3!Y20,seed4!Y20,seed5!Y20,seed6!Y20),4)</f>
        <v>14.801399999999999</v>
      </c>
      <c r="Z20">
        <f>ROUND(AVERAGE(seed1!Z20,seed2!Z20,seed3!Z20,seed4!Z20,seed5!Z20,seed6!Z20),4)</f>
        <v>13.448</v>
      </c>
      <c r="AA20">
        <f>ROUND(AVERAGE(seed1!AA20,seed2!AA20,seed3!AA20,seed4!AA20,seed5!AA20,seed6!AA20),4)</f>
        <v>16.491299999999999</v>
      </c>
      <c r="AG20">
        <f t="shared" si="0"/>
        <v>14.5831</v>
      </c>
      <c r="AH20">
        <f t="shared" si="1"/>
        <v>14.4557</v>
      </c>
      <c r="AI20">
        <f t="shared" si="2"/>
        <v>0</v>
      </c>
      <c r="AJ20">
        <f t="shared" si="3"/>
        <v>14.704000000000001</v>
      </c>
      <c r="AK20">
        <f t="shared" si="4"/>
        <v>14.3443</v>
      </c>
      <c r="AL20">
        <f t="shared" si="5"/>
        <v>13.706899999999999</v>
      </c>
      <c r="AM20">
        <f t="shared" si="6"/>
        <v>14.801399999999999</v>
      </c>
    </row>
    <row r="21" spans="1:39" ht="18" customHeight="1">
      <c r="AG21">
        <f t="shared" si="0"/>
        <v>0</v>
      </c>
      <c r="AH21">
        <f t="shared" si="1"/>
        <v>0</v>
      </c>
      <c r="AI21">
        <f t="shared" si="2"/>
        <v>0</v>
      </c>
      <c r="AJ21">
        <f t="shared" si="3"/>
        <v>0</v>
      </c>
      <c r="AK21">
        <f t="shared" si="4"/>
        <v>0</v>
      </c>
      <c r="AL21">
        <f t="shared" si="5"/>
        <v>0</v>
      </c>
      <c r="AM21">
        <f t="shared" si="6"/>
        <v>0</v>
      </c>
    </row>
    <row r="22" spans="1:39" ht="18" customHeight="1">
      <c r="B22">
        <v>500</v>
      </c>
      <c r="C22">
        <v>1500</v>
      </c>
      <c r="AG22">
        <f t="shared" si="0"/>
        <v>0</v>
      </c>
      <c r="AH22">
        <f t="shared" si="1"/>
        <v>0</v>
      </c>
      <c r="AI22">
        <f t="shared" si="2"/>
        <v>0</v>
      </c>
      <c r="AJ22">
        <f t="shared" si="3"/>
        <v>0</v>
      </c>
      <c r="AK22">
        <f t="shared" si="4"/>
        <v>0</v>
      </c>
      <c r="AL22">
        <f t="shared" si="5"/>
        <v>0</v>
      </c>
      <c r="AM22">
        <f t="shared" si="6"/>
        <v>0</v>
      </c>
    </row>
    <row r="23" spans="1:39" ht="18" customHeight="1">
      <c r="A23" t="s">
        <v>18</v>
      </c>
      <c r="B23">
        <v>600</v>
      </c>
      <c r="C23">
        <v>1400</v>
      </c>
      <c r="E23">
        <f>ROUND(AVERAGE(seed1!E23,seed2!E23,seed3!E23,seed4!E23,seed5!E23,seed6!E23),4)</f>
        <v>13.3619</v>
      </c>
      <c r="F23">
        <f>ROUND(AVERAGE(seed1!F23,seed2!F23,seed3!F23,seed4!F23,seed5!F23,seed6!F23),4)</f>
        <v>9.6952999999999996</v>
      </c>
      <c r="G23">
        <f>ROUND(AVERAGE(seed1!G23,seed2!G23,seed3!G23,seed4!G23,seed5!G23,seed6!G23),4)</f>
        <v>15.6028</v>
      </c>
      <c r="I23">
        <f>ROUND(AVERAGE(seed1!I23,seed2!I23,seed3!I23,seed4!I23,seed5!I23,seed6!I23),4)</f>
        <v>13.426</v>
      </c>
      <c r="J23">
        <f>ROUND(AVERAGE(seed1!J23,seed2!J23,seed3!J23,seed4!J23,seed5!J23,seed6!J23),4)</f>
        <v>10.215199999999999</v>
      </c>
      <c r="K23">
        <f>ROUND(AVERAGE(seed1!K23,seed2!K23,seed3!K23,seed4!K23,seed5!K23,seed6!K23),4)</f>
        <v>15.330500000000001</v>
      </c>
      <c r="M23">
        <f>ROUND(AVERAGE(seed1!M23,seed2!M23,seed3!M23,seed4!M23,seed5!M23,seed6!M23),4)</f>
        <v>12.814399999999999</v>
      </c>
      <c r="N23">
        <f>ROUND(AVERAGE(seed1!N23,seed2!N23,seed3!N23,seed4!N23,seed5!N23,seed6!N23),4)</f>
        <v>7.9500999999999999</v>
      </c>
      <c r="O23">
        <f>ROUND(AVERAGE(seed1!O23,seed2!O23,seed3!O23,seed4!O23,seed5!O23,seed6!O23),4)</f>
        <v>16.467400000000001</v>
      </c>
      <c r="Q23">
        <f>ROUND(AVERAGE(seed1!Q23,seed2!Q23,seed3!Q23,seed4!Q23,seed5!Q23,seed6!Q23),4)</f>
        <v>12.117900000000001</v>
      </c>
      <c r="R23">
        <f>ROUND(AVERAGE(seed1!R23,seed2!R23,seed3!R23,seed4!R23,seed5!R23,seed6!R23),4)</f>
        <v>12.1518</v>
      </c>
      <c r="S23">
        <f>ROUND(AVERAGE(seed1!S23,seed2!S23,seed3!S23,seed4!S23,seed5!S23,seed6!S23),4)</f>
        <v>12.398</v>
      </c>
      <c r="U23">
        <f>ROUND(AVERAGE(seed1!U23,seed2!U23,seed3!U23,seed4!U23,seed5!U23,seed6!U23),4)</f>
        <v>11.9443</v>
      </c>
      <c r="V23">
        <f>ROUND(AVERAGE(seed1!V23,seed2!V23,seed3!V23,seed4!V23,seed5!V23,seed6!V23),4)</f>
        <v>6.5374999999999996</v>
      </c>
      <c r="W23">
        <f>ROUND(AVERAGE(seed1!W23,seed2!W23,seed3!W23,seed4!W23,seed5!W23,seed6!W23),4)</f>
        <v>16.670000000000002</v>
      </c>
      <c r="Y23">
        <f>ROUND(AVERAGE(seed1!Y23,seed2!Y23,seed3!Y23,seed4!Y23,seed5!Y23,seed6!Y23),4)</f>
        <v>13.8566</v>
      </c>
      <c r="Z23">
        <f>ROUND(AVERAGE(seed1!Z23,seed2!Z23,seed3!Z23,seed4!Z23,seed5!Z23,seed6!Z23),4)</f>
        <v>11.350099999999999</v>
      </c>
      <c r="AA23">
        <f>ROUND(AVERAGE(seed1!AA23,seed2!AA23,seed3!AA23,seed4!AA23,seed5!AA23,seed6!AA23),4)</f>
        <v>15.5943</v>
      </c>
      <c r="AG23">
        <f t="shared" si="0"/>
        <v>13.3619</v>
      </c>
      <c r="AH23">
        <f t="shared" si="1"/>
        <v>13.426</v>
      </c>
      <c r="AI23">
        <f t="shared" si="2"/>
        <v>0</v>
      </c>
      <c r="AJ23">
        <f t="shared" si="3"/>
        <v>12.814399999999999</v>
      </c>
      <c r="AK23">
        <f t="shared" si="4"/>
        <v>12.117900000000001</v>
      </c>
      <c r="AL23">
        <f t="shared" si="5"/>
        <v>11.9443</v>
      </c>
      <c r="AM23">
        <f t="shared" si="6"/>
        <v>13.8566</v>
      </c>
    </row>
    <row r="24" spans="1:39" ht="18" customHeight="1">
      <c r="B24">
        <v>700</v>
      </c>
      <c r="C24">
        <v>1300</v>
      </c>
      <c r="AG24">
        <f t="shared" si="0"/>
        <v>0</v>
      </c>
      <c r="AH24">
        <f t="shared" si="1"/>
        <v>0</v>
      </c>
      <c r="AI24">
        <f t="shared" si="2"/>
        <v>0</v>
      </c>
      <c r="AJ24">
        <f t="shared" si="3"/>
        <v>0</v>
      </c>
      <c r="AK24">
        <f t="shared" si="4"/>
        <v>0</v>
      </c>
      <c r="AL24">
        <f t="shared" si="5"/>
        <v>0</v>
      </c>
      <c r="AM24">
        <f t="shared" si="6"/>
        <v>0</v>
      </c>
    </row>
    <row r="25" spans="1:39" ht="18" customHeight="1">
      <c r="B25">
        <v>800</v>
      </c>
      <c r="C25">
        <v>1200</v>
      </c>
      <c r="E25">
        <f>ROUND(AVERAGE(seed1!E25,seed2!E25,seed3!E25,seed4!E25,seed5!E25,seed6!E25),4)</f>
        <v>12.4443</v>
      </c>
      <c r="F25">
        <f>ROUND(AVERAGE(seed1!F25,seed2!F25,seed3!F25,seed4!F25,seed5!F25,seed6!F25),4)</f>
        <v>10.334899999999999</v>
      </c>
      <c r="G25">
        <f>ROUND(AVERAGE(seed1!G25,seed2!G25,seed3!G25,seed4!G25,seed5!G25,seed6!G25),4)</f>
        <v>14.336600000000001</v>
      </c>
      <c r="I25">
        <f>ROUND(AVERAGE(seed1!I25,seed2!I25,seed3!I25,seed4!I25,seed5!I25,seed6!I25),4)</f>
        <v>12.8901</v>
      </c>
      <c r="J25">
        <f>ROUND(AVERAGE(seed1!J25,seed2!J25,seed3!J25,seed4!J25,seed5!J25,seed6!J25),4)</f>
        <v>10.9232</v>
      </c>
      <c r="K25">
        <f>ROUND(AVERAGE(seed1!K25,seed2!K25,seed3!K25,seed4!K25,seed5!K25,seed6!K25),4)</f>
        <v>14.599600000000001</v>
      </c>
      <c r="M25">
        <f>ROUND(AVERAGE(seed1!M25,seed2!M25,seed3!M25,seed4!M25,seed5!M25,seed6!M25),4)</f>
        <v>13.0403</v>
      </c>
      <c r="N25">
        <f>ROUND(AVERAGE(seed1!N25,seed2!N25,seed3!N25,seed4!N25,seed5!N25,seed6!N25),4)</f>
        <v>9.7118000000000002</v>
      </c>
      <c r="O25">
        <f>ROUND(AVERAGE(seed1!O25,seed2!O25,seed3!O25,seed4!O25,seed5!O25,seed6!O25),4)</f>
        <v>16.408100000000001</v>
      </c>
      <c r="Q25">
        <f>ROUND(AVERAGE(seed1!Q25,seed2!Q25,seed3!Q25,seed4!Q25,seed5!Q25,seed6!Q25),4)</f>
        <v>11.2967</v>
      </c>
      <c r="R25">
        <f>ROUND(AVERAGE(seed1!R25,seed2!R25,seed3!R25,seed4!R25,seed5!R25,seed6!R25),4)</f>
        <v>12.293900000000001</v>
      </c>
      <c r="S25">
        <f>ROUND(AVERAGE(seed1!S25,seed2!S25,seed3!S25,seed4!S25,seed5!S25,seed6!S25),4)</f>
        <v>10.741099999999999</v>
      </c>
      <c r="U25">
        <f>ROUND(AVERAGE(seed1!U25,seed2!U25,seed3!U25,seed4!U25,seed5!U25,seed6!U25),4)</f>
        <v>11.57</v>
      </c>
      <c r="V25">
        <f>ROUND(AVERAGE(seed1!V25,seed2!V25,seed3!V25,seed4!V25,seed5!V25,seed6!V25),4)</f>
        <v>7.5166000000000004</v>
      </c>
      <c r="W25">
        <f>ROUND(AVERAGE(seed1!W25,seed2!W25,seed3!W25,seed4!W25,seed5!W25,seed6!W25),4)</f>
        <v>16.670000000000002</v>
      </c>
      <c r="Y25">
        <f>ROUND(AVERAGE(seed1!Y25,seed2!Y25,seed3!Y25,seed4!Y25,seed5!Y25,seed6!Y25),4)</f>
        <v>13.7354</v>
      </c>
      <c r="Z25">
        <f>ROUND(AVERAGE(seed1!Z25,seed2!Z25,seed3!Z25,seed4!Z25,seed5!Z25,seed6!Z25),4)</f>
        <v>11.4611</v>
      </c>
      <c r="AA25">
        <f>ROUND(AVERAGE(seed1!AA25,seed2!AA25,seed3!AA25,seed4!AA25,seed5!AA25,seed6!AA25),4)</f>
        <v>15.9445</v>
      </c>
      <c r="AG25">
        <f t="shared" si="0"/>
        <v>12.4443</v>
      </c>
      <c r="AH25">
        <f t="shared" si="1"/>
        <v>12.8901</v>
      </c>
      <c r="AI25">
        <f t="shared" si="2"/>
        <v>0</v>
      </c>
      <c r="AJ25">
        <f t="shared" si="3"/>
        <v>13.0403</v>
      </c>
      <c r="AK25">
        <f t="shared" si="4"/>
        <v>11.2967</v>
      </c>
      <c r="AL25">
        <f t="shared" si="5"/>
        <v>11.57</v>
      </c>
      <c r="AM25">
        <f t="shared" si="6"/>
        <v>13.7354</v>
      </c>
    </row>
    <row r="26" spans="1:39" ht="18" customHeight="1">
      <c r="B26">
        <v>900</v>
      </c>
      <c r="C26">
        <v>1100</v>
      </c>
      <c r="AG26">
        <f t="shared" si="0"/>
        <v>0</v>
      </c>
      <c r="AH26">
        <f t="shared" si="1"/>
        <v>0</v>
      </c>
      <c r="AI26">
        <f t="shared" si="2"/>
        <v>0</v>
      </c>
      <c r="AJ26">
        <f t="shared" si="3"/>
        <v>0</v>
      </c>
      <c r="AK26">
        <f t="shared" si="4"/>
        <v>0</v>
      </c>
      <c r="AL26">
        <f t="shared" si="5"/>
        <v>0</v>
      </c>
      <c r="AM26">
        <f t="shared" si="6"/>
        <v>0</v>
      </c>
    </row>
    <row r="27" spans="1:39" ht="18" customHeight="1">
      <c r="B27">
        <v>1000</v>
      </c>
      <c r="C27">
        <v>1000</v>
      </c>
      <c r="E27">
        <f>ROUND(AVERAGE(seed1!E27,seed2!E27,seed3!E27,seed4!E27,seed5!E27,seed6!E27),4)</f>
        <v>12.153600000000001</v>
      </c>
      <c r="F27">
        <f>ROUND(AVERAGE(seed1!F27,seed2!F27,seed3!F27,seed4!F27,seed5!F27,seed6!F27),4)</f>
        <v>10.6136</v>
      </c>
      <c r="G27">
        <f>ROUND(AVERAGE(seed1!G27,seed2!G27,seed3!G27,seed4!G27,seed5!G27,seed6!G27),4)</f>
        <v>14.2478</v>
      </c>
      <c r="I27">
        <f>ROUND(AVERAGE(seed1!I27,seed2!I27,seed3!I27,seed4!I27,seed5!I27,seed6!I27),4)</f>
        <v>11.6295</v>
      </c>
      <c r="J27">
        <f>ROUND(AVERAGE(seed1!J27,seed2!J27,seed3!J27,seed4!J27,seed5!J27,seed6!J27),4)</f>
        <v>10.324400000000001</v>
      </c>
      <c r="K27">
        <f>ROUND(AVERAGE(seed1!K27,seed2!K27,seed3!K27,seed4!K27,seed5!K27,seed6!K27),4)</f>
        <v>13.339700000000001</v>
      </c>
      <c r="M27">
        <f>ROUND(AVERAGE(seed1!M27,seed2!M27,seed3!M27,seed4!M27,seed5!M27,seed6!M27),4)</f>
        <v>12.3886</v>
      </c>
      <c r="N27">
        <f>ROUND(AVERAGE(seed1!N27,seed2!N27,seed3!N27,seed4!N27,seed5!N27,seed6!N27),4)</f>
        <v>10.160500000000001</v>
      </c>
      <c r="O27">
        <f>ROUND(AVERAGE(seed1!O27,seed2!O27,seed3!O27,seed4!O27,seed5!O27,seed6!O27),4)</f>
        <v>15.695399999999999</v>
      </c>
      <c r="Q27">
        <f>ROUND(AVERAGE(seed1!Q27,seed2!Q27,seed3!Q27,seed4!Q27,seed5!Q27,seed6!Q27),4)</f>
        <v>10.0823</v>
      </c>
      <c r="R27">
        <f>ROUND(AVERAGE(seed1!R27,seed2!R27,seed3!R27,seed4!R27,seed5!R27,seed6!R27),4)</f>
        <v>10.090199999999999</v>
      </c>
      <c r="S27">
        <f>ROUND(AVERAGE(seed1!S27,seed2!S27,seed3!S27,seed4!S27,seed5!S27,seed6!S27),4)</f>
        <v>10.211499999999999</v>
      </c>
      <c r="U27">
        <f>ROUND(AVERAGE(seed1!U27,seed2!U27,seed3!U27,seed4!U27,seed5!U27,seed6!U27),4)</f>
        <v>10.927</v>
      </c>
      <c r="V27">
        <f>ROUND(AVERAGE(seed1!V27,seed2!V27,seed3!V27,seed4!V27,seed5!V27,seed6!V27),4)</f>
        <v>7.7115999999999998</v>
      </c>
      <c r="W27">
        <f>ROUND(AVERAGE(seed1!W27,seed2!W27,seed3!W27,seed4!W27,seed5!W27,seed6!W27),4)</f>
        <v>16.661999999999999</v>
      </c>
      <c r="Y27">
        <f>ROUND(AVERAGE(seed1!Y27,seed2!Y27,seed3!Y27,seed4!Y27,seed5!Y27,seed6!Y27),4)</f>
        <v>12.736800000000001</v>
      </c>
      <c r="Z27">
        <f>ROUND(AVERAGE(seed1!Z27,seed2!Z27,seed3!Z27,seed4!Z27,seed5!Z27,seed6!Z27),4)</f>
        <v>10.512499999999999</v>
      </c>
      <c r="AA27">
        <f>ROUND(AVERAGE(seed1!AA27,seed2!AA27,seed3!AA27,seed4!AA27,seed5!AA27,seed6!AA27),4)</f>
        <v>15.988799999999999</v>
      </c>
      <c r="AG27">
        <f t="shared" si="0"/>
        <v>12.153600000000001</v>
      </c>
      <c r="AH27">
        <f t="shared" si="1"/>
        <v>11.6295</v>
      </c>
      <c r="AI27">
        <f t="shared" si="2"/>
        <v>0</v>
      </c>
      <c r="AJ27">
        <f t="shared" si="3"/>
        <v>12.3886</v>
      </c>
      <c r="AK27">
        <f t="shared" si="4"/>
        <v>10.0823</v>
      </c>
      <c r="AL27">
        <f t="shared" si="5"/>
        <v>10.927</v>
      </c>
      <c r="AM27">
        <f t="shared" si="6"/>
        <v>12.736800000000001</v>
      </c>
    </row>
    <row r="28" spans="1:39" ht="18" customHeight="1">
      <c r="B28">
        <v>1100</v>
      </c>
      <c r="C28">
        <v>900</v>
      </c>
      <c r="AG28">
        <f t="shared" si="0"/>
        <v>0</v>
      </c>
      <c r="AH28">
        <f t="shared" si="1"/>
        <v>0</v>
      </c>
      <c r="AI28">
        <f t="shared" si="2"/>
        <v>0</v>
      </c>
      <c r="AJ28">
        <f t="shared" si="3"/>
        <v>0</v>
      </c>
      <c r="AK28">
        <f t="shared" si="4"/>
        <v>0</v>
      </c>
      <c r="AL28">
        <f t="shared" si="5"/>
        <v>0</v>
      </c>
      <c r="AM28">
        <f t="shared" si="6"/>
        <v>0</v>
      </c>
    </row>
    <row r="29" spans="1:39" ht="18" customHeight="1">
      <c r="B29">
        <v>1200</v>
      </c>
      <c r="C29">
        <v>800</v>
      </c>
      <c r="E29">
        <f>ROUND(AVERAGE(seed1!E29,seed2!E29,seed3!E29,seed4!E29,seed5!E29,seed6!E29),4)</f>
        <v>11.1553</v>
      </c>
      <c r="F29">
        <f>ROUND(AVERAGE(seed1!F29,seed2!F29,seed3!F29,seed4!F29,seed5!F29,seed6!F29),4)</f>
        <v>9.7975999999999992</v>
      </c>
      <c r="G29">
        <f>ROUND(AVERAGE(seed1!G29,seed2!G29,seed3!G29,seed4!G29,seed5!G29,seed6!G29),4)</f>
        <v>13.996</v>
      </c>
      <c r="I29">
        <f>ROUND(AVERAGE(seed1!I29,seed2!I29,seed3!I29,seed4!I29,seed5!I29,seed6!I29),4)</f>
        <v>10.9983</v>
      </c>
      <c r="J29">
        <f>ROUND(AVERAGE(seed1!J29,seed2!J29,seed3!J29,seed4!J29,seed5!J29,seed6!J29),4)</f>
        <v>9.7056000000000004</v>
      </c>
      <c r="K29">
        <f>ROUND(AVERAGE(seed1!K29,seed2!K29,seed3!K29,seed4!K29,seed5!K29,seed6!K29),4)</f>
        <v>13.722200000000001</v>
      </c>
      <c r="M29">
        <f>ROUND(AVERAGE(seed1!M29,seed2!M29,seed3!M29,seed4!M29,seed5!M29,seed6!M29),4)</f>
        <v>11.1234</v>
      </c>
      <c r="N29">
        <f>ROUND(AVERAGE(seed1!N29,seed2!N29,seed3!N29,seed4!N29,seed5!N29,seed6!N29),4)</f>
        <v>9.2668999999999997</v>
      </c>
      <c r="O29">
        <f>ROUND(AVERAGE(seed1!O29,seed2!O29,seed3!O29,seed4!O29,seed5!O29,seed6!O29),4)</f>
        <v>15.730399999999999</v>
      </c>
      <c r="Q29">
        <f>ROUND(AVERAGE(seed1!Q29,seed2!Q29,seed3!Q29,seed4!Q29,seed5!Q29,seed6!Q29),4)</f>
        <v>9.5268999999999995</v>
      </c>
      <c r="R29">
        <f>ROUND(AVERAGE(seed1!R29,seed2!R29,seed3!R29,seed4!R29,seed5!R29,seed6!R29),4)</f>
        <v>9.1233000000000004</v>
      </c>
      <c r="S29">
        <f>ROUND(AVERAGE(seed1!S29,seed2!S29,seed3!S29,seed4!S29,seed5!S29,seed6!S29),4)</f>
        <v>10.268700000000001</v>
      </c>
      <c r="U29">
        <f>ROUND(AVERAGE(seed1!U29,seed2!U29,seed3!U29,seed4!U29,seed5!U29,seed6!U29),4)</f>
        <v>10.141</v>
      </c>
      <c r="V29">
        <f>ROUND(AVERAGE(seed1!V29,seed2!V29,seed3!V29,seed4!V29,seed5!V29,seed6!V29),4)</f>
        <v>7.8122999999999996</v>
      </c>
      <c r="W29">
        <f>ROUND(AVERAGE(seed1!W29,seed2!W29,seed3!W29,seed4!W29,seed5!W29,seed6!W29),4)</f>
        <v>16.670000000000002</v>
      </c>
      <c r="Y29">
        <f>ROUND(AVERAGE(seed1!Y29,seed2!Y29,seed3!Y29,seed4!Y29,seed5!Y29,seed6!Y29),4)</f>
        <v>11.4909</v>
      </c>
      <c r="Z29">
        <f>ROUND(AVERAGE(seed1!Z29,seed2!Z29,seed3!Z29,seed4!Z29,seed5!Z29,seed6!Z29),4)</f>
        <v>9.6948000000000008</v>
      </c>
      <c r="AA29">
        <f>ROUND(AVERAGE(seed1!AA29,seed2!AA29,seed3!AA29,seed4!AA29,seed5!AA29,seed6!AA29),4)</f>
        <v>15.746499999999999</v>
      </c>
      <c r="AG29">
        <f t="shared" si="0"/>
        <v>11.1553</v>
      </c>
      <c r="AH29">
        <f t="shared" si="1"/>
        <v>10.9983</v>
      </c>
      <c r="AI29">
        <f t="shared" si="2"/>
        <v>0</v>
      </c>
      <c r="AJ29">
        <f t="shared" si="3"/>
        <v>11.1234</v>
      </c>
      <c r="AK29">
        <f t="shared" si="4"/>
        <v>9.5268999999999995</v>
      </c>
      <c r="AL29">
        <f t="shared" si="5"/>
        <v>10.141</v>
      </c>
      <c r="AM29">
        <f t="shared" si="6"/>
        <v>11.4909</v>
      </c>
    </row>
    <row r="30" spans="1:39" ht="18" customHeight="1">
      <c r="B30">
        <v>1300</v>
      </c>
      <c r="C30">
        <v>700</v>
      </c>
      <c r="AG30">
        <f t="shared" si="0"/>
        <v>0</v>
      </c>
      <c r="AH30">
        <f t="shared" si="1"/>
        <v>0</v>
      </c>
      <c r="AI30">
        <f t="shared" si="2"/>
        <v>0</v>
      </c>
      <c r="AJ30">
        <f t="shared" si="3"/>
        <v>0</v>
      </c>
      <c r="AK30">
        <f t="shared" si="4"/>
        <v>0</v>
      </c>
      <c r="AL30">
        <f t="shared" si="5"/>
        <v>0</v>
      </c>
      <c r="AM30">
        <f t="shared" si="6"/>
        <v>0</v>
      </c>
    </row>
    <row r="31" spans="1:39" ht="18" customHeight="1">
      <c r="B31">
        <v>1400</v>
      </c>
      <c r="C31">
        <v>600</v>
      </c>
      <c r="E31">
        <f>ROUND(AVERAGE(seed1!E31,seed2!E31,seed3!E31,seed4!E31,seed5!E31,seed6!E31),4)</f>
        <v>11.6881</v>
      </c>
      <c r="F31">
        <f>ROUND(AVERAGE(seed1!F31,seed2!F31,seed3!F31,seed4!F31,seed5!F31,seed6!F31),4)</f>
        <v>11.2181</v>
      </c>
      <c r="G31">
        <f>ROUND(AVERAGE(seed1!G31,seed2!G31,seed3!G31,seed4!G31,seed5!G31,seed6!G31),4)</f>
        <v>13.012</v>
      </c>
      <c r="I31">
        <f>ROUND(AVERAGE(seed1!I31,seed2!I31,seed3!I31,seed4!I31,seed5!I31,seed6!I31),4)</f>
        <v>12.070600000000001</v>
      </c>
      <c r="J31">
        <f>ROUND(AVERAGE(seed1!J31,seed2!J31,seed3!J31,seed4!J31,seed5!J31,seed6!J31),4)</f>
        <v>11.541700000000001</v>
      </c>
      <c r="K31">
        <f>ROUND(AVERAGE(seed1!K31,seed2!K31,seed3!K31,seed4!K31,seed5!K31,seed6!K31),4)</f>
        <v>13.576599999999999</v>
      </c>
      <c r="M31">
        <f>ROUND(AVERAGE(seed1!M31,seed2!M31,seed3!M31,seed4!M31,seed5!M31,seed6!M31),4)</f>
        <v>12.202999999999999</v>
      </c>
      <c r="N31">
        <f>ROUND(AVERAGE(seed1!N31,seed2!N31,seed3!N31,seed4!N31,seed5!N31,seed6!N31),4)</f>
        <v>11.089</v>
      </c>
      <c r="O31">
        <f>ROUND(AVERAGE(seed1!O31,seed2!O31,seed3!O31,seed4!O31,seed5!O31,seed6!O31),4)</f>
        <v>16.010200000000001</v>
      </c>
      <c r="Q31">
        <f>ROUND(AVERAGE(seed1!Q31,seed2!Q31,seed3!Q31,seed4!Q31,seed5!Q31,seed6!Q31),4)</f>
        <v>10.7783</v>
      </c>
      <c r="R31">
        <f>ROUND(AVERAGE(seed1!R31,seed2!R31,seed3!R31,seed4!R31,seed5!R31,seed6!R31),4)</f>
        <v>11.339399999999999</v>
      </c>
      <c r="S31">
        <f>ROUND(AVERAGE(seed1!S31,seed2!S31,seed3!S31,seed4!S31,seed5!S31,seed6!S31),4)</f>
        <v>9.6931999999999992</v>
      </c>
      <c r="U31">
        <f>ROUND(AVERAGE(seed1!U31,seed2!U31,seed3!U31,seed4!U31,seed5!U31,seed6!U31),4)</f>
        <v>11.389099999999999</v>
      </c>
      <c r="V31">
        <f>ROUND(AVERAGE(seed1!V31,seed2!V31,seed3!V31,seed4!V31,seed5!V31,seed6!V31),4)</f>
        <v>9.9484999999999992</v>
      </c>
      <c r="W31">
        <f>ROUND(AVERAGE(seed1!W31,seed2!W31,seed3!W31,seed4!W31,seed5!W31,seed6!W31),4)</f>
        <v>16.665900000000001</v>
      </c>
      <c r="Y31">
        <f>ROUND(AVERAGE(seed1!Y31,seed2!Y31,seed3!Y31,seed4!Y31,seed5!Y31,seed6!Y31),4)</f>
        <v>11.864100000000001</v>
      </c>
      <c r="Z31">
        <f>ROUND(AVERAGE(seed1!Z31,seed2!Z31,seed3!Z31,seed4!Z31,seed5!Z31,seed6!Z31),4)</f>
        <v>10.8439</v>
      </c>
      <c r="AA31">
        <f>ROUND(AVERAGE(seed1!AA31,seed2!AA31,seed3!AA31,seed4!AA31,seed5!AA31,seed6!AA31),4)</f>
        <v>15.235099999999999</v>
      </c>
      <c r="AG31">
        <f t="shared" si="0"/>
        <v>11.6881</v>
      </c>
      <c r="AH31">
        <f t="shared" si="1"/>
        <v>12.070600000000001</v>
      </c>
      <c r="AI31">
        <f t="shared" si="2"/>
        <v>0</v>
      </c>
      <c r="AJ31">
        <f t="shared" si="3"/>
        <v>12.202999999999999</v>
      </c>
      <c r="AK31">
        <f t="shared" si="4"/>
        <v>10.7783</v>
      </c>
      <c r="AL31">
        <f t="shared" si="5"/>
        <v>11.389099999999999</v>
      </c>
      <c r="AM31">
        <f t="shared" si="6"/>
        <v>11.864100000000001</v>
      </c>
    </row>
    <row r="32" spans="1:39" ht="18" customHeight="1">
      <c r="B32">
        <v>1500</v>
      </c>
      <c r="C32">
        <v>500</v>
      </c>
      <c r="AG32">
        <f t="shared" si="0"/>
        <v>0</v>
      </c>
      <c r="AH32">
        <f t="shared" si="1"/>
        <v>0</v>
      </c>
      <c r="AI32">
        <f t="shared" si="2"/>
        <v>0</v>
      </c>
      <c r="AJ32">
        <f t="shared" si="3"/>
        <v>0</v>
      </c>
      <c r="AK32">
        <f t="shared" si="4"/>
        <v>0</v>
      </c>
      <c r="AL32">
        <f t="shared" si="5"/>
        <v>0</v>
      </c>
      <c r="AM32">
        <f t="shared" si="6"/>
        <v>0</v>
      </c>
    </row>
    <row r="33" spans="1:48" ht="18" customHeight="1">
      <c r="AG33">
        <f t="shared" si="0"/>
        <v>0</v>
      </c>
      <c r="AH33">
        <f t="shared" si="1"/>
        <v>0</v>
      </c>
      <c r="AI33">
        <f t="shared" si="2"/>
        <v>0</v>
      </c>
      <c r="AJ33">
        <f t="shared" si="3"/>
        <v>0</v>
      </c>
      <c r="AK33">
        <f t="shared" si="4"/>
        <v>0</v>
      </c>
      <c r="AL33">
        <f t="shared" si="5"/>
        <v>0</v>
      </c>
      <c r="AM33">
        <f t="shared" si="6"/>
        <v>0</v>
      </c>
    </row>
    <row r="34" spans="1:48" ht="18" customHeight="1">
      <c r="B34">
        <v>1000</v>
      </c>
      <c r="C34">
        <v>1400</v>
      </c>
      <c r="E34">
        <f>ROUND(AVERAGE(seed1!E34,seed2!E34,seed3!E34,seed4!E34,seed5!E34,seed6!E34),4)</f>
        <v>10.7143</v>
      </c>
      <c r="F34">
        <f>ROUND(AVERAGE(seed1!F34,seed2!F34,seed3!F34,seed4!F34,seed5!F34,seed6!F34),4)</f>
        <v>7.9668000000000001</v>
      </c>
      <c r="G34">
        <f>ROUND(AVERAGE(seed1!G34,seed2!G34,seed3!G34,seed4!G34,seed5!G34,seed6!G34),4)</f>
        <v>13.487500000000001</v>
      </c>
      <c r="I34">
        <f>ROUND(AVERAGE(seed1!I34,seed2!I34,seed3!I34,seed4!I34,seed5!I34,seed6!I34),4)</f>
        <v>10.588699999999999</v>
      </c>
      <c r="J34">
        <f>ROUND(AVERAGE(seed1!J34,seed2!J34,seed3!J34,seed4!J34,seed5!J34,seed6!J34),4)</f>
        <v>8.4017999999999997</v>
      </c>
      <c r="K34">
        <f>ROUND(AVERAGE(seed1!K34,seed2!K34,seed3!K34,seed4!K34,seed5!K34,seed6!K34),4)</f>
        <v>12.6554</v>
      </c>
      <c r="M34">
        <f>ROUND(AVERAGE(seed1!M34,seed2!M34,seed3!M34,seed4!M34,seed5!M34,seed6!M34),4)</f>
        <v>10.7828</v>
      </c>
      <c r="N34">
        <f>ROUND(AVERAGE(seed1!N34,seed2!N34,seed3!N34,seed4!N34,seed5!N34,seed6!N34),4)</f>
        <v>6.7526000000000002</v>
      </c>
      <c r="O34">
        <f>ROUND(AVERAGE(seed1!O34,seed2!O34,seed3!O34,seed4!O34,seed5!O34,seed6!O34),4)</f>
        <v>16.123100000000001</v>
      </c>
      <c r="Q34">
        <f>ROUND(AVERAGE(seed1!Q34,seed2!Q34,seed3!Q34,seed4!Q34,seed5!Q34,seed6!Q34),4)</f>
        <v>9.2373999999999992</v>
      </c>
      <c r="R34">
        <f>ROUND(AVERAGE(seed1!R34,seed2!R34,seed3!R34,seed4!R34,seed5!R34,seed6!R34),4)</f>
        <v>10.1401</v>
      </c>
      <c r="S34">
        <f>ROUND(AVERAGE(seed1!S34,seed2!S34,seed3!S34,seed4!S34,seed5!S34,seed6!S34),4)</f>
        <v>8.6684999999999999</v>
      </c>
      <c r="U34">
        <f>ROUND(AVERAGE(seed1!U34,seed2!U34,seed3!U34,seed4!U34,seed5!U34,seed6!U34),4)</f>
        <v>9.4702000000000002</v>
      </c>
      <c r="V34">
        <f>ROUND(AVERAGE(seed1!V34,seed2!V34,seed3!V34,seed4!V34,seed5!V34,seed6!V34),4)</f>
        <v>4.6981999999999999</v>
      </c>
      <c r="W34">
        <f>ROUND(AVERAGE(seed1!W34,seed2!W34,seed3!W34,seed4!W34,seed5!W34,seed6!W34),4)</f>
        <v>16.670000000000002</v>
      </c>
      <c r="Y34">
        <f>ROUND(AVERAGE(seed1!Y34,seed2!Y34,seed3!Y34,seed4!Y34,seed5!Y34,seed6!Y34),4)</f>
        <v>11.8568</v>
      </c>
      <c r="Z34">
        <f>ROUND(AVERAGE(seed1!Z34,seed2!Z34,seed3!Z34,seed4!Z34,seed5!Z34,seed6!Z34),4)</f>
        <v>8.2377000000000002</v>
      </c>
      <c r="AA34">
        <f>ROUND(AVERAGE(seed1!AA34,seed2!AA34,seed3!AA34,seed4!AA34,seed5!AA34,seed6!AA34),4)</f>
        <v>15.972</v>
      </c>
      <c r="AG34">
        <f t="shared" si="0"/>
        <v>10.7143</v>
      </c>
      <c r="AH34">
        <f t="shared" si="1"/>
        <v>10.588699999999999</v>
      </c>
      <c r="AI34">
        <f t="shared" si="2"/>
        <v>0</v>
      </c>
      <c r="AJ34">
        <f t="shared" si="3"/>
        <v>10.7828</v>
      </c>
      <c r="AK34">
        <f t="shared" si="4"/>
        <v>9.2373999999999992</v>
      </c>
      <c r="AL34">
        <f t="shared" si="5"/>
        <v>9.4702000000000002</v>
      </c>
      <c r="AM34">
        <f t="shared" si="6"/>
        <v>11.8568</v>
      </c>
    </row>
    <row r="35" spans="1:48" ht="18" customHeight="1">
      <c r="B35">
        <v>1200</v>
      </c>
      <c r="C35">
        <v>1200</v>
      </c>
      <c r="E35">
        <f>ROUND(AVERAGE(seed1!E35,seed2!E35,seed3!E35,seed4!E35,seed5!E35,seed6!E35),4)</f>
        <v>9.8841999999999999</v>
      </c>
      <c r="F35">
        <f>ROUND(AVERAGE(seed1!F35,seed2!F35,seed3!F35,seed4!F35,seed5!F35,seed6!F35),4)</f>
        <v>7.9907000000000004</v>
      </c>
      <c r="G35">
        <f>ROUND(AVERAGE(seed1!G35,seed2!G35,seed3!G35,seed4!G35,seed5!G35,seed6!G35),4)</f>
        <v>12.5352</v>
      </c>
      <c r="I35">
        <f>ROUND(AVERAGE(seed1!I35,seed2!I35,seed3!I35,seed4!I35,seed5!I35,seed6!I35),4)</f>
        <v>9.4588999999999999</v>
      </c>
      <c r="J35">
        <f>ROUND(AVERAGE(seed1!J35,seed2!J35,seed3!J35,seed4!J35,seed5!J35,seed6!J35),4)</f>
        <v>7.5606</v>
      </c>
      <c r="K35">
        <f>ROUND(AVERAGE(seed1!K35,seed2!K35,seed3!K35,seed4!K35,seed5!K35,seed6!K35),4)</f>
        <v>12.134499999999999</v>
      </c>
      <c r="M35">
        <f>ROUND(AVERAGE(seed1!M35,seed2!M35,seed3!M35,seed4!M35,seed5!M35,seed6!M35),4)</f>
        <v>9.8204999999999991</v>
      </c>
      <c r="N35">
        <f>ROUND(AVERAGE(seed1!N35,seed2!N35,seed3!N35,seed4!N35,seed5!N35,seed6!N35),4)</f>
        <v>6.5534999999999997</v>
      </c>
      <c r="O35">
        <f>ROUND(AVERAGE(seed1!O35,seed2!O35,seed3!O35,seed4!O35,seed5!O35,seed6!O35),4)</f>
        <v>15.8589</v>
      </c>
      <c r="Q35">
        <f>ROUND(AVERAGE(seed1!Q35,seed2!Q35,seed3!Q35,seed4!Q35,seed5!Q35,seed6!Q35),4)</f>
        <v>8.4916</v>
      </c>
      <c r="R35">
        <f>ROUND(AVERAGE(seed1!R35,seed2!R35,seed3!R35,seed4!R35,seed5!R35,seed6!R35),4)</f>
        <v>9.7459000000000007</v>
      </c>
      <c r="S35">
        <f>ROUND(AVERAGE(seed1!S35,seed2!S35,seed3!S35,seed4!S35,seed5!S35,seed6!S35),4)</f>
        <v>7.6071</v>
      </c>
      <c r="U35">
        <f>ROUND(AVERAGE(seed1!U35,seed2!U35,seed3!U35,seed4!U35,seed5!U35,seed6!U35),4)</f>
        <v>8.3233999999999995</v>
      </c>
      <c r="V35">
        <f>ROUND(AVERAGE(seed1!V35,seed2!V35,seed3!V35,seed4!V35,seed5!V35,seed6!V35),4)</f>
        <v>4.3902000000000001</v>
      </c>
      <c r="W35">
        <f>ROUND(AVERAGE(seed1!W35,seed2!W35,seed3!W35,seed4!W35,seed5!W35,seed6!W35),4)</f>
        <v>16.665400000000002</v>
      </c>
      <c r="Y35">
        <f>ROUND(AVERAGE(seed1!Y35,seed2!Y35,seed3!Y35,seed4!Y35,seed5!Y35,seed6!Y35),4)</f>
        <v>10.667400000000001</v>
      </c>
      <c r="Z35">
        <f>ROUND(AVERAGE(seed1!Z35,seed2!Z35,seed3!Z35,seed4!Z35,seed5!Z35,seed6!Z35),4)</f>
        <v>7.8792</v>
      </c>
      <c r="AA35">
        <f>ROUND(AVERAGE(seed1!AA35,seed2!AA35,seed3!AA35,seed4!AA35,seed5!AA35,seed6!AA35),4)</f>
        <v>15.3207</v>
      </c>
      <c r="AG35">
        <f t="shared" si="0"/>
        <v>9.8841999999999999</v>
      </c>
      <c r="AH35">
        <f t="shared" si="1"/>
        <v>9.4588999999999999</v>
      </c>
      <c r="AI35">
        <f t="shared" si="2"/>
        <v>0</v>
      </c>
      <c r="AJ35">
        <f t="shared" si="3"/>
        <v>9.8204999999999991</v>
      </c>
      <c r="AK35">
        <f t="shared" si="4"/>
        <v>8.4916</v>
      </c>
      <c r="AL35">
        <f t="shared" si="5"/>
        <v>8.3233999999999995</v>
      </c>
      <c r="AM35">
        <f t="shared" si="6"/>
        <v>10.667400000000001</v>
      </c>
    </row>
    <row r="36" spans="1:48" ht="18" customHeight="1">
      <c r="B36">
        <v>1400</v>
      </c>
      <c r="C36">
        <v>1000</v>
      </c>
      <c r="E36">
        <f>ROUND(AVERAGE(seed1!E36,seed2!E36,seed3!E36,seed4!E36,seed5!E36,seed6!E36),4)</f>
        <v>8.9311000000000007</v>
      </c>
      <c r="F36">
        <f>ROUND(AVERAGE(seed1!F36,seed2!F36,seed3!F36,seed4!F36,seed5!F36,seed6!F36),4)</f>
        <v>7.3994999999999997</v>
      </c>
      <c r="G36">
        <f>ROUND(AVERAGE(seed1!G36,seed2!G36,seed3!G36,seed4!G36,seed5!G36,seed6!G36),4)</f>
        <v>11.818899999999999</v>
      </c>
      <c r="I36">
        <f>ROUND(AVERAGE(seed1!I36,seed2!I36,seed3!I36,seed4!I36,seed5!I36,seed6!I36),4)</f>
        <v>8.3477999999999994</v>
      </c>
      <c r="J36">
        <f>ROUND(AVERAGE(seed1!J36,seed2!J36,seed3!J36,seed4!J36,seed5!J36,seed6!J36),4)</f>
        <v>7.1475</v>
      </c>
      <c r="K36">
        <f>ROUND(AVERAGE(seed1!K36,seed2!K36,seed3!K36,seed4!K36,seed5!K36,seed6!K36),4)</f>
        <v>10.527100000000001</v>
      </c>
      <c r="M36">
        <f>ROUND(AVERAGE(seed1!M36,seed2!M36,seed3!M36,seed4!M36,seed5!M36,seed6!M36),4)</f>
        <v>9.5821000000000005</v>
      </c>
      <c r="N36">
        <f>ROUND(AVERAGE(seed1!N36,seed2!N36,seed3!N36,seed4!N36,seed5!N36,seed6!N36),4)</f>
        <v>7.0677000000000003</v>
      </c>
      <c r="O36">
        <f>ROUND(AVERAGE(seed1!O36,seed2!O36,seed3!O36,seed4!O36,seed5!O36,seed6!O36),4)</f>
        <v>15.695499999999999</v>
      </c>
      <c r="Q36">
        <f>ROUND(AVERAGE(seed1!Q36,seed2!Q36,seed3!Q36,seed4!Q36,seed5!Q36,seed6!Q36),4)</f>
        <v>7.9107000000000003</v>
      </c>
      <c r="R36">
        <f>ROUND(AVERAGE(seed1!R36,seed2!R36,seed3!R36,seed4!R36,seed5!R36,seed6!R36),4)</f>
        <v>7.9153000000000002</v>
      </c>
      <c r="S36">
        <f>ROUND(AVERAGE(seed1!S36,seed2!S36,seed3!S36,seed4!S36,seed5!S36,seed6!S36),4)</f>
        <v>8.2043999999999997</v>
      </c>
      <c r="U36">
        <f>ROUND(AVERAGE(seed1!U36,seed2!U36,seed3!U36,seed4!U36,seed5!U36,seed6!U36),4)</f>
        <v>8.7677999999999994</v>
      </c>
      <c r="V36">
        <f>ROUND(AVERAGE(seed1!V36,seed2!V36,seed3!V36,seed4!V36,seed5!V36,seed6!V36),4)</f>
        <v>5.8852000000000002</v>
      </c>
      <c r="W36">
        <f>ROUND(AVERAGE(seed1!W36,seed2!W36,seed3!W36,seed4!W36,seed5!W36,seed6!W36),4)</f>
        <v>16.6435</v>
      </c>
      <c r="Y36">
        <f>ROUND(AVERAGE(seed1!Y36,seed2!Y36,seed3!Y36,seed4!Y36,seed5!Y36,seed6!Y36),4)</f>
        <v>9.8249999999999993</v>
      </c>
      <c r="Z36">
        <f>ROUND(AVERAGE(seed1!Z36,seed2!Z36,seed3!Z36,seed4!Z36,seed5!Z36,seed6!Z36),4)</f>
        <v>7.5861999999999998</v>
      </c>
      <c r="AA36">
        <f>ROUND(AVERAGE(seed1!AA36,seed2!AA36,seed3!AA36,seed4!AA36,seed5!AA36,seed6!AA36),4)</f>
        <v>14.8104</v>
      </c>
      <c r="AG36">
        <f t="shared" si="0"/>
        <v>8.9311000000000007</v>
      </c>
      <c r="AH36">
        <f t="shared" si="1"/>
        <v>8.3477999999999994</v>
      </c>
      <c r="AI36">
        <f t="shared" si="2"/>
        <v>0</v>
      </c>
      <c r="AJ36">
        <f t="shared" si="3"/>
        <v>9.5821000000000005</v>
      </c>
      <c r="AK36">
        <f t="shared" si="4"/>
        <v>7.9107000000000003</v>
      </c>
      <c r="AL36">
        <f t="shared" si="5"/>
        <v>8.7677999999999994</v>
      </c>
      <c r="AM36">
        <f t="shared" si="6"/>
        <v>9.8249999999999993</v>
      </c>
    </row>
    <row r="37" spans="1:48" s="2" customFormat="1" ht="18" customHeight="1">
      <c r="B37" s="2">
        <v>800</v>
      </c>
      <c r="C37" s="2">
        <v>800</v>
      </c>
      <c r="E37">
        <f>ROUND(AVERAGE(seed1!E37,seed2!E37,seed3!E37,seed4!E37,seed5!E37,seed6!E37),4)</f>
        <v>14.233599999999999</v>
      </c>
      <c r="F37">
        <f>ROUND(AVERAGE(seed1!F37,seed2!F37,seed3!F37,seed4!F37,seed5!F37,seed6!F37),4)</f>
        <v>13.1945</v>
      </c>
      <c r="G37">
        <f>ROUND(AVERAGE(seed1!G37,seed2!G37,seed3!G37,seed4!G37,seed5!G37,seed6!G37),4)</f>
        <v>15.4747</v>
      </c>
      <c r="H37"/>
      <c r="I37">
        <f>ROUND(AVERAGE(seed1!I37,seed2!I37,seed3!I37,seed4!I37,seed5!I37,seed6!I37),4)</f>
        <v>14.081099999999999</v>
      </c>
      <c r="J37">
        <f>ROUND(AVERAGE(seed1!J37,seed2!J37,seed3!J37,seed4!J37,seed5!J37,seed6!J37),4)</f>
        <v>13.220700000000001</v>
      </c>
      <c r="K37">
        <f>ROUND(AVERAGE(seed1!K37,seed2!K37,seed3!K37,seed4!K37,seed5!K37,seed6!K37),4)</f>
        <v>15.112299999999999</v>
      </c>
      <c r="L37"/>
      <c r="M37">
        <f>ROUND(AVERAGE(seed1!M37,seed2!M37,seed3!M37,seed4!M37,seed5!M37,seed6!M37),4)</f>
        <v>14.3621</v>
      </c>
      <c r="N37">
        <f>ROUND(AVERAGE(seed1!N37,seed2!N37,seed3!N37,seed4!N37,seed5!N37,seed6!N37),4)</f>
        <v>12.6592</v>
      </c>
      <c r="O37">
        <f>ROUND(AVERAGE(seed1!O37,seed2!O37,seed3!O37,seed4!O37,seed5!O37,seed6!O37),4)</f>
        <v>16.4559</v>
      </c>
      <c r="P37"/>
      <c r="Q37">
        <f>ROUND(AVERAGE(seed1!Q37,seed2!Q37,seed3!Q37,seed4!Q37,seed5!Q37,seed6!Q37),4)</f>
        <v>13.967000000000001</v>
      </c>
      <c r="R37">
        <f>ROUND(AVERAGE(seed1!R37,seed2!R37,seed3!R37,seed4!R37,seed5!R37,seed6!R37),4)</f>
        <v>13.615399999999999</v>
      </c>
      <c r="S37">
        <f>ROUND(AVERAGE(seed1!S37,seed2!S37,seed3!S37,seed4!S37,seed5!S37,seed6!S37),4)</f>
        <v>14.378500000000001</v>
      </c>
      <c r="T37"/>
      <c r="U37">
        <f>ROUND(AVERAGE(seed1!U37,seed2!U37,seed3!U37,seed4!U37,seed5!U37,seed6!U37),4)</f>
        <v>13.1373</v>
      </c>
      <c r="V37">
        <f>ROUND(AVERAGE(seed1!V37,seed2!V37,seed3!V37,seed4!V37,seed5!V37,seed6!V37),4)</f>
        <v>10.602499999999999</v>
      </c>
      <c r="W37">
        <f>ROUND(AVERAGE(seed1!W37,seed2!W37,seed3!W37,seed4!W37,seed5!W37,seed6!W37),4)</f>
        <v>16.670000000000002</v>
      </c>
      <c r="X37"/>
      <c r="Y37">
        <f>ROUND(AVERAGE(seed1!Y37,seed2!Y37,seed3!Y37,seed4!Y37,seed5!Y37,seed6!Y37),4)</f>
        <v>14.4665</v>
      </c>
      <c r="Z37">
        <f>ROUND(AVERAGE(seed1!Z37,seed2!Z37,seed3!Z37,seed4!Z37,seed5!Z37,seed6!Z37),4)</f>
        <v>12.882199999999999</v>
      </c>
      <c r="AA37">
        <f>ROUND(AVERAGE(seed1!AA37,seed2!AA37,seed3!AA37,seed4!AA37,seed5!AA37,seed6!AA37),4)</f>
        <v>16.459599999999998</v>
      </c>
      <c r="AG37">
        <f t="shared" si="0"/>
        <v>14.233599999999999</v>
      </c>
      <c r="AH37">
        <f t="shared" si="1"/>
        <v>14.081099999999999</v>
      </c>
      <c r="AI37">
        <f t="shared" si="2"/>
        <v>0</v>
      </c>
      <c r="AJ37">
        <f t="shared" si="3"/>
        <v>14.3621</v>
      </c>
      <c r="AK37">
        <f t="shared" si="4"/>
        <v>13.967000000000001</v>
      </c>
      <c r="AL37">
        <f t="shared" si="5"/>
        <v>13.1373</v>
      </c>
      <c r="AM37">
        <f t="shared" si="6"/>
        <v>14.4665</v>
      </c>
    </row>
    <row r="38" spans="1:48" ht="18" customHeight="1">
      <c r="AG38">
        <f t="shared" si="0"/>
        <v>0</v>
      </c>
      <c r="AH38">
        <f t="shared" si="1"/>
        <v>0</v>
      </c>
      <c r="AI38">
        <f t="shared" si="2"/>
        <v>0</v>
      </c>
      <c r="AJ38">
        <f t="shared" si="3"/>
        <v>0</v>
      </c>
      <c r="AK38">
        <f t="shared" si="4"/>
        <v>0</v>
      </c>
      <c r="AL38">
        <f t="shared" si="5"/>
        <v>0</v>
      </c>
      <c r="AM38">
        <f t="shared" si="6"/>
        <v>0</v>
      </c>
    </row>
    <row r="39" spans="1:48" ht="18" customHeight="1">
      <c r="A39" t="s">
        <v>14</v>
      </c>
      <c r="B39">
        <v>500</v>
      </c>
      <c r="C39">
        <v>1500</v>
      </c>
      <c r="AG39">
        <f t="shared" si="0"/>
        <v>0</v>
      </c>
      <c r="AH39">
        <f t="shared" si="1"/>
        <v>0</v>
      </c>
      <c r="AI39">
        <f t="shared" si="2"/>
        <v>0</v>
      </c>
      <c r="AJ39">
        <f t="shared" si="3"/>
        <v>0</v>
      </c>
      <c r="AK39">
        <f t="shared" si="4"/>
        <v>0</v>
      </c>
      <c r="AL39">
        <f t="shared" si="5"/>
        <v>0</v>
      </c>
      <c r="AM39">
        <f t="shared" si="6"/>
        <v>0</v>
      </c>
      <c r="AP39" t="s">
        <v>30</v>
      </c>
      <c r="AQ39" t="s">
        <v>31</v>
      </c>
      <c r="AR39" t="s">
        <v>32</v>
      </c>
      <c r="AS39" t="s">
        <v>33</v>
      </c>
      <c r="AT39" t="s">
        <v>34</v>
      </c>
      <c r="AU39" t="s">
        <v>35</v>
      </c>
      <c r="AV39" t="s">
        <v>36</v>
      </c>
    </row>
    <row r="40" spans="1:48" ht="18" customHeight="1">
      <c r="A40" t="s">
        <v>19</v>
      </c>
      <c r="B40">
        <v>600</v>
      </c>
      <c r="C40">
        <v>1400</v>
      </c>
      <c r="E40">
        <f>ROUND(AVERAGE(seed1!E40,seed2!E40,seed3!E40,seed4!E40,seed5!E40,seed6!E40),4)</f>
        <v>13.495900000000001</v>
      </c>
      <c r="F40">
        <f>ROUND(AVERAGE(seed1!F40,seed2!F40,seed3!F40,seed4!F40,seed5!F40,seed6!F40),4)</f>
        <v>9.9887999999999995</v>
      </c>
      <c r="G40">
        <f>ROUND(AVERAGE(seed1!G40,seed2!G40,seed3!G40,seed4!G40,seed5!G40,seed6!G40),4)</f>
        <v>15.5192</v>
      </c>
      <c r="I40">
        <f>ROUND(AVERAGE(seed1!I40,seed2!I40,seed3!I40,seed4!I40,seed5!I40,seed6!I40),4)</f>
        <v>13.307499999999999</v>
      </c>
      <c r="J40">
        <f>ROUND(AVERAGE(seed1!J40,seed2!J40,seed3!J40,seed4!J40,seed5!J40,seed6!J40),4)</f>
        <v>10.248699999999999</v>
      </c>
      <c r="K40">
        <f>ROUND(AVERAGE(seed1!K40,seed2!K40,seed3!K40,seed4!K40,seed5!K40,seed6!K40),4)</f>
        <v>15.0106</v>
      </c>
      <c r="M40">
        <f>ROUND(AVERAGE(seed1!M40,seed2!M40,seed3!M40,seed4!M40,seed5!M40,seed6!M40),4)</f>
        <v>12.0641</v>
      </c>
      <c r="N40">
        <f>ROUND(AVERAGE(seed1!N40,seed2!N40,seed3!N40,seed4!N40,seed5!N40,seed6!N40),4)</f>
        <v>6.3091999999999997</v>
      </c>
      <c r="O40">
        <f>ROUND(AVERAGE(seed1!O40,seed2!O40,seed3!O40,seed4!O40,seed5!O40,seed6!O40),4)</f>
        <v>16.642499999999998</v>
      </c>
      <c r="Q40">
        <f>ROUND(AVERAGE(seed1!Q40,seed2!Q40,seed3!Q40,seed4!Q40,seed5!Q40,seed6!Q40),4)</f>
        <v>12.5297</v>
      </c>
      <c r="R40">
        <f>ROUND(AVERAGE(seed1!R40,seed2!R40,seed3!R40,seed4!R40,seed5!R40,seed6!R40),4)</f>
        <v>13.440899999999999</v>
      </c>
      <c r="S40">
        <f>ROUND(AVERAGE(seed1!S40,seed2!S40,seed3!S40,seed4!S40,seed5!S40,seed6!S40),4)</f>
        <v>12.2111</v>
      </c>
      <c r="U40">
        <f>ROUND(AVERAGE(seed1!U40,seed2!U40,seed3!U40,seed4!U40,seed5!U40,seed6!U40),4)</f>
        <v>11.726699999999999</v>
      </c>
      <c r="V40">
        <f>ROUND(AVERAGE(seed1!V40,seed2!V40,seed3!V40,seed4!V40,seed5!V40,seed6!V40),4)</f>
        <v>5.7793999999999999</v>
      </c>
      <c r="W40">
        <f>ROUND(AVERAGE(seed1!W40,seed2!W40,seed3!W40,seed4!W40,seed5!W40,seed6!W40),4)</f>
        <v>16.667899999999999</v>
      </c>
      <c r="Y40">
        <f>ROUND(AVERAGE(seed1!Y40,seed2!Y40,seed3!Y40,seed4!Y40,seed5!Y40,seed6!Y40),4)</f>
        <v>13.4322</v>
      </c>
      <c r="Z40">
        <f>ROUND(AVERAGE(seed1!Z40,seed2!Z40,seed3!Z40,seed4!Z40,seed5!Z40,seed6!Z40),4)</f>
        <v>9.0548999999999999</v>
      </c>
      <c r="AA40">
        <f>ROUND(AVERAGE(seed1!AA40,seed2!AA40,seed3!AA40,seed4!AA40,seed5!AA40,seed6!AA40),4)</f>
        <v>16.3779</v>
      </c>
      <c r="AC40">
        <f>ROUND(AVERAGE(seed1!AC40,seed2!AC40,seed3!AC40,seed4!AC40,seed5!AC40,seed6!AC40),4)</f>
        <v>13.3492</v>
      </c>
      <c r="AD40">
        <f>ROUND(AVERAGE(seed1!AD40,seed2!AD40,seed3!AD40,seed4!AD40,seed5!AD40,seed6!AD40),4)</f>
        <v>9.3947000000000003</v>
      </c>
      <c r="AE40">
        <f>ROUND(AVERAGE(seed1!AE40,seed2!AE40,seed3!AE40,seed4!AE40,seed5!AE40,seed6!AE40),4)</f>
        <v>15.7217</v>
      </c>
      <c r="AG40">
        <f t="shared" si="0"/>
        <v>13.495900000000001</v>
      </c>
      <c r="AH40">
        <f t="shared" si="1"/>
        <v>13.307499999999999</v>
      </c>
      <c r="AI40">
        <f t="shared" si="2"/>
        <v>13.3492</v>
      </c>
      <c r="AJ40">
        <f t="shared" si="3"/>
        <v>12.0641</v>
      </c>
      <c r="AK40">
        <f t="shared" si="4"/>
        <v>12.5297</v>
      </c>
      <c r="AL40">
        <f t="shared" si="5"/>
        <v>11.726699999999999</v>
      </c>
      <c r="AM40">
        <f t="shared" si="6"/>
        <v>13.4322</v>
      </c>
      <c r="AO40">
        <v>1</v>
      </c>
      <c r="AP40">
        <f>M40</f>
        <v>12.0641</v>
      </c>
      <c r="AQ40">
        <f>Q40</f>
        <v>12.5297</v>
      </c>
      <c r="AR40">
        <f>AK40</f>
        <v>12.5297</v>
      </c>
      <c r="AS40">
        <f>U40</f>
        <v>11.726699999999999</v>
      </c>
      <c r="AT40">
        <f>Y40</f>
        <v>13.4322</v>
      </c>
      <c r="AU40">
        <f>AC40</f>
        <v>13.3492</v>
      </c>
      <c r="AV40">
        <f>AG40</f>
        <v>13.495900000000001</v>
      </c>
    </row>
    <row r="41" spans="1:48" ht="18" customHeight="1">
      <c r="A41" t="s">
        <v>16</v>
      </c>
      <c r="B41">
        <v>700</v>
      </c>
      <c r="C41">
        <v>1300</v>
      </c>
      <c r="AG41">
        <f t="shared" si="0"/>
        <v>0</v>
      </c>
      <c r="AH41">
        <f t="shared" si="1"/>
        <v>0</v>
      </c>
      <c r="AI41">
        <f t="shared" si="2"/>
        <v>0</v>
      </c>
      <c r="AJ41">
        <f t="shared" si="3"/>
        <v>0</v>
      </c>
      <c r="AK41">
        <f t="shared" si="4"/>
        <v>0</v>
      </c>
      <c r="AL41">
        <f t="shared" si="5"/>
        <v>0</v>
      </c>
      <c r="AM41">
        <f t="shared" si="6"/>
        <v>0</v>
      </c>
      <c r="AO41">
        <v>2</v>
      </c>
      <c r="AP41">
        <v>12.071999999999999</v>
      </c>
      <c r="AQ41">
        <v>11.9626</v>
      </c>
      <c r="AR41">
        <v>12.017200000000001</v>
      </c>
      <c r="AS41">
        <v>11.556100000000001</v>
      </c>
      <c r="AT41">
        <v>11.746600000000001</v>
      </c>
      <c r="AU41">
        <v>10.013</v>
      </c>
      <c r="AV41">
        <v>11.4915</v>
      </c>
    </row>
    <row r="42" spans="1:48" ht="18" customHeight="1">
      <c r="A42" t="s">
        <v>17</v>
      </c>
      <c r="B42">
        <v>800</v>
      </c>
      <c r="C42">
        <v>1200</v>
      </c>
      <c r="E42">
        <f>ROUND(AVERAGE(seed1!E42,seed2!E42,seed3!E42,seed4!E42,seed5!E42,seed6!E42),4)</f>
        <v>12.071999999999999</v>
      </c>
      <c r="F42">
        <f>ROUND(AVERAGE(seed1!F42,seed2!F42,seed3!F42,seed4!F42,seed5!F42,seed6!F42),4)</f>
        <v>9.3780999999999999</v>
      </c>
      <c r="G42">
        <f>ROUND(AVERAGE(seed1!G42,seed2!G42,seed3!G42,seed4!G42,seed5!G42,seed6!G42),4)</f>
        <v>14.546099999999999</v>
      </c>
      <c r="I42">
        <f>ROUND(AVERAGE(seed1!I42,seed2!I42,seed3!I42,seed4!I42,seed5!I42,seed6!I42),4)</f>
        <v>11.9626</v>
      </c>
      <c r="J42">
        <f>ROUND(AVERAGE(seed1!J42,seed2!J42,seed3!J42,seed4!J42,seed5!J42,seed6!J42),4)</f>
        <v>9.4857999999999993</v>
      </c>
      <c r="K42">
        <f>ROUND(AVERAGE(seed1!K42,seed2!K42,seed3!K42,seed4!K42,seed5!K42,seed6!K42),4)</f>
        <v>14.3163</v>
      </c>
      <c r="M42">
        <f>ROUND(AVERAGE(seed1!M42,seed2!M42,seed3!M42,seed4!M42,seed5!M42,seed6!M42),4)</f>
        <v>11.556100000000001</v>
      </c>
      <c r="N42">
        <f>ROUND(AVERAGE(seed1!N42,seed2!N42,seed3!N42,seed4!N42,seed5!N42,seed6!N42),4)</f>
        <v>7.2755999999999998</v>
      </c>
      <c r="O42">
        <f>ROUND(AVERAGE(seed1!O42,seed2!O42,seed3!O42,seed4!O42,seed5!O42,seed6!O42),4)</f>
        <v>16.5641</v>
      </c>
      <c r="Q42">
        <f>ROUND(AVERAGE(seed1!Q42,seed2!Q42,seed3!Q42,seed4!Q42,seed5!Q42,seed6!Q42),4)</f>
        <v>11.746600000000001</v>
      </c>
      <c r="R42">
        <f>ROUND(AVERAGE(seed1!R42,seed2!R42,seed3!R42,seed4!R42,seed5!R42,seed6!R42),4)</f>
        <v>12.594099999999999</v>
      </c>
      <c r="S42">
        <f>ROUND(AVERAGE(seed1!S42,seed2!S42,seed3!S42,seed4!S42,seed5!S42,seed6!S42),4)</f>
        <v>11.2378</v>
      </c>
      <c r="U42">
        <f>ROUND(AVERAGE(seed1!U42,seed2!U42,seed3!U42,seed4!U42,seed5!U42,seed6!U42),4)</f>
        <v>10.013</v>
      </c>
      <c r="V42">
        <f>ROUND(AVERAGE(seed1!V42,seed2!V42,seed3!V42,seed4!V42,seed5!V42,seed6!V42),4)</f>
        <v>5.1157000000000004</v>
      </c>
      <c r="W42">
        <f>ROUND(AVERAGE(seed1!W42,seed2!W42,seed3!W42,seed4!W42,seed5!W42,seed6!W42),4)</f>
        <v>16.666899999999998</v>
      </c>
      <c r="Y42">
        <f>ROUND(AVERAGE(seed1!Y42,seed2!Y42,seed3!Y42,seed4!Y42,seed5!Y42,seed6!Y42),4)</f>
        <v>11.4915</v>
      </c>
      <c r="Z42">
        <f>ROUND(AVERAGE(seed1!Z42,seed2!Z42,seed3!Z42,seed4!Z42,seed5!Z42,seed6!Z42),4)</f>
        <v>7.2127999999999997</v>
      </c>
      <c r="AA42">
        <f>ROUND(AVERAGE(seed1!AA42,seed2!AA42,seed3!AA42,seed4!AA42,seed5!AA42,seed6!AA42),4)</f>
        <v>16.366700000000002</v>
      </c>
      <c r="AC42">
        <f>ROUND(AVERAGE(seed1!AC42,seed2!AC42,seed3!AC42,seed4!AC42,seed5!AC42,seed6!AC42),4)</f>
        <v>12.017200000000001</v>
      </c>
      <c r="AD42">
        <f>ROUND(AVERAGE(seed1!AD42,seed2!AD42,seed3!AD42,seed4!AD42,seed5!AD42,seed6!AD42),4)</f>
        <v>9.3253000000000004</v>
      </c>
      <c r="AE42">
        <f>ROUND(AVERAGE(seed1!AE42,seed2!AE42,seed3!AE42,seed4!AE42,seed5!AE42,seed6!AE42),4)</f>
        <v>14.496499999999999</v>
      </c>
      <c r="AG42">
        <f t="shared" ref="AG42" si="7">E42</f>
        <v>12.071999999999999</v>
      </c>
      <c r="AH42">
        <f t="shared" ref="AH42" si="8">I42</f>
        <v>11.9626</v>
      </c>
      <c r="AI42">
        <f t="shared" ref="AI42" si="9">AC42</f>
        <v>12.017200000000001</v>
      </c>
      <c r="AJ42">
        <f t="shared" ref="AJ42" si="10">M42</f>
        <v>11.556100000000001</v>
      </c>
      <c r="AK42">
        <f t="shared" ref="AK42" si="11">Q42</f>
        <v>11.746600000000001</v>
      </c>
      <c r="AL42">
        <f t="shared" ref="AL42" si="12">U42</f>
        <v>10.013</v>
      </c>
      <c r="AM42">
        <f t="shared" ref="AM42" si="13">Y42</f>
        <v>11.4915</v>
      </c>
      <c r="AO42">
        <v>3</v>
      </c>
      <c r="AP42">
        <v>11.3432</v>
      </c>
      <c r="AQ42">
        <v>11.4078</v>
      </c>
      <c r="AR42">
        <v>11.267799999999999</v>
      </c>
      <c r="AS42">
        <v>10.0128</v>
      </c>
      <c r="AT42">
        <v>10.948499999999999</v>
      </c>
      <c r="AU42">
        <v>8.8713999999999995</v>
      </c>
      <c r="AV42">
        <v>10.4533</v>
      </c>
    </row>
    <row r="43" spans="1:48" ht="18" customHeight="1">
      <c r="B43">
        <v>900</v>
      </c>
      <c r="C43">
        <v>1100</v>
      </c>
      <c r="AG43">
        <f t="shared" si="0"/>
        <v>0</v>
      </c>
      <c r="AH43">
        <f t="shared" si="1"/>
        <v>0</v>
      </c>
      <c r="AI43">
        <f t="shared" si="2"/>
        <v>0</v>
      </c>
      <c r="AJ43">
        <f t="shared" si="3"/>
        <v>0</v>
      </c>
      <c r="AK43">
        <f t="shared" si="4"/>
        <v>0</v>
      </c>
      <c r="AL43">
        <f t="shared" si="5"/>
        <v>0</v>
      </c>
      <c r="AM43">
        <f t="shared" si="6"/>
        <v>0</v>
      </c>
      <c r="AO43">
        <v>4</v>
      </c>
      <c r="AP43">
        <v>9.2585999999999995</v>
      </c>
      <c r="AQ43">
        <v>9.3597999999999999</v>
      </c>
      <c r="AR43">
        <v>9.8650000000000002</v>
      </c>
      <c r="AS43">
        <v>8.6357999999999997</v>
      </c>
      <c r="AT43">
        <v>9.4963999999999995</v>
      </c>
      <c r="AU43">
        <v>7.6787000000000001</v>
      </c>
      <c r="AV43">
        <v>8.8222000000000005</v>
      </c>
    </row>
    <row r="44" spans="1:48" ht="18" customHeight="1">
      <c r="B44">
        <v>1000</v>
      </c>
      <c r="C44">
        <v>1000</v>
      </c>
      <c r="E44">
        <f>ROUND(AVERAGE(seed1!E44,seed2!E44,seed3!E44,seed4!E44,seed5!E44,seed6!E44),4)</f>
        <v>11.3432</v>
      </c>
      <c r="F44">
        <f>ROUND(AVERAGE(seed1!F44,seed2!F44,seed3!F44,seed4!F44,seed5!F44,seed6!F44),4)</f>
        <v>9.4327000000000005</v>
      </c>
      <c r="G44">
        <f>ROUND(AVERAGE(seed1!G44,seed2!G44,seed3!G44,seed4!G44,seed5!G44,seed6!G44),4)</f>
        <v>13.8909</v>
      </c>
      <c r="I44">
        <f>ROUND(AVERAGE(seed1!I44,seed2!I44,seed3!I44,seed4!I44,seed5!I44,seed6!I44),4)</f>
        <v>11.4078</v>
      </c>
      <c r="J44">
        <f>ROUND(AVERAGE(seed1!J44,seed2!J44,seed3!J44,seed4!J44,seed5!J44,seed6!J44),4)</f>
        <v>9.3645999999999994</v>
      </c>
      <c r="K44">
        <f>ROUND(AVERAGE(seed1!K44,seed2!K44,seed3!K44,seed4!K44,seed5!K44,seed6!K44),4)</f>
        <v>14.0913</v>
      </c>
      <c r="M44">
        <f>ROUND(AVERAGE(seed1!M44,seed2!M44,seed3!M44,seed4!M44,seed5!M44,seed6!M44),4)</f>
        <v>10.0128</v>
      </c>
      <c r="N44">
        <f>ROUND(AVERAGE(seed1!N44,seed2!N44,seed3!N44,seed4!N44,seed5!N44,seed6!N44),4)</f>
        <v>6.3665000000000003</v>
      </c>
      <c r="O44">
        <f>ROUND(AVERAGE(seed1!O44,seed2!O44,seed3!O44,seed4!O44,seed5!O44,seed6!O44),4)</f>
        <v>16.485299999999999</v>
      </c>
      <c r="Q44">
        <f>ROUND(AVERAGE(seed1!Q44,seed2!Q44,seed3!Q44,seed4!Q44,seed5!Q44,seed6!Q44),4)</f>
        <v>10.948499999999999</v>
      </c>
      <c r="R44">
        <f>ROUND(AVERAGE(seed1!R44,seed2!R44,seed3!R44,seed4!R44,seed5!R44,seed6!R44),4)</f>
        <v>10.5914</v>
      </c>
      <c r="S44">
        <f>ROUND(AVERAGE(seed1!S44,seed2!S44,seed3!S44,seed4!S44,seed5!S44,seed6!S44),4)</f>
        <v>11.3398</v>
      </c>
      <c r="U44">
        <f>ROUND(AVERAGE(seed1!U44,seed2!U44,seed3!U44,seed4!U44,seed5!U44,seed6!U44),4)</f>
        <v>8.8713999999999995</v>
      </c>
      <c r="V44">
        <f>ROUND(AVERAGE(seed1!V44,seed2!V44,seed3!V44,seed4!V44,seed5!V44,seed6!V44),4)</f>
        <v>4.9718</v>
      </c>
      <c r="W44">
        <f>ROUND(AVERAGE(seed1!W44,seed2!W44,seed3!W44,seed4!W44,seed5!W44,seed6!W44),4)</f>
        <v>16.638500000000001</v>
      </c>
      <c r="Y44">
        <f>ROUND(AVERAGE(seed1!Y44,seed2!Y44,seed3!Y44,seed4!Y44,seed5!Y44,seed6!Y44),4)</f>
        <v>10.4533</v>
      </c>
      <c r="Z44">
        <f>ROUND(AVERAGE(seed1!Z44,seed2!Z44,seed3!Z44,seed4!Z44,seed5!Z44,seed6!Z44),4)</f>
        <v>6.9480000000000004</v>
      </c>
      <c r="AA44">
        <f>ROUND(AVERAGE(seed1!AA44,seed2!AA44,seed3!AA44,seed4!AA44,seed5!AA44,seed6!AA44),4)</f>
        <v>16.283300000000001</v>
      </c>
      <c r="AC44">
        <f>ROUND(AVERAGE(seed1!AC44,seed2!AC44,seed3!AC44,seed4!AC44,seed5!AC44,seed6!AC44),4)</f>
        <v>11.267799999999999</v>
      </c>
      <c r="AD44">
        <f>ROUND(AVERAGE(seed1!AD44,seed2!AD44,seed3!AD44,seed4!AD44,seed5!AD44,seed6!AD44),4)</f>
        <v>9.2780000000000005</v>
      </c>
      <c r="AE44">
        <f>ROUND(AVERAGE(seed1!AE44,seed2!AE44,seed3!AE44,seed4!AE44,seed5!AE44,seed6!AE44),4)</f>
        <v>13.947800000000001</v>
      </c>
      <c r="AG44">
        <f t="shared" si="0"/>
        <v>11.3432</v>
      </c>
      <c r="AH44">
        <f t="shared" si="1"/>
        <v>11.4078</v>
      </c>
      <c r="AI44">
        <f t="shared" si="2"/>
        <v>11.267799999999999</v>
      </c>
      <c r="AJ44">
        <f t="shared" si="3"/>
        <v>10.0128</v>
      </c>
      <c r="AK44">
        <f t="shared" si="4"/>
        <v>10.948499999999999</v>
      </c>
      <c r="AL44">
        <f t="shared" si="5"/>
        <v>8.8713999999999995</v>
      </c>
      <c r="AM44">
        <f t="shared" si="6"/>
        <v>10.4533</v>
      </c>
      <c r="AO44">
        <v>5</v>
      </c>
      <c r="AP44">
        <v>9.5658999999999992</v>
      </c>
      <c r="AQ44">
        <v>9.3904999999999994</v>
      </c>
      <c r="AR44">
        <v>9.4822000000000006</v>
      </c>
      <c r="AS44">
        <v>8.7871000000000006</v>
      </c>
      <c r="AT44">
        <v>9.4487000000000005</v>
      </c>
      <c r="AU44">
        <v>7.8413000000000004</v>
      </c>
      <c r="AV44">
        <v>8.6913</v>
      </c>
    </row>
    <row r="45" spans="1:48" ht="18" customHeight="1">
      <c r="B45">
        <v>1100</v>
      </c>
      <c r="C45">
        <v>900</v>
      </c>
      <c r="AG45">
        <f t="shared" si="0"/>
        <v>0</v>
      </c>
      <c r="AH45">
        <f t="shared" si="1"/>
        <v>0</v>
      </c>
      <c r="AI45">
        <f t="shared" si="2"/>
        <v>0</v>
      </c>
      <c r="AJ45">
        <f t="shared" si="3"/>
        <v>0</v>
      </c>
      <c r="AK45">
        <f t="shared" si="4"/>
        <v>0</v>
      </c>
      <c r="AL45">
        <f t="shared" si="5"/>
        <v>0</v>
      </c>
      <c r="AM45">
        <f t="shared" si="6"/>
        <v>0</v>
      </c>
    </row>
    <row r="46" spans="1:48" ht="18" customHeight="1">
      <c r="B46">
        <v>1200</v>
      </c>
      <c r="C46">
        <v>800</v>
      </c>
      <c r="E46">
        <f>ROUND(AVERAGE(seed1!E46,seed2!E46,seed3!E46,seed4!E46,seed5!E46,seed6!E46),4)</f>
        <v>9.2585999999999995</v>
      </c>
      <c r="F46">
        <f>ROUND(AVERAGE(seed1!F46,seed2!F46,seed3!F46,seed4!F46,seed5!F46,seed6!F46),4)</f>
        <v>7.6512000000000002</v>
      </c>
      <c r="G46">
        <f>ROUND(AVERAGE(seed1!G46,seed2!G46,seed3!G46,seed4!G46,seed5!G46,seed6!G46),4)</f>
        <v>12.455399999999999</v>
      </c>
      <c r="I46">
        <f>ROUND(AVERAGE(seed1!I46,seed2!I46,seed3!I46,seed4!I46,seed5!I46,seed6!I46),4)</f>
        <v>9.3597999999999999</v>
      </c>
      <c r="J46">
        <f>ROUND(AVERAGE(seed1!J46,seed2!J46,seed3!J46,seed4!J46,seed5!J46,seed6!J46),4)</f>
        <v>7.7596999999999996</v>
      </c>
      <c r="K46">
        <f>ROUND(AVERAGE(seed1!K46,seed2!K46,seed3!K46,seed4!K46,seed5!K46,seed6!K46),4)</f>
        <v>12.539400000000001</v>
      </c>
      <c r="M46">
        <f>ROUND(AVERAGE(seed1!M46,seed2!M46,seed3!M46,seed4!M46,seed5!M46,seed6!M46),4)</f>
        <v>8.6357999999999997</v>
      </c>
      <c r="N46">
        <f>ROUND(AVERAGE(seed1!N46,seed2!N46,seed3!N46,seed4!N46,seed5!N46,seed6!N46),4)</f>
        <v>5.7191999999999998</v>
      </c>
      <c r="O46">
        <f>ROUND(AVERAGE(seed1!O46,seed2!O46,seed3!O46,seed4!O46,seed5!O46,seed6!O46),4)</f>
        <v>16.415099999999999</v>
      </c>
      <c r="Q46">
        <f>ROUND(AVERAGE(seed1!Q46,seed2!Q46,seed3!Q46,seed4!Q46,seed5!Q46,seed6!Q46),4)</f>
        <v>9.4963999999999995</v>
      </c>
      <c r="R46">
        <f>ROUND(AVERAGE(seed1!R46,seed2!R46,seed3!R46,seed4!R46,seed5!R46,seed6!R46),4)</f>
        <v>8.5655999999999999</v>
      </c>
      <c r="S46">
        <f>ROUND(AVERAGE(seed1!S46,seed2!S46,seed3!S46,seed4!S46,seed5!S46,seed6!S46),4)</f>
        <v>11.2926</v>
      </c>
      <c r="U46">
        <f>ROUND(AVERAGE(seed1!U46,seed2!U46,seed3!U46,seed4!U46,seed5!U46,seed6!U46),4)</f>
        <v>7.6787000000000001</v>
      </c>
      <c r="V46">
        <f>ROUND(AVERAGE(seed1!V46,seed2!V46,seed3!V46,seed4!V46,seed5!V46,seed6!V46),4)</f>
        <v>4.6154999999999999</v>
      </c>
      <c r="W46">
        <f>ROUND(AVERAGE(seed1!W46,seed2!W46,seed3!W46,seed4!W46,seed5!W46,seed6!W46),4)</f>
        <v>16.636500000000002</v>
      </c>
      <c r="Y46">
        <f>ROUND(AVERAGE(seed1!Y46,seed2!Y46,seed3!Y46,seed4!Y46,seed5!Y46,seed6!Y46),4)</f>
        <v>8.8222000000000005</v>
      </c>
      <c r="Z46">
        <f>ROUND(AVERAGE(seed1!Z46,seed2!Z46,seed3!Z46,seed4!Z46,seed5!Z46,seed6!Z46),4)</f>
        <v>5.9401999999999999</v>
      </c>
      <c r="AA46">
        <f>ROUND(AVERAGE(seed1!AA46,seed2!AA46,seed3!AA46,seed4!AA46,seed5!AA46,seed6!AA46),4)</f>
        <v>16.299199999999999</v>
      </c>
      <c r="AC46">
        <f>ROUND(AVERAGE(seed1!AC46,seed2!AC46,seed3!AC46,seed4!AC46,seed5!AC46,seed6!AC46),4)</f>
        <v>9.8650000000000002</v>
      </c>
      <c r="AD46">
        <f>ROUND(AVERAGE(seed1!AD46,seed2!AD46,seed3!AD46,seed4!AD46,seed5!AD46,seed6!AD46),4)</f>
        <v>8.4520999999999997</v>
      </c>
      <c r="AE46">
        <f>ROUND(AVERAGE(seed1!AE46,seed2!AE46,seed3!AE46,seed4!AE46,seed5!AE46,seed6!AE46),4)</f>
        <v>12.581</v>
      </c>
      <c r="AG46">
        <f t="shared" si="0"/>
        <v>9.2585999999999995</v>
      </c>
      <c r="AH46">
        <f t="shared" si="1"/>
        <v>9.3597999999999999</v>
      </c>
      <c r="AI46">
        <f t="shared" si="2"/>
        <v>9.8650000000000002</v>
      </c>
      <c r="AJ46">
        <f t="shared" si="3"/>
        <v>8.6357999999999997</v>
      </c>
      <c r="AK46">
        <f t="shared" si="4"/>
        <v>9.4963999999999995</v>
      </c>
      <c r="AL46">
        <f t="shared" si="5"/>
        <v>7.6787000000000001</v>
      </c>
      <c r="AM46">
        <f t="shared" si="6"/>
        <v>8.8222000000000005</v>
      </c>
    </row>
    <row r="47" spans="1:48" ht="18" customHeight="1">
      <c r="B47">
        <v>1300</v>
      </c>
      <c r="C47">
        <v>700</v>
      </c>
      <c r="AG47">
        <f t="shared" si="0"/>
        <v>0</v>
      </c>
      <c r="AH47">
        <f t="shared" si="1"/>
        <v>0</v>
      </c>
      <c r="AI47">
        <f t="shared" si="2"/>
        <v>0</v>
      </c>
      <c r="AJ47">
        <f t="shared" si="3"/>
        <v>0</v>
      </c>
      <c r="AK47">
        <f t="shared" si="4"/>
        <v>0</v>
      </c>
      <c r="AL47">
        <f t="shared" si="5"/>
        <v>0</v>
      </c>
      <c r="AM47">
        <f t="shared" si="6"/>
        <v>0</v>
      </c>
    </row>
    <row r="48" spans="1:48" ht="18" customHeight="1">
      <c r="B48">
        <v>1400</v>
      </c>
      <c r="C48">
        <v>600</v>
      </c>
      <c r="E48">
        <f>ROUND(AVERAGE(seed1!E48,seed2!E48,seed3!E48,seed4!E48,seed5!E48,seed6!E48),4)</f>
        <v>9.5658999999999992</v>
      </c>
      <c r="F48">
        <f>ROUND(AVERAGE(seed1!F48,seed2!F48,seed3!F48,seed4!F48,seed5!F48,seed6!F48),4)</f>
        <v>8.5374999999999996</v>
      </c>
      <c r="G48">
        <f>ROUND(AVERAGE(seed1!G48,seed2!G48,seed3!G48,seed4!G48,seed5!G48,seed6!G48),4)</f>
        <v>12.6868</v>
      </c>
      <c r="I48">
        <f>ROUND(AVERAGE(seed1!I48,seed2!I48,seed3!I48,seed4!I48,seed5!I48,seed6!I48),4)</f>
        <v>9.3904999999999994</v>
      </c>
      <c r="J48">
        <f>ROUND(AVERAGE(seed1!J48,seed2!J48,seed3!J48,seed4!J48,seed5!J48,seed6!J48),4)</f>
        <v>8.3529</v>
      </c>
      <c r="K48">
        <f>ROUND(AVERAGE(seed1!K48,seed2!K48,seed3!K48,seed4!K48,seed5!K48,seed6!K48),4)</f>
        <v>12.5297</v>
      </c>
      <c r="M48">
        <f>ROUND(AVERAGE(seed1!M48,seed2!M48,seed3!M48,seed4!M48,seed5!M48,seed6!M48),4)</f>
        <v>8.7871000000000006</v>
      </c>
      <c r="N48">
        <f>ROUND(AVERAGE(seed1!N48,seed2!N48,seed3!N48,seed4!N48,seed5!N48,seed6!N48),4)</f>
        <v>6.8550000000000004</v>
      </c>
      <c r="O48">
        <f>ROUND(AVERAGE(seed1!O48,seed2!O48,seed3!O48,seed4!O48,seed5!O48,seed6!O48),4)</f>
        <v>16.2044</v>
      </c>
      <c r="Q48">
        <f>ROUND(AVERAGE(seed1!Q48,seed2!Q48,seed3!Q48,seed4!Q48,seed5!Q48,seed6!Q48),4)</f>
        <v>9.4487000000000005</v>
      </c>
      <c r="R48">
        <f>ROUND(AVERAGE(seed1!R48,seed2!R48,seed3!R48,seed4!R48,seed5!R48,seed6!R48),4)</f>
        <v>8.6013000000000002</v>
      </c>
      <c r="S48">
        <f>ROUND(AVERAGE(seed1!S48,seed2!S48,seed3!S48,seed4!S48,seed5!S48,seed6!S48),4)</f>
        <v>12.0154</v>
      </c>
      <c r="U48">
        <f>ROUND(AVERAGE(seed1!U48,seed2!U48,seed3!U48,seed4!U48,seed5!U48,seed6!U48),4)</f>
        <v>7.8413000000000004</v>
      </c>
      <c r="V48">
        <f>ROUND(AVERAGE(seed1!V48,seed2!V48,seed3!V48,seed4!V48,seed5!V48,seed6!V48),4)</f>
        <v>5.758</v>
      </c>
      <c r="W48">
        <f>ROUND(AVERAGE(seed1!W48,seed2!W48,seed3!W48,seed4!W48,seed5!W48,seed6!W48),4)</f>
        <v>16.613</v>
      </c>
      <c r="Y48">
        <f>ROUND(AVERAGE(seed1!Y48,seed2!Y48,seed3!Y48,seed4!Y48,seed5!Y48,seed6!Y48),4)</f>
        <v>8.6913</v>
      </c>
      <c r="Z48">
        <f>ROUND(AVERAGE(seed1!Z48,seed2!Z48,seed3!Z48,seed4!Z48,seed5!Z48,seed6!Z48),4)</f>
        <v>6.6993999999999998</v>
      </c>
      <c r="AA48">
        <f>ROUND(AVERAGE(seed1!AA48,seed2!AA48,seed3!AA48,seed4!AA48,seed5!AA48,seed6!AA48),4)</f>
        <v>16.415500000000002</v>
      </c>
      <c r="AC48">
        <f>ROUND(AVERAGE(seed1!AC48,seed2!AC48,seed3!AC48,seed4!AC48,seed5!AC48,seed6!AC48),4)</f>
        <v>9.4822000000000006</v>
      </c>
      <c r="AD48">
        <f>ROUND(AVERAGE(seed1!AD48,seed2!AD48,seed3!AD48,seed4!AD48,seed5!AD48,seed6!AD48),4)</f>
        <v>8.5297000000000001</v>
      </c>
      <c r="AE48">
        <f>ROUND(AVERAGE(seed1!AE48,seed2!AE48,seed3!AE48,seed4!AE48,seed5!AE48,seed6!AE48),4)</f>
        <v>12.305199999999999</v>
      </c>
      <c r="AG48">
        <f t="shared" si="0"/>
        <v>9.5658999999999992</v>
      </c>
      <c r="AH48">
        <f t="shared" si="1"/>
        <v>9.3904999999999994</v>
      </c>
      <c r="AI48">
        <f t="shared" si="2"/>
        <v>9.4822000000000006</v>
      </c>
      <c r="AJ48">
        <f t="shared" si="3"/>
        <v>8.7871000000000006</v>
      </c>
      <c r="AK48">
        <f t="shared" si="4"/>
        <v>9.4487000000000005</v>
      </c>
      <c r="AL48">
        <f t="shared" si="5"/>
        <v>7.8413000000000004</v>
      </c>
      <c r="AM48">
        <f t="shared" si="6"/>
        <v>8.6913</v>
      </c>
    </row>
    <row r="49" spans="1:39" ht="18" customHeight="1">
      <c r="B49">
        <v>1500</v>
      </c>
      <c r="C49">
        <v>500</v>
      </c>
      <c r="AG49">
        <f t="shared" si="0"/>
        <v>0</v>
      </c>
      <c r="AH49">
        <f t="shared" si="1"/>
        <v>0</v>
      </c>
      <c r="AI49">
        <f t="shared" si="2"/>
        <v>0</v>
      </c>
      <c r="AJ49">
        <f t="shared" si="3"/>
        <v>0</v>
      </c>
      <c r="AK49">
        <f t="shared" si="4"/>
        <v>0</v>
      </c>
      <c r="AL49">
        <f t="shared" si="5"/>
        <v>0</v>
      </c>
      <c r="AM49">
        <f t="shared" si="6"/>
        <v>0</v>
      </c>
    </row>
    <row r="50" spans="1:39" ht="18" customHeight="1">
      <c r="AG50">
        <f t="shared" si="0"/>
        <v>0</v>
      </c>
      <c r="AH50">
        <f t="shared" si="1"/>
        <v>0</v>
      </c>
      <c r="AI50">
        <f t="shared" si="2"/>
        <v>0</v>
      </c>
      <c r="AJ50">
        <f t="shared" si="3"/>
        <v>0</v>
      </c>
      <c r="AK50">
        <f t="shared" si="4"/>
        <v>0</v>
      </c>
      <c r="AL50">
        <f t="shared" si="5"/>
        <v>0</v>
      </c>
      <c r="AM50">
        <f t="shared" si="6"/>
        <v>0</v>
      </c>
    </row>
    <row r="51" spans="1:39" ht="18" customHeight="1">
      <c r="B51">
        <v>1000</v>
      </c>
      <c r="C51">
        <v>1400</v>
      </c>
      <c r="E51">
        <f>ROUND(AVERAGE(seed1!E51,seed2!E51,seed3!E51,seed4!E51,seed5!E51,seed6!E51),4)</f>
        <v>10.591799999999999</v>
      </c>
      <c r="F51">
        <f>ROUND(AVERAGE(seed1!F51,seed2!F51,seed3!F51,seed4!F51,seed5!F51,seed6!F51),4)</f>
        <v>7.6498999999999997</v>
      </c>
      <c r="G51">
        <f>ROUND(AVERAGE(seed1!G51,seed2!G51,seed3!G51,seed4!G51,seed5!G51,seed6!G51),4)</f>
        <v>13.6394</v>
      </c>
      <c r="I51">
        <f>ROUND(AVERAGE(seed1!I51,seed2!I51,seed3!I51,seed4!I51,seed5!I51,seed6!I51),4)</f>
        <v>10.7311</v>
      </c>
      <c r="J51">
        <f>ROUND(AVERAGE(seed1!J51,seed2!J51,seed3!J51,seed4!J51,seed5!J51,seed6!J51),4)</f>
        <v>8.0281000000000002</v>
      </c>
      <c r="K51">
        <f>ROUND(AVERAGE(seed1!K51,seed2!K51,seed3!K51,seed4!K51,seed5!K51,seed6!K51),4)</f>
        <v>13.4541</v>
      </c>
      <c r="M51">
        <f>ROUND(AVERAGE(seed1!M51,seed2!M51,seed3!M51,seed4!M51,seed5!M51,seed6!M51),4)</f>
        <v>9.5099</v>
      </c>
      <c r="N51">
        <f>ROUND(AVERAGE(seed1!N51,seed2!N51,seed3!N51,seed4!N51,seed5!N51,seed6!N51),4)</f>
        <v>4.5167000000000002</v>
      </c>
      <c r="O51">
        <f>ROUND(AVERAGE(seed1!O51,seed2!O51,seed3!O51,seed4!O51,seed5!O51,seed6!O51),4)</f>
        <v>16.617599999999999</v>
      </c>
      <c r="Q51">
        <f>ROUND(AVERAGE(seed1!Q51,seed2!Q51,seed3!Q51,seed4!Q51,seed5!Q51,seed6!Q51),4)</f>
        <v>8.8283000000000005</v>
      </c>
      <c r="R51">
        <f>ROUND(AVERAGE(seed1!R51,seed2!R51,seed3!R51,seed4!R51,seed5!R51,seed6!R51),4)</f>
        <v>8.9567999999999994</v>
      </c>
      <c r="S51">
        <f>ROUND(AVERAGE(seed1!S51,seed2!S51,seed3!S51,seed4!S51,seed5!S51,seed6!S51),4)</f>
        <v>8.7507000000000001</v>
      </c>
      <c r="U51">
        <f>ROUND(AVERAGE(seed1!U51,seed2!U51,seed3!U51,seed4!U51,seed5!U51,seed6!U51),4)</f>
        <v>9.0226000000000006</v>
      </c>
      <c r="V51">
        <f>ROUND(AVERAGE(seed1!V51,seed2!V51,seed3!V51,seed4!V51,seed5!V51,seed6!V51),4)</f>
        <v>3.9554</v>
      </c>
      <c r="W51">
        <f>ROUND(AVERAGE(seed1!W51,seed2!W51,seed3!W51,seed4!W51,seed5!W51,seed6!W51),4)</f>
        <v>16.646899999999999</v>
      </c>
      <c r="Y51">
        <f>ROUND(AVERAGE(seed1!Y51,seed2!Y51,seed3!Y51,seed4!Y51,seed5!Y51,seed6!Y51),4)</f>
        <v>10.191599999999999</v>
      </c>
      <c r="Z51">
        <f>ROUND(AVERAGE(seed1!Z51,seed2!Z51,seed3!Z51,seed4!Z51,seed5!Z51,seed6!Z51),4)</f>
        <v>5.5187999999999997</v>
      </c>
      <c r="AA51">
        <f>ROUND(AVERAGE(seed1!AA51,seed2!AA51,seed3!AA51,seed4!AA51,seed5!AA51,seed6!AA51),4)</f>
        <v>16.0791</v>
      </c>
      <c r="AC51">
        <f>ROUND(AVERAGE(seed1!AC51,seed2!AC51,seed3!AC51,seed4!AC51,seed5!AC51,seed6!AC51),4)</f>
        <v>10.0137</v>
      </c>
      <c r="AD51">
        <f>ROUND(AVERAGE(seed1!AD51,seed2!AD51,seed3!AD51,seed4!AD51,seed5!AD51,seed6!AD51),4)</f>
        <v>6.9984000000000002</v>
      </c>
      <c r="AE51">
        <f>ROUND(AVERAGE(seed1!AE51,seed2!AE51,seed3!AE51,seed4!AE51,seed5!AE51,seed6!AE51),4)</f>
        <v>13.1547</v>
      </c>
      <c r="AG51">
        <f t="shared" si="0"/>
        <v>10.591799999999999</v>
      </c>
      <c r="AH51">
        <f t="shared" si="1"/>
        <v>10.7311</v>
      </c>
      <c r="AI51">
        <f t="shared" si="2"/>
        <v>10.0137</v>
      </c>
      <c r="AJ51">
        <f t="shared" si="3"/>
        <v>9.5099</v>
      </c>
      <c r="AK51">
        <f t="shared" si="4"/>
        <v>8.8283000000000005</v>
      </c>
      <c r="AL51">
        <f t="shared" si="5"/>
        <v>9.0226000000000006</v>
      </c>
      <c r="AM51">
        <f t="shared" si="6"/>
        <v>10.191599999999999</v>
      </c>
    </row>
    <row r="52" spans="1:39" ht="18" customHeight="1">
      <c r="B52">
        <v>1200</v>
      </c>
      <c r="C52">
        <v>1200</v>
      </c>
      <c r="E52">
        <f>ROUND(AVERAGE(seed1!E52,seed2!E52,seed3!E52,seed4!E52,seed5!E52,seed6!E52),4)</f>
        <v>9.3405000000000005</v>
      </c>
      <c r="F52">
        <f>ROUND(AVERAGE(seed1!F52,seed2!F52,seed3!F52,seed4!F52,seed5!F52,seed6!F52),4)</f>
        <v>7.0418000000000003</v>
      </c>
      <c r="G52">
        <f>ROUND(AVERAGE(seed1!G52,seed2!G52,seed3!G52,seed4!G52,seed5!G52,seed6!G52),4)</f>
        <v>12.636699999999999</v>
      </c>
      <c r="I52">
        <f>ROUND(AVERAGE(seed1!I52,seed2!I52,seed3!I52,seed4!I52,seed5!I52,seed6!I52),4)</f>
        <v>9.2634000000000007</v>
      </c>
      <c r="J52">
        <f>ROUND(AVERAGE(seed1!J52,seed2!J52,seed3!J52,seed4!J52,seed5!J52,seed6!J52),4)</f>
        <v>7.2270000000000003</v>
      </c>
      <c r="K52">
        <f>ROUND(AVERAGE(seed1!K52,seed2!K52,seed3!K52,seed4!K52,seed5!K52,seed6!K52),4)</f>
        <v>12.0031</v>
      </c>
      <c r="M52">
        <f>ROUND(AVERAGE(seed1!M52,seed2!M52,seed3!M52,seed4!M52,seed5!M52,seed6!M52),4)</f>
        <v>8.6789000000000005</v>
      </c>
      <c r="N52">
        <f>ROUND(AVERAGE(seed1!N52,seed2!N52,seed3!N52,seed4!N52,seed5!N52,seed6!N52),4)</f>
        <v>4.5677000000000003</v>
      </c>
      <c r="O52">
        <f>ROUND(AVERAGE(seed1!O52,seed2!O52,seed3!O52,seed4!O52,seed5!O52,seed6!O52),4)</f>
        <v>16.563800000000001</v>
      </c>
      <c r="Q52">
        <f>ROUND(AVERAGE(seed1!Q52,seed2!Q52,seed3!Q52,seed4!Q52,seed5!Q52,seed6!Q52),4)</f>
        <v>9.2914999999999992</v>
      </c>
      <c r="R52">
        <f>ROUND(AVERAGE(seed1!R52,seed2!R52,seed3!R52,seed4!R52,seed5!R52,seed6!R52),4)</f>
        <v>8.7833000000000006</v>
      </c>
      <c r="S52">
        <f>ROUND(AVERAGE(seed1!S52,seed2!S52,seed3!S52,seed4!S52,seed5!S52,seed6!S52),4)</f>
        <v>9.9633000000000003</v>
      </c>
      <c r="U52">
        <f>ROUND(AVERAGE(seed1!U52,seed2!U52,seed3!U52,seed4!U52,seed5!U52,seed6!U52),4)</f>
        <v>8.1256000000000004</v>
      </c>
      <c r="V52">
        <f>ROUND(AVERAGE(seed1!V52,seed2!V52,seed3!V52,seed4!V52,seed5!V52,seed6!V52),4)</f>
        <v>3.9037000000000002</v>
      </c>
      <c r="W52">
        <f>ROUND(AVERAGE(seed1!W52,seed2!W52,seed3!W52,seed4!W52,seed5!W52,seed6!W52),4)</f>
        <v>16.646100000000001</v>
      </c>
      <c r="Y52">
        <f>ROUND(AVERAGE(seed1!Y52,seed2!Y52,seed3!Y52,seed4!Y52,seed5!Y52,seed6!Y52),4)</f>
        <v>8.8717000000000006</v>
      </c>
      <c r="Z52">
        <f>ROUND(AVERAGE(seed1!Z52,seed2!Z52,seed3!Z52,seed4!Z52,seed5!Z52,seed6!Z52),4)</f>
        <v>4.8028000000000004</v>
      </c>
      <c r="AA52">
        <f>ROUND(AVERAGE(seed1!AA52,seed2!AA52,seed3!AA52,seed4!AA52,seed5!AA52,seed6!AA52),4)</f>
        <v>16.456800000000001</v>
      </c>
      <c r="AC52">
        <f>ROUND(AVERAGE(seed1!AC52,seed2!AC52,seed3!AC52,seed4!AC52,seed5!AC52,seed6!AC52),4)</f>
        <v>9.3501999999999992</v>
      </c>
      <c r="AD52">
        <f>ROUND(AVERAGE(seed1!AD52,seed2!AD52,seed3!AD52,seed4!AD52,seed5!AD52,seed6!AD52),4)</f>
        <v>6.9911000000000003</v>
      </c>
      <c r="AE52">
        <f>ROUND(AVERAGE(seed1!AE52,seed2!AE52,seed3!AE52,seed4!AE52,seed5!AE52,seed6!AE52),4)</f>
        <v>12.7819</v>
      </c>
      <c r="AG52">
        <f t="shared" si="0"/>
        <v>9.3405000000000005</v>
      </c>
      <c r="AH52">
        <f t="shared" si="1"/>
        <v>9.2634000000000007</v>
      </c>
      <c r="AI52">
        <f t="shared" si="2"/>
        <v>9.3501999999999992</v>
      </c>
      <c r="AJ52">
        <f t="shared" si="3"/>
        <v>8.6789000000000005</v>
      </c>
      <c r="AK52">
        <f t="shared" si="4"/>
        <v>9.2914999999999992</v>
      </c>
      <c r="AL52">
        <f t="shared" si="5"/>
        <v>8.1256000000000004</v>
      </c>
      <c r="AM52">
        <f t="shared" si="6"/>
        <v>8.8717000000000006</v>
      </c>
    </row>
    <row r="53" spans="1:39" ht="18" customHeight="1">
      <c r="B53">
        <v>1400</v>
      </c>
      <c r="C53">
        <v>1000</v>
      </c>
      <c r="E53">
        <f>ROUND(AVERAGE(seed1!E53,seed2!E53,seed3!E53,seed4!E53,seed5!E53,seed6!E53),4)</f>
        <v>8.9059000000000008</v>
      </c>
      <c r="F53">
        <f>ROUND(AVERAGE(seed1!F53,seed2!F53,seed3!F53,seed4!F53,seed5!F53,seed6!F53),4)</f>
        <v>7.0530999999999997</v>
      </c>
      <c r="G53">
        <f>ROUND(AVERAGE(seed1!G53,seed2!G53,seed3!G53,seed4!G53,seed5!G53,seed6!G53),4)</f>
        <v>12.368399999999999</v>
      </c>
      <c r="I53">
        <f>ROUND(AVERAGE(seed1!I53,seed2!I53,seed3!I53,seed4!I53,seed5!I53,seed6!I53),4)</f>
        <v>8.9443000000000001</v>
      </c>
      <c r="J53">
        <f>ROUND(AVERAGE(seed1!J53,seed2!J53,seed3!J53,seed4!J53,seed5!J53,seed6!J53),4)</f>
        <v>7.0846</v>
      </c>
      <c r="K53">
        <f>ROUND(AVERAGE(seed1!K53,seed2!K53,seed3!K53,seed4!K53,seed5!K53,seed6!K53),4)</f>
        <v>12.5671</v>
      </c>
      <c r="M53">
        <f>ROUND(AVERAGE(seed1!M53,seed2!M53,seed3!M53,seed4!M53,seed5!M53,seed6!M53),4)</f>
        <v>7.7209000000000003</v>
      </c>
      <c r="N53">
        <f>ROUND(AVERAGE(seed1!N53,seed2!N53,seed3!N53,seed4!N53,seed5!N53,seed6!N53),4)</f>
        <v>4.4508999999999999</v>
      </c>
      <c r="O53">
        <f>ROUND(AVERAGE(seed1!O53,seed2!O53,seed3!O53,seed4!O53,seed5!O53,seed6!O53),4)</f>
        <v>16.515599999999999</v>
      </c>
      <c r="Q53">
        <f>ROUND(AVERAGE(seed1!Q53,seed2!Q53,seed3!Q53,seed4!Q53,seed5!Q53,seed6!Q53),4)</f>
        <v>8.6452000000000009</v>
      </c>
      <c r="R53">
        <f>ROUND(AVERAGE(seed1!R53,seed2!R53,seed3!R53,seed4!R53,seed5!R53,seed6!R53),4)</f>
        <v>7.3080999999999996</v>
      </c>
      <c r="S53">
        <f>ROUND(AVERAGE(seed1!S53,seed2!S53,seed3!S53,seed4!S53,seed5!S53,seed6!S53),4)</f>
        <v>11.0418</v>
      </c>
      <c r="U53">
        <f>ROUND(AVERAGE(seed1!U53,seed2!U53,seed3!U53,seed4!U53,seed5!U53,seed6!U53),4)</f>
        <v>7.1738</v>
      </c>
      <c r="V53">
        <f>ROUND(AVERAGE(seed1!V53,seed2!V53,seed3!V53,seed4!V53,seed5!V53,seed6!V53),4)</f>
        <v>3.7244999999999999</v>
      </c>
      <c r="W53">
        <f>ROUND(AVERAGE(seed1!W53,seed2!W53,seed3!W53,seed4!W53,seed5!W53,seed6!W53),4)</f>
        <v>16.640999999999998</v>
      </c>
      <c r="Y53">
        <f>ROUND(AVERAGE(seed1!Y53,seed2!Y53,seed3!Y53,seed4!Y53,seed5!Y53,seed6!Y53),4)</f>
        <v>7.9493999999999998</v>
      </c>
      <c r="Z53">
        <f>ROUND(AVERAGE(seed1!Z53,seed2!Z53,seed3!Z53,seed4!Z53,seed5!Z53,seed6!Z53),4)</f>
        <v>4.7397999999999998</v>
      </c>
      <c r="AA53">
        <f>ROUND(AVERAGE(seed1!AA53,seed2!AA53,seed3!AA53,seed4!AA53,seed5!AA53,seed6!AA53),4)</f>
        <v>16.1677</v>
      </c>
      <c r="AC53">
        <f>ROUND(AVERAGE(seed1!AC53,seed2!AC53,seed3!AC53,seed4!AC53,seed5!AC53,seed6!AC53),4)</f>
        <v>8.9143000000000008</v>
      </c>
      <c r="AD53">
        <f>ROUND(AVERAGE(seed1!AD53,seed2!AD53,seed3!AD53,seed4!AD53,seed5!AD53,seed6!AD53),4)</f>
        <v>7.1306000000000003</v>
      </c>
      <c r="AE53">
        <f>ROUND(AVERAGE(seed1!AE53,seed2!AE53,seed3!AE53,seed4!AE53,seed5!AE53,seed6!AE53),4)</f>
        <v>12.2476</v>
      </c>
      <c r="AG53">
        <f t="shared" si="0"/>
        <v>8.9059000000000008</v>
      </c>
      <c r="AH53">
        <f t="shared" si="1"/>
        <v>8.9443000000000001</v>
      </c>
      <c r="AI53">
        <f t="shared" si="2"/>
        <v>8.9143000000000008</v>
      </c>
      <c r="AJ53">
        <f t="shared" si="3"/>
        <v>7.7209000000000003</v>
      </c>
      <c r="AK53">
        <f t="shared" si="4"/>
        <v>8.6452000000000009</v>
      </c>
      <c r="AL53">
        <f t="shared" si="5"/>
        <v>7.1738</v>
      </c>
      <c r="AM53">
        <f t="shared" si="6"/>
        <v>7.9493999999999998</v>
      </c>
    </row>
    <row r="54" spans="1:39" ht="18" customHeight="1">
      <c r="B54">
        <v>800</v>
      </c>
      <c r="C54">
        <v>800</v>
      </c>
      <c r="E54">
        <f>ROUND(AVERAGE(seed1!E54,seed2!E54,seed3!E54,seed4!E54,seed5!E54,seed6!E54),4)</f>
        <v>13.2661</v>
      </c>
      <c r="F54">
        <f>ROUND(AVERAGE(seed1!F54,seed2!F54,seed3!F54,seed4!F54,seed5!F54,seed6!F54),4)</f>
        <v>11.7669</v>
      </c>
      <c r="G54">
        <f>ROUND(AVERAGE(seed1!G54,seed2!G54,seed3!G54,seed4!G54,seed5!G54,seed6!G54),4)</f>
        <v>15.2849</v>
      </c>
      <c r="I54">
        <f>ROUND(AVERAGE(seed1!I54,seed2!I54,seed3!I54,seed4!I54,seed5!I54,seed6!I54),4)</f>
        <v>13.3672</v>
      </c>
      <c r="J54">
        <f>ROUND(AVERAGE(seed1!J54,seed2!J54,seed3!J54,seed4!J54,seed5!J54,seed6!J54),4)</f>
        <v>11.892300000000001</v>
      </c>
      <c r="K54">
        <f>ROUND(AVERAGE(seed1!K54,seed2!K54,seed3!K54,seed4!K54,seed5!K54,seed6!K54),4)</f>
        <v>15.1731</v>
      </c>
      <c r="M54">
        <f>ROUND(AVERAGE(seed1!M54,seed2!M54,seed3!M54,seed4!M54,seed5!M54,seed6!M54),4)</f>
        <v>12.7432</v>
      </c>
      <c r="N54">
        <f>ROUND(AVERAGE(seed1!N54,seed2!N54,seed3!N54,seed4!N54,seed5!N54,seed6!N54),4)</f>
        <v>10.2599</v>
      </c>
      <c r="O54">
        <f>ROUND(AVERAGE(seed1!O54,seed2!O54,seed3!O54,seed4!O54,seed5!O54,seed6!O54),4)</f>
        <v>16.3736</v>
      </c>
      <c r="Q54">
        <f>ROUND(AVERAGE(seed1!Q54,seed2!Q54,seed3!Q54,seed4!Q54,seed5!Q54,seed6!Q54),4)</f>
        <v>13.2919</v>
      </c>
      <c r="R54">
        <f>ROUND(AVERAGE(seed1!R54,seed2!R54,seed3!R54,seed4!R54,seed5!R54,seed6!R54),4)</f>
        <v>13.331300000000001</v>
      </c>
      <c r="S54">
        <f>ROUND(AVERAGE(seed1!S54,seed2!S54,seed3!S54,seed4!S54,seed5!S54,seed6!S54),4)</f>
        <v>13.309900000000001</v>
      </c>
      <c r="U54">
        <f>ROUND(AVERAGE(seed1!U54,seed2!U54,seed3!U54,seed4!U54,seed5!U54,seed6!U54),4)</f>
        <v>10.2279</v>
      </c>
      <c r="V54">
        <f>ROUND(AVERAGE(seed1!V54,seed2!V54,seed3!V54,seed4!V54,seed5!V54,seed6!V54),4)</f>
        <v>6.7404999999999999</v>
      </c>
      <c r="W54">
        <f>ROUND(AVERAGE(seed1!W54,seed2!W54,seed3!W54,seed4!W54,seed5!W54,seed6!W54),4)</f>
        <v>16.576499999999999</v>
      </c>
      <c r="Y54">
        <f>ROUND(AVERAGE(seed1!Y54,seed2!Y54,seed3!Y54,seed4!Y54,seed5!Y54,seed6!Y54),4)</f>
        <v>13.5106</v>
      </c>
      <c r="Z54">
        <f>ROUND(AVERAGE(seed1!Z54,seed2!Z54,seed3!Z54,seed4!Z54,seed5!Z54,seed6!Z54),4)</f>
        <v>11.488099999999999</v>
      </c>
      <c r="AA54">
        <f>ROUND(AVERAGE(seed1!AA54,seed2!AA54,seed3!AA54,seed4!AA54,seed5!AA54,seed6!AA54),4)</f>
        <v>16.368200000000002</v>
      </c>
      <c r="AC54">
        <f>ROUND(AVERAGE(seed1!AC54,seed2!AC54,seed3!AC54,seed4!AC54,seed5!AC54,seed6!AC54),4)</f>
        <v>13.321199999999999</v>
      </c>
      <c r="AD54">
        <f>ROUND(AVERAGE(seed1!AD54,seed2!AD54,seed3!AD54,seed4!AD54,seed5!AD54,seed6!AD54),4)</f>
        <v>11.7333</v>
      </c>
      <c r="AE54">
        <f>ROUND(AVERAGE(seed1!AE54,seed2!AE54,seed3!AE54,seed4!AE54,seed5!AE54,seed6!AE54),4)</f>
        <v>15.3805</v>
      </c>
      <c r="AG54">
        <f t="shared" si="0"/>
        <v>13.2661</v>
      </c>
      <c r="AH54">
        <f t="shared" si="1"/>
        <v>13.3672</v>
      </c>
      <c r="AI54">
        <f t="shared" si="2"/>
        <v>13.321199999999999</v>
      </c>
      <c r="AJ54">
        <f t="shared" si="3"/>
        <v>12.7432</v>
      </c>
      <c r="AK54">
        <f t="shared" si="4"/>
        <v>13.2919</v>
      </c>
      <c r="AL54">
        <f t="shared" si="5"/>
        <v>10.2279</v>
      </c>
      <c r="AM54">
        <f t="shared" si="6"/>
        <v>13.5106</v>
      </c>
    </row>
    <row r="55" spans="1:39" ht="18" customHeight="1">
      <c r="AG55">
        <f t="shared" si="0"/>
        <v>0</v>
      </c>
      <c r="AH55">
        <f t="shared" si="1"/>
        <v>0</v>
      </c>
      <c r="AI55">
        <f t="shared" si="2"/>
        <v>0</v>
      </c>
      <c r="AJ55">
        <f t="shared" si="3"/>
        <v>0</v>
      </c>
      <c r="AK55">
        <f t="shared" si="4"/>
        <v>0</v>
      </c>
      <c r="AL55">
        <f t="shared" si="5"/>
        <v>0</v>
      </c>
      <c r="AM55">
        <f t="shared" si="6"/>
        <v>0</v>
      </c>
    </row>
    <row r="56" spans="1:39" ht="18" customHeight="1">
      <c r="B56">
        <v>500</v>
      </c>
      <c r="C56">
        <v>1500</v>
      </c>
      <c r="AG56">
        <f t="shared" si="0"/>
        <v>0</v>
      </c>
      <c r="AH56">
        <f t="shared" si="1"/>
        <v>0</v>
      </c>
      <c r="AI56">
        <f t="shared" si="2"/>
        <v>0</v>
      </c>
      <c r="AJ56">
        <f t="shared" si="3"/>
        <v>0</v>
      </c>
      <c r="AK56">
        <f t="shared" si="4"/>
        <v>0</v>
      </c>
      <c r="AL56">
        <f t="shared" si="5"/>
        <v>0</v>
      </c>
      <c r="AM56">
        <f t="shared" si="6"/>
        <v>0</v>
      </c>
    </row>
    <row r="57" spans="1:39" ht="18" customHeight="1">
      <c r="A57" t="s">
        <v>18</v>
      </c>
      <c r="B57">
        <v>600</v>
      </c>
      <c r="C57">
        <v>1400</v>
      </c>
      <c r="E57">
        <f>ROUND(AVERAGE(seed1!E57,seed2!E57,seed3!E57,seed4!E57,seed5!E57,seed6!E57),4)</f>
        <v>12.912800000000001</v>
      </c>
      <c r="F57">
        <f>ROUND(AVERAGE(seed1!F57,seed2!F57,seed3!F57,seed4!F57,seed5!F57,seed6!F57),4)</f>
        <v>8.9590999999999994</v>
      </c>
      <c r="G57">
        <f>ROUND(AVERAGE(seed1!G57,seed2!G57,seed3!G57,seed4!G57,seed5!G57,seed6!G57),4)</f>
        <v>15.3644</v>
      </c>
      <c r="I57">
        <f>ROUND(AVERAGE(seed1!I57,seed2!I57,seed3!I57,seed4!I57,seed5!I57,seed6!I57),4)</f>
        <v>12.724399999999999</v>
      </c>
      <c r="J57">
        <f>ROUND(AVERAGE(seed1!J57,seed2!J57,seed3!J57,seed4!J57,seed5!J57,seed6!J57),4)</f>
        <v>9.2187000000000001</v>
      </c>
      <c r="K57">
        <f>ROUND(AVERAGE(seed1!K57,seed2!K57,seed3!K57,seed4!K57,seed5!K57,seed6!K57),4)</f>
        <v>14.797000000000001</v>
      </c>
      <c r="M57">
        <f>ROUND(AVERAGE(seed1!M57,seed2!M57,seed3!M57,seed4!M57,seed5!M57,seed6!M57),4)</f>
        <v>11.181900000000001</v>
      </c>
      <c r="N57">
        <f>ROUND(AVERAGE(seed1!N57,seed2!N57,seed3!N57,seed4!N57,seed5!N57,seed6!N57),4)</f>
        <v>5.1349</v>
      </c>
      <c r="O57">
        <f>ROUND(AVERAGE(seed1!O57,seed2!O57,seed3!O57,seed4!O57,seed5!O57,seed6!O57),4)</f>
        <v>16.6631</v>
      </c>
      <c r="Q57">
        <f>ROUND(AVERAGE(seed1!Q57,seed2!Q57,seed3!Q57,seed4!Q57,seed5!Q57,seed6!Q57),4)</f>
        <v>11.8209</v>
      </c>
      <c r="R57">
        <f>ROUND(AVERAGE(seed1!R57,seed2!R57,seed3!R57,seed4!R57,seed5!R57,seed6!R57),4)</f>
        <v>12.972799999999999</v>
      </c>
      <c r="S57">
        <f>ROUND(AVERAGE(seed1!S57,seed2!S57,seed3!S57,seed4!S57,seed5!S57,seed6!S57),4)</f>
        <v>11.438800000000001</v>
      </c>
      <c r="U57">
        <f>ROUND(AVERAGE(seed1!U57,seed2!U57,seed3!U57,seed4!U57,seed5!U57,seed6!U57),4)</f>
        <v>10.8089</v>
      </c>
      <c r="V57">
        <f>ROUND(AVERAGE(seed1!V57,seed2!V57,seed3!V57,seed4!V57,seed5!V57,seed6!V57),4)</f>
        <v>4.6719999999999997</v>
      </c>
      <c r="W57">
        <f>ROUND(AVERAGE(seed1!W57,seed2!W57,seed3!W57,seed4!W57,seed5!W57,seed6!W57),4)</f>
        <v>16.667100000000001</v>
      </c>
      <c r="Y57">
        <f>ROUND(AVERAGE(seed1!Y57,seed2!Y57,seed3!Y57,seed4!Y57,seed5!Y57,seed6!Y57),4)</f>
        <v>12.799799999999999</v>
      </c>
      <c r="Z57">
        <f>ROUND(AVERAGE(seed1!Z57,seed2!Z57,seed3!Z57,seed4!Z57,seed5!Z57,seed6!Z57),4)</f>
        <v>7.9664000000000001</v>
      </c>
      <c r="AA57">
        <f>ROUND(AVERAGE(seed1!AA57,seed2!AA57,seed3!AA57,seed4!AA57,seed5!AA57,seed6!AA57),4)</f>
        <v>16.3902</v>
      </c>
      <c r="AC57">
        <f>ROUND(AVERAGE(seed1!AC57,seed2!AC57,seed3!AC57,seed4!AC57,seed5!AC57,seed6!AC57),4)</f>
        <v>12.733700000000001</v>
      </c>
      <c r="AD57">
        <f>ROUND(AVERAGE(seed1!AD57,seed2!AD57,seed3!AD57,seed4!AD57,seed5!AD57,seed6!AD57),4)</f>
        <v>8.3116000000000003</v>
      </c>
      <c r="AE57">
        <f>ROUND(AVERAGE(seed1!AE57,seed2!AE57,seed3!AE57,seed4!AE57,seed5!AE57,seed6!AE57),4)</f>
        <v>15.610300000000001</v>
      </c>
      <c r="AG57">
        <f t="shared" si="0"/>
        <v>12.912800000000001</v>
      </c>
      <c r="AH57">
        <f t="shared" si="1"/>
        <v>12.724399999999999</v>
      </c>
      <c r="AI57">
        <f t="shared" si="2"/>
        <v>12.733700000000001</v>
      </c>
      <c r="AJ57">
        <f t="shared" si="3"/>
        <v>11.181900000000001</v>
      </c>
      <c r="AK57">
        <f t="shared" si="4"/>
        <v>11.8209</v>
      </c>
      <c r="AL57">
        <f t="shared" si="5"/>
        <v>10.8089</v>
      </c>
      <c r="AM57">
        <f t="shared" si="6"/>
        <v>12.799799999999999</v>
      </c>
    </row>
    <row r="58" spans="1:39" ht="18" customHeight="1">
      <c r="B58">
        <v>700</v>
      </c>
      <c r="C58">
        <v>1300</v>
      </c>
      <c r="AG58">
        <f t="shared" si="0"/>
        <v>0</v>
      </c>
      <c r="AH58">
        <f t="shared" si="1"/>
        <v>0</v>
      </c>
      <c r="AI58">
        <f t="shared" si="2"/>
        <v>0</v>
      </c>
      <c r="AJ58">
        <f t="shared" si="3"/>
        <v>0</v>
      </c>
      <c r="AK58">
        <f t="shared" si="4"/>
        <v>0</v>
      </c>
      <c r="AL58">
        <f t="shared" si="5"/>
        <v>0</v>
      </c>
      <c r="AM58">
        <f t="shared" si="6"/>
        <v>0</v>
      </c>
    </row>
    <row r="59" spans="1:39" ht="18" customHeight="1">
      <c r="B59">
        <v>800</v>
      </c>
      <c r="C59">
        <v>1200</v>
      </c>
      <c r="E59">
        <f>ROUND(AVERAGE(seed1!E59,seed2!E59,seed3!E59,seed4!E59,seed5!E59,seed6!E59),4)</f>
        <v>11.358499999999999</v>
      </c>
      <c r="F59">
        <f>ROUND(AVERAGE(seed1!F59,seed2!F59,seed3!F59,seed4!F59,seed5!F59,seed6!F59),4)</f>
        <v>8.2715999999999994</v>
      </c>
      <c r="G59">
        <f>ROUND(AVERAGE(seed1!G59,seed2!G59,seed3!G59,seed4!G59,seed5!G59,seed6!G59),4)</f>
        <v>14.3119</v>
      </c>
      <c r="I59">
        <f>ROUND(AVERAGE(seed1!I59,seed2!I59,seed3!I59,seed4!I59,seed5!I59,seed6!I59),4)</f>
        <v>11.226900000000001</v>
      </c>
      <c r="J59">
        <f>ROUND(AVERAGE(seed1!J59,seed2!J59,seed3!J59,seed4!J59,seed5!J59,seed6!J59),4)</f>
        <v>8.2347999999999999</v>
      </c>
      <c r="K59">
        <f>ROUND(AVERAGE(seed1!K59,seed2!K59,seed3!K59,seed4!K59,seed5!K59,seed6!K59),4)</f>
        <v>14.032999999999999</v>
      </c>
      <c r="M59">
        <f>ROUND(AVERAGE(seed1!M59,seed2!M59,seed3!M59,seed4!M59,seed5!M59,seed6!M59),4)</f>
        <v>10.7149</v>
      </c>
      <c r="N59">
        <f>ROUND(AVERAGE(seed1!N59,seed2!N59,seed3!N59,seed4!N59,seed5!N59,seed6!N59),4)</f>
        <v>6.1111000000000004</v>
      </c>
      <c r="O59">
        <f>ROUND(AVERAGE(seed1!O59,seed2!O59,seed3!O59,seed4!O59,seed5!O59,seed6!O59),4)</f>
        <v>16.601400000000002</v>
      </c>
      <c r="Q59">
        <f>ROUND(AVERAGE(seed1!Q59,seed2!Q59,seed3!Q59,seed4!Q59,seed5!Q59,seed6!Q59),4)</f>
        <v>11.021100000000001</v>
      </c>
      <c r="R59">
        <f>ROUND(AVERAGE(seed1!R59,seed2!R59,seed3!R59,seed4!R59,seed5!R59,seed6!R59),4)</f>
        <v>11.9838</v>
      </c>
      <c r="S59">
        <f>ROUND(AVERAGE(seed1!S59,seed2!S59,seed3!S59,seed4!S59,seed5!S59,seed6!S59),4)</f>
        <v>10.492800000000001</v>
      </c>
      <c r="U59">
        <f>ROUND(AVERAGE(seed1!U59,seed2!U59,seed3!U59,seed4!U59,seed5!U59,seed6!U59),4)</f>
        <v>9.0215999999999994</v>
      </c>
      <c r="V59">
        <f>ROUND(AVERAGE(seed1!V59,seed2!V59,seed3!V59,seed4!V59,seed5!V59,seed6!V59),4)</f>
        <v>3.9693999999999998</v>
      </c>
      <c r="W59">
        <f>ROUND(AVERAGE(seed1!W59,seed2!W59,seed3!W59,seed4!W59,seed5!W59,seed6!W59),4)</f>
        <v>16.666399999999999</v>
      </c>
      <c r="Y59">
        <f>ROUND(AVERAGE(seed1!Y59,seed2!Y59,seed3!Y59,seed4!Y59,seed5!Y59,seed6!Y59),4)</f>
        <v>10.6028</v>
      </c>
      <c r="Z59">
        <f>ROUND(AVERAGE(seed1!Z59,seed2!Z59,seed3!Z59,seed4!Z59,seed5!Z59,seed6!Z59),4)</f>
        <v>5.9480000000000004</v>
      </c>
      <c r="AA59">
        <f>ROUND(AVERAGE(seed1!AA59,seed2!AA59,seed3!AA59,seed4!AA59,seed5!AA59,seed6!AA59),4)</f>
        <v>16.3794</v>
      </c>
      <c r="AC59">
        <f>ROUND(AVERAGE(seed1!AC59,seed2!AC59,seed3!AC59,seed4!AC59,seed5!AC59,seed6!AC59),4)</f>
        <v>11.2896</v>
      </c>
      <c r="AD59">
        <f>ROUND(AVERAGE(seed1!AD59,seed2!AD59,seed3!AD59,seed4!AD59,seed5!AD59,seed6!AD59),4)</f>
        <v>8.2135999999999996</v>
      </c>
      <c r="AE59">
        <f>ROUND(AVERAGE(seed1!AE59,seed2!AE59,seed3!AE59,seed4!AE59,seed5!AE59,seed6!AE59),4)</f>
        <v>14.2272</v>
      </c>
      <c r="AG59">
        <f t="shared" si="0"/>
        <v>11.358499999999999</v>
      </c>
      <c r="AH59">
        <f t="shared" si="1"/>
        <v>11.226900000000001</v>
      </c>
      <c r="AI59">
        <f t="shared" si="2"/>
        <v>11.2896</v>
      </c>
      <c r="AJ59">
        <f t="shared" si="3"/>
        <v>10.7149</v>
      </c>
      <c r="AK59">
        <f t="shared" si="4"/>
        <v>11.021100000000001</v>
      </c>
      <c r="AL59">
        <f t="shared" si="5"/>
        <v>9.0215999999999994</v>
      </c>
      <c r="AM59">
        <f t="shared" si="6"/>
        <v>10.6028</v>
      </c>
    </row>
    <row r="60" spans="1:39" ht="18" customHeight="1">
      <c r="B60">
        <v>900</v>
      </c>
      <c r="C60">
        <v>1100</v>
      </c>
      <c r="AG60">
        <f t="shared" si="0"/>
        <v>0</v>
      </c>
      <c r="AH60">
        <f t="shared" si="1"/>
        <v>0</v>
      </c>
      <c r="AI60">
        <f t="shared" si="2"/>
        <v>0</v>
      </c>
      <c r="AJ60">
        <f t="shared" si="3"/>
        <v>0</v>
      </c>
      <c r="AK60">
        <f t="shared" si="4"/>
        <v>0</v>
      </c>
      <c r="AL60">
        <f t="shared" si="5"/>
        <v>0</v>
      </c>
      <c r="AM60">
        <f t="shared" si="6"/>
        <v>0</v>
      </c>
    </row>
    <row r="61" spans="1:39" ht="18" customHeight="1">
      <c r="B61">
        <v>1000</v>
      </c>
      <c r="C61">
        <v>1000</v>
      </c>
      <c r="E61">
        <f>ROUND(AVERAGE(seed1!E61,seed2!E61,seed3!E61,seed4!E61,seed5!E61,seed6!E61),4)</f>
        <v>10.545199999999999</v>
      </c>
      <c r="F61">
        <f>ROUND(AVERAGE(seed1!F61,seed2!F61,seed3!F61,seed4!F61,seed5!F61,seed6!F61),4)</f>
        <v>8.4847999999999999</v>
      </c>
      <c r="G61">
        <f>ROUND(AVERAGE(seed1!G61,seed2!G61,seed3!G61,seed4!G61,seed5!G61,seed6!G61),4)</f>
        <v>13.484</v>
      </c>
      <c r="I61">
        <f>ROUND(AVERAGE(seed1!I61,seed2!I61,seed3!I61,seed4!I61,seed5!I61,seed6!I61),4)</f>
        <v>10.587</v>
      </c>
      <c r="J61">
        <f>ROUND(AVERAGE(seed1!J61,seed2!J61,seed3!J61,seed4!J61,seed5!J61,seed6!J61),4)</f>
        <v>8.3994999999999997</v>
      </c>
      <c r="K61">
        <f>ROUND(AVERAGE(seed1!K61,seed2!K61,seed3!K61,seed4!K61,seed5!K61,seed6!K61),4)</f>
        <v>13.698</v>
      </c>
      <c r="M61">
        <f>ROUND(AVERAGE(seed1!M61,seed2!M61,seed3!M61,seed4!M61,seed5!M61,seed6!M61),4)</f>
        <v>8.9238</v>
      </c>
      <c r="N61">
        <f>ROUND(AVERAGE(seed1!N61,seed2!N61,seed3!N61,seed4!N61,seed5!N61,seed6!N61),4)</f>
        <v>5.2065999999999999</v>
      </c>
      <c r="O61">
        <f>ROUND(AVERAGE(seed1!O61,seed2!O61,seed3!O61,seed4!O61,seed5!O61,seed6!O61),4)</f>
        <v>16.499700000000001</v>
      </c>
      <c r="Q61">
        <f>ROUND(AVERAGE(seed1!Q61,seed2!Q61,seed3!Q61,seed4!Q61,seed5!Q61,seed6!Q61),4)</f>
        <v>10.0997</v>
      </c>
      <c r="R61">
        <f>ROUND(AVERAGE(seed1!R61,seed2!R61,seed3!R61,seed4!R61,seed5!R61,seed6!R61),4)</f>
        <v>9.7614999999999998</v>
      </c>
      <c r="S61">
        <f>ROUND(AVERAGE(seed1!S61,seed2!S61,seed3!S61,seed4!S61,seed5!S61,seed6!S61),4)</f>
        <v>10.490399999999999</v>
      </c>
      <c r="U61">
        <f>ROUND(AVERAGE(seed1!U61,seed2!U61,seed3!U61,seed4!U61,seed5!U61,seed6!U61),4)</f>
        <v>7.7157999999999998</v>
      </c>
      <c r="V61">
        <f>ROUND(AVERAGE(seed1!V61,seed2!V61,seed3!V61,seed4!V61,seed5!V61,seed6!V61),4)</f>
        <v>3.8864999999999998</v>
      </c>
      <c r="W61">
        <f>ROUND(AVERAGE(seed1!W61,seed2!W61,seed3!W61,seed4!W61,seed5!W61,seed6!W61),4)</f>
        <v>16.628599999999999</v>
      </c>
      <c r="Y61">
        <f>ROUND(AVERAGE(seed1!Y61,seed2!Y61,seed3!Y61,seed4!Y61,seed5!Y61,seed6!Y61),4)</f>
        <v>9.3973999999999993</v>
      </c>
      <c r="Z61">
        <f>ROUND(AVERAGE(seed1!Z61,seed2!Z61,seed3!Z61,seed4!Z61,seed5!Z61,seed6!Z61),4)</f>
        <v>5.7683999999999997</v>
      </c>
      <c r="AA61">
        <f>ROUND(AVERAGE(seed1!AA61,seed2!AA61,seed3!AA61,seed4!AA61,seed5!AA61,seed6!AA61),4)</f>
        <v>16.277200000000001</v>
      </c>
      <c r="AC61">
        <f>ROUND(AVERAGE(seed1!AC61,seed2!AC61,seed3!AC61,seed4!AC61,seed5!AC61,seed6!AC61),4)</f>
        <v>10.4581</v>
      </c>
      <c r="AD61">
        <f>ROUND(AVERAGE(seed1!AD61,seed2!AD61,seed3!AD61,seed4!AD61,seed5!AD61,seed6!AD61),4)</f>
        <v>8.3155999999999999</v>
      </c>
      <c r="AE61">
        <f>ROUND(AVERAGE(seed1!AE61,seed2!AE61,seed3!AE61,seed4!AE61,seed5!AE61,seed6!AE61),4)</f>
        <v>13.5543</v>
      </c>
      <c r="AG61">
        <f t="shared" si="0"/>
        <v>10.545199999999999</v>
      </c>
      <c r="AH61">
        <f t="shared" si="1"/>
        <v>10.587</v>
      </c>
      <c r="AI61">
        <f t="shared" si="2"/>
        <v>10.4581</v>
      </c>
      <c r="AJ61">
        <f t="shared" si="3"/>
        <v>8.9238</v>
      </c>
      <c r="AK61">
        <f t="shared" si="4"/>
        <v>10.0997</v>
      </c>
      <c r="AL61">
        <f t="shared" si="5"/>
        <v>7.7157999999999998</v>
      </c>
      <c r="AM61">
        <f t="shared" si="6"/>
        <v>9.3973999999999993</v>
      </c>
    </row>
    <row r="62" spans="1:39" ht="18" customHeight="1">
      <c r="B62">
        <v>1100</v>
      </c>
      <c r="C62">
        <v>900</v>
      </c>
      <c r="AG62">
        <f t="shared" si="0"/>
        <v>0</v>
      </c>
      <c r="AH62">
        <f t="shared" si="1"/>
        <v>0</v>
      </c>
      <c r="AI62">
        <f t="shared" si="2"/>
        <v>0</v>
      </c>
      <c r="AJ62">
        <f t="shared" si="3"/>
        <v>0</v>
      </c>
      <c r="AK62">
        <f t="shared" si="4"/>
        <v>0</v>
      </c>
      <c r="AL62">
        <f t="shared" si="5"/>
        <v>0</v>
      </c>
      <c r="AM62">
        <f t="shared" si="6"/>
        <v>0</v>
      </c>
    </row>
    <row r="63" spans="1:39" ht="18" customHeight="1">
      <c r="B63">
        <v>1200</v>
      </c>
      <c r="C63">
        <v>800</v>
      </c>
      <c r="E63">
        <f>ROUND(AVERAGE(seed1!E63,seed2!E63,seed3!E63,seed4!E63,seed5!E63,seed6!E63),4)</f>
        <v>8.1353000000000009</v>
      </c>
      <c r="F63">
        <f>ROUND(AVERAGE(seed1!F63,seed2!F63,seed3!F63,seed4!F63,seed5!F63,seed6!F63),4)</f>
        <v>6.5928000000000004</v>
      </c>
      <c r="G63">
        <f>ROUND(AVERAGE(seed1!G63,seed2!G63,seed3!G63,seed4!G63,seed5!G63,seed6!G63),4)</f>
        <v>11.565099999999999</v>
      </c>
      <c r="I63">
        <f>ROUND(AVERAGE(seed1!I63,seed2!I63,seed3!I63,seed4!I63,seed5!I63,seed6!I63),4)</f>
        <v>8.2608999999999995</v>
      </c>
      <c r="J63">
        <f>ROUND(AVERAGE(seed1!J63,seed2!J63,seed3!J63,seed4!J63,seed5!J63,seed6!J63),4)</f>
        <v>6.7267999999999999</v>
      </c>
      <c r="K63">
        <f>ROUND(AVERAGE(seed1!K63,seed2!K63,seed3!K63,seed4!K63,seed5!K63,seed6!K63),4)</f>
        <v>11.6751</v>
      </c>
      <c r="M63">
        <f>ROUND(AVERAGE(seed1!M63,seed2!M63,seed3!M63,seed4!M63,seed5!M63,seed6!M63),4)</f>
        <v>7.3045999999999998</v>
      </c>
      <c r="N63">
        <f>ROUND(AVERAGE(seed1!N63,seed2!N63,seed3!N63,seed4!N63,seed5!N63,seed6!N63),4)</f>
        <v>4.4874000000000001</v>
      </c>
      <c r="O63">
        <f>ROUND(AVERAGE(seed1!O63,seed2!O63,seed3!O63,seed4!O63,seed5!O63,seed6!O63),4)</f>
        <v>16.4419</v>
      </c>
      <c r="Q63">
        <f>ROUND(AVERAGE(seed1!Q63,seed2!Q63,seed3!Q63,seed4!Q63,seed5!Q63,seed6!Q63),4)</f>
        <v>8.4210999999999991</v>
      </c>
      <c r="R63">
        <f>ROUND(AVERAGE(seed1!R63,seed2!R63,seed3!R63,seed4!R63,seed5!R63,seed6!R63),4)</f>
        <v>7.6220999999999997</v>
      </c>
      <c r="S63">
        <f>ROUND(AVERAGE(seed1!S63,seed2!S63,seed3!S63,seed4!S63,seed5!S63,seed6!S63),4)</f>
        <v>10.1637</v>
      </c>
      <c r="U63">
        <f>ROUND(AVERAGE(seed1!U63,seed2!U63,seed3!U63,seed4!U63,seed5!U63,seed6!U63),4)</f>
        <v>6.3232999999999997</v>
      </c>
      <c r="V63">
        <f>ROUND(AVERAGE(seed1!V63,seed2!V63,seed3!V63,seed4!V63,seed5!V63,seed6!V63),4)</f>
        <v>3.4563000000000001</v>
      </c>
      <c r="W63">
        <f>ROUND(AVERAGE(seed1!W63,seed2!W63,seed3!W63,seed4!W63,seed5!W63,seed6!W63),4)</f>
        <v>16.625</v>
      </c>
      <c r="Y63">
        <f>ROUND(AVERAGE(seed1!Y63,seed2!Y63,seed3!Y63,seed4!Y63,seed5!Y63,seed6!Y63),4)</f>
        <v>7.5075000000000003</v>
      </c>
      <c r="Z63">
        <f>ROUND(AVERAGE(seed1!Z63,seed2!Z63,seed3!Z63,seed4!Z63,seed5!Z63,seed6!Z63),4)</f>
        <v>4.6901000000000002</v>
      </c>
      <c r="AA63">
        <f>ROUND(AVERAGE(seed1!AA63,seed2!AA63,seed3!AA63,seed4!AA63,seed5!AA63,seed6!AA63),4)</f>
        <v>16.339700000000001</v>
      </c>
      <c r="AC63">
        <f>ROUND(AVERAGE(seed1!AC63,seed2!AC63,seed3!AC63,seed4!AC63,seed5!AC63,seed6!AC63),4)</f>
        <v>8.8178000000000001</v>
      </c>
      <c r="AD63">
        <f>ROUND(AVERAGE(seed1!AD63,seed2!AD63,seed3!AD63,seed4!AD63,seed5!AD63,seed6!AD63),4)</f>
        <v>7.4618000000000002</v>
      </c>
      <c r="AE63">
        <f>ROUND(AVERAGE(seed1!AE63,seed2!AE63,seed3!AE63,seed4!AE63,seed5!AE63,seed6!AE63),4)</f>
        <v>11.706899999999999</v>
      </c>
      <c r="AG63">
        <f t="shared" si="0"/>
        <v>8.1353000000000009</v>
      </c>
      <c r="AH63">
        <f t="shared" si="1"/>
        <v>8.2608999999999995</v>
      </c>
      <c r="AI63">
        <f t="shared" si="2"/>
        <v>8.8178000000000001</v>
      </c>
      <c r="AJ63">
        <f t="shared" si="3"/>
        <v>7.3045999999999998</v>
      </c>
      <c r="AK63">
        <f t="shared" si="4"/>
        <v>8.4210999999999991</v>
      </c>
      <c r="AL63">
        <f t="shared" si="5"/>
        <v>6.3232999999999997</v>
      </c>
      <c r="AM63">
        <f t="shared" si="6"/>
        <v>7.5075000000000003</v>
      </c>
    </row>
    <row r="64" spans="1:39" ht="18" customHeight="1">
      <c r="B64">
        <v>1300</v>
      </c>
      <c r="C64">
        <v>700</v>
      </c>
      <c r="AG64">
        <f t="shared" si="0"/>
        <v>0</v>
      </c>
      <c r="AH64">
        <f t="shared" si="1"/>
        <v>0</v>
      </c>
      <c r="AI64">
        <f t="shared" si="2"/>
        <v>0</v>
      </c>
      <c r="AJ64">
        <f t="shared" si="3"/>
        <v>0</v>
      </c>
      <c r="AK64">
        <f t="shared" si="4"/>
        <v>0</v>
      </c>
      <c r="AL64">
        <f t="shared" si="5"/>
        <v>0</v>
      </c>
      <c r="AM64">
        <f t="shared" si="6"/>
        <v>0</v>
      </c>
    </row>
    <row r="65" spans="1:39" ht="18" customHeight="1">
      <c r="B65">
        <v>1400</v>
      </c>
      <c r="C65">
        <v>600</v>
      </c>
      <c r="E65">
        <f>ROUND(AVERAGE(seed1!E65,seed2!E65,seed3!E65,seed4!E65,seed5!E65,seed6!E65),4)</f>
        <v>8.6292000000000009</v>
      </c>
      <c r="F65">
        <f>ROUND(AVERAGE(seed1!F65,seed2!F65,seed3!F65,seed4!F65,seed5!F65,seed6!F65),4)</f>
        <v>7.5397999999999996</v>
      </c>
      <c r="G65">
        <f>ROUND(AVERAGE(seed1!G65,seed2!G65,seed3!G65,seed4!G65,seed5!G65,seed6!G65),4)</f>
        <v>12.082100000000001</v>
      </c>
      <c r="I65">
        <f>ROUND(AVERAGE(seed1!I65,seed2!I65,seed3!I65,seed4!I65,seed5!I65,seed6!I65),4)</f>
        <v>8.4261999999999997</v>
      </c>
      <c r="J65">
        <f>ROUND(AVERAGE(seed1!J65,seed2!J65,seed3!J65,seed4!J65,seed5!J65,seed6!J65),4)</f>
        <v>7.3287000000000004</v>
      </c>
      <c r="K65">
        <f>ROUND(AVERAGE(seed1!K65,seed2!K65,seed3!K65,seed4!K65,seed5!K65,seed6!K65),4)</f>
        <v>11.880599999999999</v>
      </c>
      <c r="M65">
        <f>ROUND(AVERAGE(seed1!M65,seed2!M65,seed3!M65,seed4!M65,seed5!M65,seed6!M65),4)</f>
        <v>7.6439000000000004</v>
      </c>
      <c r="N65">
        <f>ROUND(AVERAGE(seed1!N65,seed2!N65,seed3!N65,seed4!N65,seed5!N65,seed6!N65),4)</f>
        <v>5.6840000000000002</v>
      </c>
      <c r="O65">
        <f>ROUND(AVERAGE(seed1!O65,seed2!O65,seed3!O65,seed4!O65,seed5!O65,seed6!O65),4)</f>
        <v>16.212</v>
      </c>
      <c r="Q65">
        <f>ROUND(AVERAGE(seed1!Q65,seed2!Q65,seed3!Q65,seed4!Q65,seed5!Q65,seed6!Q65),4)</f>
        <v>8.5114999999999998</v>
      </c>
      <c r="R65">
        <f>ROUND(AVERAGE(seed1!R65,seed2!R65,seed3!R65,seed4!R65,seed5!R65,seed6!R65),4)</f>
        <v>7.6250999999999998</v>
      </c>
      <c r="S65">
        <f>ROUND(AVERAGE(seed1!S65,seed2!S65,seed3!S65,seed4!S65,seed5!S65,seed6!S65),4)</f>
        <v>11.277799999999999</v>
      </c>
      <c r="U65">
        <f>ROUND(AVERAGE(seed1!U65,seed2!U65,seed3!U65,seed4!U65,seed5!U65,seed6!U65),4)</f>
        <v>6.6433999999999997</v>
      </c>
      <c r="V65">
        <f>ROUND(AVERAGE(seed1!V65,seed2!V65,seed3!V65,seed4!V65,seed5!V65,seed6!V65),4)</f>
        <v>4.5949</v>
      </c>
      <c r="W65">
        <f>ROUND(AVERAGE(seed1!W65,seed2!W65,seed3!W65,seed4!W65,seed5!W65,seed6!W65),4)</f>
        <v>16.591200000000001</v>
      </c>
      <c r="Y65">
        <f>ROUND(AVERAGE(seed1!Y65,seed2!Y65,seed3!Y65,seed4!Y65,seed5!Y65,seed6!Y65),4)</f>
        <v>7.5193000000000003</v>
      </c>
      <c r="Z65">
        <f>ROUND(AVERAGE(seed1!Z65,seed2!Z65,seed3!Z65,seed4!Z65,seed5!Z65,seed6!Z65),4)</f>
        <v>5.5015000000000001</v>
      </c>
      <c r="AA65">
        <f>ROUND(AVERAGE(seed1!AA65,seed2!AA65,seed3!AA65,seed4!AA65,seed5!AA65,seed6!AA65),4)</f>
        <v>16.43</v>
      </c>
      <c r="AC65">
        <f>ROUND(AVERAGE(seed1!AC65,seed2!AC65,seed3!AC65,seed4!AC65,seed5!AC65,seed6!AC65),4)</f>
        <v>8.5376999999999992</v>
      </c>
      <c r="AD65">
        <f>ROUND(AVERAGE(seed1!AD65,seed2!AD65,seed3!AD65,seed4!AD65,seed5!AD65,seed6!AD65),4)</f>
        <v>7.5339</v>
      </c>
      <c r="AE65">
        <f>ROUND(AVERAGE(seed1!AE65,seed2!AE65,seed3!AE65,seed4!AE65,seed5!AE65,seed6!AE65),4)</f>
        <v>11.6151</v>
      </c>
      <c r="AG65">
        <f t="shared" si="0"/>
        <v>8.6292000000000009</v>
      </c>
      <c r="AH65">
        <f t="shared" si="1"/>
        <v>8.4261999999999997</v>
      </c>
      <c r="AI65">
        <f t="shared" si="2"/>
        <v>8.5376999999999992</v>
      </c>
      <c r="AJ65">
        <f t="shared" si="3"/>
        <v>7.6439000000000004</v>
      </c>
      <c r="AK65">
        <f t="shared" si="4"/>
        <v>8.5114999999999998</v>
      </c>
      <c r="AL65">
        <f t="shared" si="5"/>
        <v>6.6433999999999997</v>
      </c>
      <c r="AM65">
        <f t="shared" si="6"/>
        <v>7.5193000000000003</v>
      </c>
    </row>
    <row r="66" spans="1:39" ht="18" customHeight="1">
      <c r="B66">
        <v>1500</v>
      </c>
      <c r="C66">
        <v>500</v>
      </c>
      <c r="AG66">
        <f t="shared" si="0"/>
        <v>0</v>
      </c>
      <c r="AH66">
        <f t="shared" si="1"/>
        <v>0</v>
      </c>
      <c r="AI66">
        <f t="shared" si="2"/>
        <v>0</v>
      </c>
      <c r="AJ66">
        <f t="shared" si="3"/>
        <v>0</v>
      </c>
      <c r="AK66">
        <f t="shared" si="4"/>
        <v>0</v>
      </c>
      <c r="AL66">
        <f t="shared" si="5"/>
        <v>0</v>
      </c>
      <c r="AM66">
        <f t="shared" si="6"/>
        <v>0</v>
      </c>
    </row>
    <row r="67" spans="1:39" ht="18" customHeight="1">
      <c r="AG67">
        <f t="shared" si="0"/>
        <v>0</v>
      </c>
      <c r="AH67">
        <f t="shared" si="1"/>
        <v>0</v>
      </c>
      <c r="AI67">
        <f t="shared" si="2"/>
        <v>0</v>
      </c>
      <c r="AJ67">
        <f t="shared" si="3"/>
        <v>0</v>
      </c>
      <c r="AK67">
        <f t="shared" si="4"/>
        <v>0</v>
      </c>
      <c r="AL67">
        <f t="shared" si="5"/>
        <v>0</v>
      </c>
      <c r="AM67">
        <f t="shared" si="6"/>
        <v>0</v>
      </c>
    </row>
    <row r="68" spans="1:39" ht="18" customHeight="1">
      <c r="B68">
        <v>1000</v>
      </c>
      <c r="C68">
        <v>1400</v>
      </c>
      <c r="E68">
        <f>ROUND(AVERAGE(seed1!E68,seed2!E68,seed3!E68,seed4!E68,seed5!E68,seed6!E68),4)</f>
        <v>9.7013999999999996</v>
      </c>
      <c r="F68">
        <f>ROUND(AVERAGE(seed1!F68,seed2!F68,seed3!F68,seed4!F68,seed5!F68,seed6!F68),4)</f>
        <v>6.5305999999999997</v>
      </c>
      <c r="G68">
        <f>ROUND(AVERAGE(seed1!G68,seed2!G68,seed3!G68,seed4!G68,seed5!G68,seed6!G68),4)</f>
        <v>13.294499999999999</v>
      </c>
      <c r="I68">
        <f>ROUND(AVERAGE(seed1!I68,seed2!I68,seed3!I68,seed4!I68,seed5!I68,seed6!I68),4)</f>
        <v>9.8621999999999996</v>
      </c>
      <c r="J68">
        <f>ROUND(AVERAGE(seed1!J68,seed2!J68,seed3!J68,seed4!J68,seed5!J68,seed6!J68),4)</f>
        <v>6.9523000000000001</v>
      </c>
      <c r="K68">
        <f>ROUND(AVERAGE(seed1!K68,seed2!K68,seed3!K68,seed4!K68,seed5!K68,seed6!K68),4)</f>
        <v>13.0609</v>
      </c>
      <c r="M68">
        <f>ROUND(AVERAGE(seed1!M68,seed2!M68,seed3!M68,seed4!M68,seed5!M68,seed6!M68),4)</f>
        <v>8.3788</v>
      </c>
      <c r="N68">
        <f>ROUND(AVERAGE(seed1!N68,seed2!N68,seed3!N68,seed4!N68,seed5!N68,seed6!N68),4)</f>
        <v>3.3458000000000001</v>
      </c>
      <c r="O68">
        <f>ROUND(AVERAGE(seed1!O68,seed2!O68,seed3!O68,seed4!O68,seed5!O68,seed6!O68),4)</f>
        <v>16.631799999999998</v>
      </c>
      <c r="Q68">
        <f>ROUND(AVERAGE(seed1!Q68,seed2!Q68,seed3!Q68,seed4!Q68,seed5!Q68,seed6!Q68),4)</f>
        <v>7.7168999999999999</v>
      </c>
      <c r="R68">
        <f>ROUND(AVERAGE(seed1!R68,seed2!R68,seed3!R68,seed4!R68,seed5!R68,seed6!R68),4)</f>
        <v>7.9379999999999997</v>
      </c>
      <c r="S68">
        <f>ROUND(AVERAGE(seed1!S68,seed2!S68,seed3!S68,seed4!S68,seed5!S68,seed6!S68),4)</f>
        <v>7.5799000000000003</v>
      </c>
      <c r="U68">
        <f>ROUND(AVERAGE(seed1!U68,seed2!U68,seed3!U68,seed4!U68,seed5!U68,seed6!U68),4)</f>
        <v>7.8987999999999996</v>
      </c>
      <c r="V68">
        <f>ROUND(AVERAGE(seed1!V68,seed2!V68,seed3!V68,seed4!V68,seed5!V68,seed6!V68),4)</f>
        <v>2.8871000000000002</v>
      </c>
      <c r="W68">
        <f>ROUND(AVERAGE(seed1!W68,seed2!W68,seed3!W68,seed4!W68,seed5!W68,seed6!W68),4)</f>
        <v>16.639500000000002</v>
      </c>
      <c r="Y68">
        <f>ROUND(AVERAGE(seed1!Y68,seed2!Y68,seed3!Y68,seed4!Y68,seed5!Y68,seed6!Y68),4)</f>
        <v>9.1674000000000007</v>
      </c>
      <c r="Z68">
        <f>ROUND(AVERAGE(seed1!Z68,seed2!Z68,seed3!Z68,seed4!Z68,seed5!Z68,seed6!Z68),4)</f>
        <v>4.2394999999999996</v>
      </c>
      <c r="AA68">
        <f>ROUND(AVERAGE(seed1!AA68,seed2!AA68,seed3!AA68,seed4!AA68,seed5!AA68,seed6!AA68),4)</f>
        <v>16.162099999999999</v>
      </c>
      <c r="AC68">
        <f>ROUND(AVERAGE(seed1!AC68,seed2!AC68,seed3!AC68,seed4!AC68,seed5!AC68,seed6!AC68),4)</f>
        <v>9.0168999999999997</v>
      </c>
      <c r="AD68">
        <f>ROUND(AVERAGE(seed1!AD68,seed2!AD68,seed3!AD68,seed4!AD68,seed5!AD68,seed6!AD68),4)</f>
        <v>5.8175999999999997</v>
      </c>
      <c r="AE68">
        <f>ROUND(AVERAGE(seed1!AE68,seed2!AE68,seed3!AE68,seed4!AE68,seed5!AE68,seed6!AE68),4)</f>
        <v>12.665900000000001</v>
      </c>
      <c r="AG68">
        <f t="shared" si="0"/>
        <v>9.7013999999999996</v>
      </c>
      <c r="AH68">
        <f t="shared" si="1"/>
        <v>9.8621999999999996</v>
      </c>
      <c r="AI68">
        <f t="shared" si="2"/>
        <v>9.0168999999999997</v>
      </c>
      <c r="AJ68">
        <f t="shared" si="3"/>
        <v>8.3788</v>
      </c>
      <c r="AK68">
        <f t="shared" si="4"/>
        <v>7.7168999999999999</v>
      </c>
      <c r="AL68">
        <f t="shared" si="5"/>
        <v>7.8987999999999996</v>
      </c>
      <c r="AM68">
        <f t="shared" si="6"/>
        <v>9.1674000000000007</v>
      </c>
    </row>
    <row r="69" spans="1:39" ht="18" customHeight="1">
      <c r="B69">
        <v>1200</v>
      </c>
      <c r="C69">
        <v>1200</v>
      </c>
      <c r="E69">
        <f>ROUND(AVERAGE(seed1!E69,seed2!E69,seed3!E69,seed4!E69,seed5!E69,seed6!E69),4)</f>
        <v>8.2982999999999993</v>
      </c>
      <c r="F69">
        <f>ROUND(AVERAGE(seed1!F69,seed2!F69,seed3!F69,seed4!F69,seed5!F69,seed6!F69),4)</f>
        <v>5.9267000000000003</v>
      </c>
      <c r="G69">
        <f>ROUND(AVERAGE(seed1!G69,seed2!G69,seed3!G69,seed4!G69,seed5!G69,seed6!G69),4)</f>
        <v>11.9678</v>
      </c>
      <c r="I69">
        <f>ROUND(AVERAGE(seed1!I69,seed2!I69,seed3!I69,seed4!I69,seed5!I69,seed6!I69),4)</f>
        <v>8.2182999999999993</v>
      </c>
      <c r="J69">
        <f>ROUND(AVERAGE(seed1!J69,seed2!J69,seed3!J69,seed4!J69,seed5!J69,seed6!J69),4)</f>
        <v>6.1235999999999997</v>
      </c>
      <c r="K69">
        <f>ROUND(AVERAGE(seed1!K69,seed2!K69,seed3!K69,seed4!K69,seed5!K69,seed6!K69),4)</f>
        <v>11.2446</v>
      </c>
      <c r="M69">
        <f>ROUND(AVERAGE(seed1!M69,seed2!M69,seed3!M69,seed4!M69,seed5!M69,seed6!M69),4)</f>
        <v>7.4180999999999999</v>
      </c>
      <c r="N69">
        <f>ROUND(AVERAGE(seed1!N69,seed2!N69,seed3!N69,seed4!N69,seed5!N69,seed6!N69),4)</f>
        <v>3.3140999999999998</v>
      </c>
      <c r="O69">
        <f>ROUND(AVERAGE(seed1!O69,seed2!O69,seed3!O69,seed4!O69,seed5!O69,seed6!O69),4)</f>
        <v>16.5823</v>
      </c>
      <c r="Q69">
        <f>ROUND(AVERAGE(seed1!Q69,seed2!Q69,seed3!Q69,seed4!Q69,seed5!Q69,seed6!Q69),4)</f>
        <v>8.2623999999999995</v>
      </c>
      <c r="R69">
        <f>ROUND(AVERAGE(seed1!R69,seed2!R69,seed3!R69,seed4!R69,seed5!R69,seed6!R69),4)</f>
        <v>7.8479000000000001</v>
      </c>
      <c r="S69">
        <f>ROUND(AVERAGE(seed1!S69,seed2!S69,seed3!S69,seed4!S69,seed5!S69,seed6!S69),4)</f>
        <v>8.8756000000000004</v>
      </c>
      <c r="U69">
        <f>ROUND(AVERAGE(seed1!U69,seed2!U69,seed3!U69,seed4!U69,seed5!U69,seed6!U69),4)</f>
        <v>6.8537999999999997</v>
      </c>
      <c r="V69">
        <f>ROUND(AVERAGE(seed1!V69,seed2!V69,seed3!V69,seed4!V69,seed5!V69,seed6!V69),4)</f>
        <v>2.7141000000000002</v>
      </c>
      <c r="W69">
        <f>ROUND(AVERAGE(seed1!W69,seed2!W69,seed3!W69,seed4!W69,seed5!W69,seed6!W69),4)</f>
        <v>16.6374</v>
      </c>
      <c r="Y69">
        <f>ROUND(AVERAGE(seed1!Y69,seed2!Y69,seed3!Y69,seed4!Y69,seed5!Y69,seed6!Y69),4)</f>
        <v>7.6138000000000003</v>
      </c>
      <c r="Z69">
        <f>ROUND(AVERAGE(seed1!Z69,seed2!Z69,seed3!Z69,seed4!Z69,seed5!Z69,seed6!Z69),4)</f>
        <v>3.5004</v>
      </c>
      <c r="AA69">
        <f>ROUND(AVERAGE(seed1!AA69,seed2!AA69,seed3!AA69,seed4!AA69,seed5!AA69,seed6!AA69),4)</f>
        <v>16.522200000000002</v>
      </c>
      <c r="AC69">
        <f>ROUND(AVERAGE(seed1!AC69,seed2!AC69,seed3!AC69,seed4!AC69,seed5!AC69,seed6!AC69),4)</f>
        <v>8.3038000000000007</v>
      </c>
      <c r="AD69">
        <f>ROUND(AVERAGE(seed1!AD69,seed2!AD69,seed3!AD69,seed4!AD69,seed5!AD69,seed6!AD69),4)</f>
        <v>5.8654999999999999</v>
      </c>
      <c r="AE69">
        <f>ROUND(AVERAGE(seed1!AE69,seed2!AE69,seed3!AE69,seed4!AE69,seed5!AE69,seed6!AE69),4)</f>
        <v>12.130800000000001</v>
      </c>
      <c r="AG69">
        <f t="shared" si="0"/>
        <v>8.2982999999999993</v>
      </c>
      <c r="AH69">
        <f t="shared" si="1"/>
        <v>8.2182999999999993</v>
      </c>
      <c r="AI69">
        <f t="shared" si="2"/>
        <v>8.3038000000000007</v>
      </c>
      <c r="AJ69">
        <f t="shared" si="3"/>
        <v>7.4180999999999999</v>
      </c>
      <c r="AK69">
        <f t="shared" si="4"/>
        <v>8.2623999999999995</v>
      </c>
      <c r="AL69">
        <f t="shared" si="5"/>
        <v>6.8537999999999997</v>
      </c>
      <c r="AM69">
        <f t="shared" si="6"/>
        <v>7.6138000000000003</v>
      </c>
    </row>
    <row r="70" spans="1:39" ht="18" customHeight="1">
      <c r="B70">
        <v>1400</v>
      </c>
      <c r="C70">
        <v>1000</v>
      </c>
      <c r="E70">
        <f>ROUND(AVERAGE(seed1!E70,seed2!E70,seed3!E70,seed4!E70,seed5!E70,seed6!E70),4)</f>
        <v>7.8243999999999998</v>
      </c>
      <c r="F70">
        <f>ROUND(AVERAGE(seed1!F70,seed2!F70,seed3!F70,seed4!F70,seed5!F70,seed6!F70),4)</f>
        <v>5.8724999999999996</v>
      </c>
      <c r="G70">
        <f>ROUND(AVERAGE(seed1!G70,seed2!G70,seed3!G70,seed4!G70,seed5!G70,seed6!G70),4)</f>
        <v>11.714499999999999</v>
      </c>
      <c r="I70">
        <f>ROUND(AVERAGE(seed1!I70,seed2!I70,seed3!I70,seed4!I70,seed5!I70,seed6!I70),4)</f>
        <v>7.8613999999999997</v>
      </c>
      <c r="J70">
        <f>ROUND(AVERAGE(seed1!J70,seed2!J70,seed3!J70,seed4!J70,seed5!J70,seed6!J70),4)</f>
        <v>5.9169</v>
      </c>
      <c r="K70">
        <f>ROUND(AVERAGE(seed1!K70,seed2!K70,seed3!K70,seed4!K70,seed5!K70,seed6!K70),4)</f>
        <v>11.9267</v>
      </c>
      <c r="M70">
        <f>ROUND(AVERAGE(seed1!M70,seed2!M70,seed3!M70,seed4!M70,seed5!M70,seed6!M70),4)</f>
        <v>6.4028999999999998</v>
      </c>
      <c r="N70">
        <f>ROUND(AVERAGE(seed1!N70,seed2!N70,seed3!N70,seed4!N70,seed5!N70,seed6!N70),4)</f>
        <v>3.0547</v>
      </c>
      <c r="O70">
        <f>ROUND(AVERAGE(seed1!O70,seed2!O70,seed3!O70,seed4!O70,seed5!O70,seed6!O70),4)</f>
        <v>16.561199999999999</v>
      </c>
      <c r="Q70">
        <f>ROUND(AVERAGE(seed1!Q70,seed2!Q70,seed3!Q70,seed4!Q70,seed5!Q70,seed6!Q70),4)</f>
        <v>7.5239000000000003</v>
      </c>
      <c r="R70">
        <f>ROUND(AVERAGE(seed1!R70,seed2!R70,seed3!R70,seed4!R70,seed5!R70,seed6!R70),4)</f>
        <v>6.1418999999999997</v>
      </c>
      <c r="S70">
        <f>ROUND(AVERAGE(seed1!S70,seed2!S70,seed3!S70,seed4!S70,seed5!S70,seed6!S70),4)</f>
        <v>10.119</v>
      </c>
      <c r="U70">
        <f>ROUND(AVERAGE(seed1!U70,seed2!U70,seed3!U70,seed4!U70,seed5!U70,seed6!U70),4)</f>
        <v>5.7747000000000002</v>
      </c>
      <c r="V70">
        <f>ROUND(AVERAGE(seed1!V70,seed2!V70,seed3!V70,seed4!V70,seed5!V70,seed6!V70),4)</f>
        <v>2.3950999999999998</v>
      </c>
      <c r="W70">
        <f>ROUND(AVERAGE(seed1!W70,seed2!W70,seed3!W70,seed4!W70,seed5!W70,seed6!W70),4)</f>
        <v>16.630299999999998</v>
      </c>
      <c r="Y70">
        <f>ROUND(AVERAGE(seed1!Y70,seed2!Y70,seed3!Y70,seed4!Y70,seed5!Y70,seed6!Y70),4)</f>
        <v>6.5835999999999997</v>
      </c>
      <c r="Z70">
        <f>ROUND(AVERAGE(seed1!Z70,seed2!Z70,seed3!Z70,seed4!Z70,seed5!Z70,seed6!Z70),4)</f>
        <v>3.3653</v>
      </c>
      <c r="AA70">
        <f>ROUND(AVERAGE(seed1!AA70,seed2!AA70,seed3!AA70,seed4!AA70,seed5!AA70,seed6!AA70),4)</f>
        <v>16.146100000000001</v>
      </c>
      <c r="AC70">
        <f>ROUND(AVERAGE(seed1!AC70,seed2!AC70,seed3!AC70,seed4!AC70,seed5!AC70,seed6!AC70),4)</f>
        <v>7.8320999999999996</v>
      </c>
      <c r="AD70">
        <f>ROUND(AVERAGE(seed1!AD70,seed2!AD70,seed3!AD70,seed4!AD70,seed5!AD70,seed6!AD70),4)</f>
        <v>5.9653</v>
      </c>
      <c r="AE70">
        <f>ROUND(AVERAGE(seed1!AE70,seed2!AE70,seed3!AE70,seed4!AE70,seed5!AE70,seed6!AE70),4)</f>
        <v>11.538399999999999</v>
      </c>
      <c r="AG70">
        <f t="shared" si="0"/>
        <v>7.8243999999999998</v>
      </c>
      <c r="AH70">
        <f t="shared" si="1"/>
        <v>7.8613999999999997</v>
      </c>
      <c r="AI70">
        <f t="shared" si="2"/>
        <v>7.8320999999999996</v>
      </c>
      <c r="AJ70">
        <f t="shared" si="3"/>
        <v>6.4028999999999998</v>
      </c>
      <c r="AK70">
        <f t="shared" si="4"/>
        <v>7.5239000000000003</v>
      </c>
      <c r="AL70">
        <f t="shared" si="5"/>
        <v>5.7747000000000002</v>
      </c>
      <c r="AM70">
        <f t="shared" si="6"/>
        <v>6.5835999999999997</v>
      </c>
    </row>
    <row r="71" spans="1:39" ht="18" customHeight="1">
      <c r="B71">
        <v>800</v>
      </c>
      <c r="C71">
        <v>800</v>
      </c>
      <c r="E71">
        <f>ROUND(AVERAGE(seed1!E71,seed2!E71,seed3!E71,seed4!E71,seed5!E71,seed6!E71),4)</f>
        <v>12.771000000000001</v>
      </c>
      <c r="F71">
        <f>ROUND(AVERAGE(seed1!F71,seed2!F71,seed3!F71,seed4!F71,seed5!F71,seed6!F71),4)</f>
        <v>11.0175</v>
      </c>
      <c r="G71">
        <f>ROUND(AVERAGE(seed1!G71,seed2!G71,seed3!G71,seed4!G71,seed5!G71,seed6!G71),4)</f>
        <v>15.0395</v>
      </c>
      <c r="I71">
        <f>ROUND(AVERAGE(seed1!I71,seed2!I71,seed3!I71,seed4!I71,seed5!I71,seed6!I71),4)</f>
        <v>12.900499999999999</v>
      </c>
      <c r="J71">
        <f>ROUND(AVERAGE(seed1!J71,seed2!J71,seed3!J71,seed4!J71,seed5!J71,seed6!J71),4)</f>
        <v>11.168100000000001</v>
      </c>
      <c r="K71">
        <f>ROUND(AVERAGE(seed1!K71,seed2!K71,seed3!K71,seed4!K71,seed5!K71,seed6!K71),4)</f>
        <v>15.024800000000001</v>
      </c>
      <c r="M71">
        <f>ROUND(AVERAGE(seed1!M71,seed2!M71,seed3!M71,seed4!M71,seed5!M71,seed6!M71),4)</f>
        <v>12.1412</v>
      </c>
      <c r="N71">
        <f>ROUND(AVERAGE(seed1!N71,seed2!N71,seed3!N71,seed4!N71,seed5!N71,seed6!N71),4)</f>
        <v>9.2796000000000003</v>
      </c>
      <c r="O71">
        <f>ROUND(AVERAGE(seed1!O71,seed2!O71,seed3!O71,seed4!O71,seed5!O71,seed6!O71),4)</f>
        <v>16.446899999999999</v>
      </c>
      <c r="Q71">
        <f>ROUND(AVERAGE(seed1!Q71,seed2!Q71,seed3!Q71,seed4!Q71,seed5!Q71,seed6!Q71),4)</f>
        <v>12.797599999999999</v>
      </c>
      <c r="R71">
        <f>ROUND(AVERAGE(seed1!R71,seed2!R71,seed3!R71,seed4!R71,seed5!R71,seed6!R71),4)</f>
        <v>12.901</v>
      </c>
      <c r="S71">
        <f>ROUND(AVERAGE(seed1!S71,seed2!S71,seed3!S71,seed4!S71,seed5!S71,seed6!S71),4)</f>
        <v>12.7751</v>
      </c>
      <c r="U71">
        <f>ROUND(AVERAGE(seed1!U71,seed2!U71,seed3!U71,seed4!U71,seed5!U71,seed6!U71),4)</f>
        <v>9.3079999999999998</v>
      </c>
      <c r="V71">
        <f>ROUND(AVERAGE(seed1!V71,seed2!V71,seed3!V71,seed4!V71,seed5!V71,seed6!V71),4)</f>
        <v>5.5888</v>
      </c>
      <c r="W71">
        <f>ROUND(AVERAGE(seed1!W71,seed2!W71,seed3!W71,seed4!W71,seed5!W71,seed6!W71),4)</f>
        <v>16.549900000000001</v>
      </c>
      <c r="Y71">
        <f>ROUND(AVERAGE(seed1!Y71,seed2!Y71,seed3!Y71,seed4!Y71,seed5!Y71,seed6!Y71),4)</f>
        <v>13.027900000000001</v>
      </c>
      <c r="Z71">
        <f>ROUND(AVERAGE(seed1!Z71,seed2!Z71,seed3!Z71,seed4!Z71,seed5!Z71,seed6!Z71),4)</f>
        <v>10.7035</v>
      </c>
      <c r="AA71">
        <f>ROUND(AVERAGE(seed1!AA71,seed2!AA71,seed3!AA71,seed4!AA71,seed5!AA71,seed6!AA71),4)</f>
        <v>16.361699999999999</v>
      </c>
      <c r="AC71">
        <f>ROUND(AVERAGE(seed1!AC71,seed2!AC71,seed3!AC71,seed4!AC71,seed5!AC71,seed6!AC71),4)</f>
        <v>12.830399999999999</v>
      </c>
      <c r="AD71">
        <f>ROUND(AVERAGE(seed1!AD71,seed2!AD71,seed3!AD71,seed4!AD71,seed5!AD71,seed6!AD71),4)</f>
        <v>10.972300000000001</v>
      </c>
      <c r="AE71">
        <f>ROUND(AVERAGE(seed1!AE71,seed2!AE71,seed3!AE71,seed4!AE71,seed5!AE71,seed6!AE71),4)</f>
        <v>15.2662</v>
      </c>
      <c r="AG71">
        <f t="shared" ref="AG71:AG130" si="14">E71</f>
        <v>12.771000000000001</v>
      </c>
      <c r="AH71">
        <f t="shared" ref="AH71:AH130" si="15">I71</f>
        <v>12.900499999999999</v>
      </c>
      <c r="AI71">
        <f t="shared" ref="AI71:AI130" si="16">AC71</f>
        <v>12.830399999999999</v>
      </c>
      <c r="AJ71">
        <f t="shared" ref="AJ71:AJ130" si="17">M71</f>
        <v>12.1412</v>
      </c>
      <c r="AK71">
        <f t="shared" ref="AK71:AK130" si="18">Q71</f>
        <v>12.797599999999999</v>
      </c>
      <c r="AL71">
        <f t="shared" ref="AL71:AL130" si="19">U71</f>
        <v>9.3079999999999998</v>
      </c>
      <c r="AM71">
        <f t="shared" ref="AM71:AM130" si="20">Y71</f>
        <v>13.027900000000001</v>
      </c>
    </row>
    <row r="72" spans="1:39" ht="18" customHeight="1">
      <c r="AG72">
        <f t="shared" si="14"/>
        <v>0</v>
      </c>
      <c r="AH72">
        <f t="shared" si="15"/>
        <v>0</v>
      </c>
      <c r="AI72">
        <f t="shared" si="16"/>
        <v>0</v>
      </c>
      <c r="AJ72">
        <f t="shared" si="17"/>
        <v>0</v>
      </c>
      <c r="AK72">
        <f t="shared" si="18"/>
        <v>0</v>
      </c>
      <c r="AL72">
        <f t="shared" si="19"/>
        <v>0</v>
      </c>
      <c r="AM72">
        <f t="shared" si="20"/>
        <v>0</v>
      </c>
    </row>
    <row r="73" spans="1:39" ht="18" customHeight="1">
      <c r="B73">
        <v>500</v>
      </c>
      <c r="C73">
        <v>1500</v>
      </c>
      <c r="AG73">
        <f t="shared" si="14"/>
        <v>0</v>
      </c>
      <c r="AH73">
        <f t="shared" si="15"/>
        <v>0</v>
      </c>
      <c r="AI73">
        <f t="shared" si="16"/>
        <v>0</v>
      </c>
      <c r="AJ73">
        <f t="shared" si="17"/>
        <v>0</v>
      </c>
      <c r="AK73">
        <f t="shared" si="18"/>
        <v>0</v>
      </c>
      <c r="AL73">
        <f t="shared" si="19"/>
        <v>0</v>
      </c>
      <c r="AM73">
        <f t="shared" si="20"/>
        <v>0</v>
      </c>
    </row>
    <row r="74" spans="1:39" ht="18" customHeight="1">
      <c r="A74" t="s">
        <v>20</v>
      </c>
      <c r="B74">
        <v>600</v>
      </c>
      <c r="C74">
        <v>1400</v>
      </c>
      <c r="E74">
        <f>ROUND(AVERAGE(seed1!E74,seed2!E74,seed3!E74,seed4!E74,seed5!E74,seed6!E74),4)</f>
        <v>11.7981</v>
      </c>
      <c r="F74">
        <f>ROUND(AVERAGE(seed1!F74,seed2!F74,seed3!F74,seed4!F74,seed5!F74,seed6!F74),4)</f>
        <v>7.0384000000000002</v>
      </c>
      <c r="G74">
        <f>ROUND(AVERAGE(seed1!G74,seed2!G74,seed3!G74,seed4!G74,seed5!G74,seed6!G74),4)</f>
        <v>15.268700000000001</v>
      </c>
      <c r="I74">
        <f>ROUND(AVERAGE(seed1!I74,seed2!I74,seed3!I74,seed4!I74,seed5!I74,seed6!I74),4)</f>
        <v>11.8064</v>
      </c>
      <c r="J74">
        <f>ROUND(AVERAGE(seed1!J74,seed2!J74,seed3!J74,seed4!J74,seed5!J74,seed6!J74),4)</f>
        <v>7.4497</v>
      </c>
      <c r="K74">
        <f>ROUND(AVERAGE(seed1!K74,seed2!K74,seed3!K74,seed4!K74,seed5!K74,seed6!K74),4)</f>
        <v>14.817399999999999</v>
      </c>
      <c r="M74">
        <f>ROUND(AVERAGE(seed1!M74,seed2!M74,seed3!M74,seed4!M74,seed5!M74,seed6!M74),4)</f>
        <v>9.9108999999999998</v>
      </c>
      <c r="N74">
        <f>ROUND(AVERAGE(seed1!N74,seed2!N74,seed3!N74,seed4!N74,seed5!N74,seed6!N74),4)</f>
        <v>3.8872</v>
      </c>
      <c r="O74">
        <f>ROUND(AVERAGE(seed1!O74,seed2!O74,seed3!O74,seed4!O74,seed5!O74,seed6!O74),4)</f>
        <v>16.663699999999999</v>
      </c>
      <c r="Q74">
        <f>ROUND(AVERAGE(seed1!Q74,seed2!Q74,seed3!Q74,seed4!Q74,seed5!Q74,seed6!Q74),4)</f>
        <v>10.8485</v>
      </c>
      <c r="R74">
        <f>ROUND(AVERAGE(seed1!R74,seed2!R74,seed3!R74,seed4!R74,seed5!R74,seed6!R74),4)</f>
        <v>12.207800000000001</v>
      </c>
      <c r="S74">
        <f>ROUND(AVERAGE(seed1!S74,seed2!S74,seed3!S74,seed4!S74,seed5!S74,seed6!S74),4)</f>
        <v>10.432600000000001</v>
      </c>
      <c r="U74">
        <f>ROUND(AVERAGE(seed1!U74,seed2!U74,seed3!U74,seed4!U74,seed5!U74,seed6!U74),4)</f>
        <v>9.6134000000000004</v>
      </c>
      <c r="V74">
        <f>ROUND(AVERAGE(seed1!V74,seed2!V74,seed3!V74,seed4!V74,seed5!V74,seed6!V74),4)</f>
        <v>3.6105</v>
      </c>
      <c r="W74">
        <f>ROUND(AVERAGE(seed1!W74,seed2!W74,seed3!W74,seed4!W74,seed5!W74,seed6!W74),4)</f>
        <v>16.663699999999999</v>
      </c>
      <c r="Y74">
        <f>ROUND(AVERAGE(seed1!Y74,seed2!Y74,seed3!Y74,seed4!Y74,seed5!Y74,seed6!Y74),4)</f>
        <v>11.6912</v>
      </c>
      <c r="Z74">
        <f>ROUND(AVERAGE(seed1!Z74,seed2!Z74,seed3!Z74,seed4!Z74,seed5!Z74,seed6!Z74),4)</f>
        <v>6.2050000000000001</v>
      </c>
      <c r="AA74">
        <f>ROUND(AVERAGE(seed1!AA74,seed2!AA74,seed3!AA74,seed4!AA74,seed5!AA74,seed6!AA74),4)</f>
        <v>16.4526</v>
      </c>
      <c r="AC74">
        <f>ROUND(AVERAGE(seed1!AC74,seed2!AC74,seed3!AC74,seed4!AC74,seed5!AC74,seed6!AC74),4)</f>
        <v>11.687200000000001</v>
      </c>
      <c r="AD74">
        <f>ROUND(AVERAGE(seed1!AD74,seed2!AD74,seed3!AD74,seed4!AD74,seed5!AD74,seed6!AD74),4)</f>
        <v>6.4103000000000003</v>
      </c>
      <c r="AE74">
        <f>ROUND(AVERAGE(seed1!AE74,seed2!AE74,seed3!AE74,seed4!AE74,seed5!AE74,seed6!AE74),4)</f>
        <v>15.815099999999999</v>
      </c>
      <c r="AG74">
        <f t="shared" si="14"/>
        <v>11.7981</v>
      </c>
      <c r="AH74">
        <f t="shared" si="15"/>
        <v>11.8064</v>
      </c>
      <c r="AI74">
        <f t="shared" si="16"/>
        <v>11.687200000000001</v>
      </c>
      <c r="AJ74">
        <f t="shared" si="17"/>
        <v>9.9108999999999998</v>
      </c>
      <c r="AK74">
        <f t="shared" si="18"/>
        <v>10.8485</v>
      </c>
      <c r="AL74">
        <f t="shared" si="19"/>
        <v>9.6134000000000004</v>
      </c>
      <c r="AM74">
        <f t="shared" si="20"/>
        <v>11.6912</v>
      </c>
    </row>
    <row r="75" spans="1:39" ht="18" customHeight="1">
      <c r="B75">
        <v>700</v>
      </c>
      <c r="C75">
        <v>1300</v>
      </c>
      <c r="AG75">
        <f t="shared" si="14"/>
        <v>0</v>
      </c>
      <c r="AH75">
        <f t="shared" si="15"/>
        <v>0</v>
      </c>
      <c r="AI75">
        <f t="shared" si="16"/>
        <v>0</v>
      </c>
      <c r="AJ75">
        <f t="shared" si="17"/>
        <v>0</v>
      </c>
      <c r="AK75">
        <f t="shared" si="18"/>
        <v>0</v>
      </c>
      <c r="AL75">
        <f t="shared" si="19"/>
        <v>0</v>
      </c>
      <c r="AM75">
        <f t="shared" si="20"/>
        <v>0</v>
      </c>
    </row>
    <row r="76" spans="1:39" ht="18" customHeight="1">
      <c r="B76">
        <v>800</v>
      </c>
      <c r="C76">
        <v>1200</v>
      </c>
      <c r="E76">
        <f>ROUND(AVERAGE(seed1!E76,seed2!E76,seed3!E76,seed4!E76,seed5!E76,seed6!E76),4)</f>
        <v>10.071400000000001</v>
      </c>
      <c r="F76">
        <f>ROUND(AVERAGE(seed1!F76,seed2!F76,seed3!F76,seed4!F76,seed5!F76,seed6!F76),4)</f>
        <v>6.5765000000000002</v>
      </c>
      <c r="G76">
        <f>ROUND(AVERAGE(seed1!G76,seed2!G76,seed3!G76,seed4!G76,seed5!G76,seed6!G76),4)</f>
        <v>14.0398</v>
      </c>
      <c r="I76">
        <f>ROUND(AVERAGE(seed1!I76,seed2!I76,seed3!I76,seed4!I76,seed5!I76,seed6!I76),4)</f>
        <v>9.9791000000000007</v>
      </c>
      <c r="J76">
        <f>ROUND(AVERAGE(seed1!J76,seed2!J76,seed3!J76,seed4!J76,seed5!J76,seed6!J76),4)</f>
        <v>6.4565000000000001</v>
      </c>
      <c r="K76">
        <f>ROUND(AVERAGE(seed1!K76,seed2!K76,seed3!K76,seed4!K76,seed5!K76,seed6!K76),4)</f>
        <v>13.972799999999999</v>
      </c>
      <c r="M76">
        <f>ROUND(AVERAGE(seed1!M76,seed2!M76,seed3!M76,seed4!M76,seed5!M76,seed6!M76),4)</f>
        <v>9.0410000000000004</v>
      </c>
      <c r="N76">
        <f>ROUND(AVERAGE(seed1!N76,seed2!N76,seed3!N76,seed4!N76,seed5!N76,seed6!N76),4)</f>
        <v>4.0909000000000004</v>
      </c>
      <c r="O76">
        <f>ROUND(AVERAGE(seed1!O76,seed2!O76,seed3!O76,seed4!O76,seed5!O76,seed6!O76),4)</f>
        <v>16.669599999999999</v>
      </c>
      <c r="Q76">
        <f>ROUND(AVERAGE(seed1!Q76,seed2!Q76,seed3!Q76,seed4!Q76,seed5!Q76,seed6!Q76),4)</f>
        <v>9.8293999999999997</v>
      </c>
      <c r="R76">
        <f>ROUND(AVERAGE(seed1!R76,seed2!R76,seed3!R76,seed4!R76,seed5!R76,seed6!R76),4)</f>
        <v>10.6501</v>
      </c>
      <c r="S76">
        <f>ROUND(AVERAGE(seed1!S76,seed2!S76,seed3!S76,seed4!S76,seed5!S76,seed6!S76),4)</f>
        <v>9.4463000000000008</v>
      </c>
      <c r="U76">
        <f>ROUND(AVERAGE(seed1!U76,seed2!U76,seed3!U76,seed4!U76,seed5!U76,seed6!U76),4)</f>
        <v>7.5566000000000004</v>
      </c>
      <c r="V76">
        <f>ROUND(AVERAGE(seed1!V76,seed2!V76,seed3!V76,seed4!V76,seed5!V76,seed6!V76),4)</f>
        <v>2.6958000000000002</v>
      </c>
      <c r="W76">
        <f>ROUND(AVERAGE(seed1!W76,seed2!W76,seed3!W76,seed4!W76,seed5!W76,seed6!W76),4)</f>
        <v>16.670000000000002</v>
      </c>
      <c r="Y76">
        <f>ROUND(AVERAGE(seed1!Y76,seed2!Y76,seed3!Y76,seed4!Y76,seed5!Y76,seed6!Y76),4)</f>
        <v>9.0335999999999999</v>
      </c>
      <c r="Z76">
        <f>ROUND(AVERAGE(seed1!Z76,seed2!Z76,seed3!Z76,seed4!Z76,seed5!Z76,seed6!Z76),4)</f>
        <v>4.0818000000000003</v>
      </c>
      <c r="AA76">
        <f>ROUND(AVERAGE(seed1!AA76,seed2!AA76,seed3!AA76,seed4!AA76,seed5!AA76,seed6!AA76),4)</f>
        <v>16.6692</v>
      </c>
      <c r="AC76">
        <f>ROUND(AVERAGE(seed1!AC76,seed2!AC76,seed3!AC76,seed4!AC76,seed5!AC76,seed6!AC76),4)</f>
        <v>9.9824000000000002</v>
      </c>
      <c r="AD76">
        <f>ROUND(AVERAGE(seed1!AD76,seed2!AD76,seed3!AD76,seed4!AD76,seed5!AD76,seed6!AD76),4)</f>
        <v>6.5067000000000004</v>
      </c>
      <c r="AE76">
        <f>ROUND(AVERAGE(seed1!AE76,seed2!AE76,seed3!AE76,seed4!AE76,seed5!AE76,seed6!AE76),4)</f>
        <v>13.846</v>
      </c>
      <c r="AG76">
        <f t="shared" si="14"/>
        <v>10.071400000000001</v>
      </c>
      <c r="AH76">
        <f t="shared" si="15"/>
        <v>9.9791000000000007</v>
      </c>
      <c r="AI76">
        <f t="shared" si="16"/>
        <v>9.9824000000000002</v>
      </c>
      <c r="AJ76">
        <f t="shared" si="17"/>
        <v>9.0410000000000004</v>
      </c>
      <c r="AK76">
        <f t="shared" si="18"/>
        <v>9.8293999999999997</v>
      </c>
      <c r="AL76">
        <f t="shared" si="19"/>
        <v>7.5566000000000004</v>
      </c>
      <c r="AM76">
        <f t="shared" si="20"/>
        <v>9.0335999999999999</v>
      </c>
    </row>
    <row r="77" spans="1:39" ht="18" customHeight="1">
      <c r="B77">
        <v>900</v>
      </c>
      <c r="C77">
        <v>1100</v>
      </c>
      <c r="AG77">
        <f t="shared" si="14"/>
        <v>0</v>
      </c>
      <c r="AH77">
        <f t="shared" si="15"/>
        <v>0</v>
      </c>
      <c r="AI77">
        <f t="shared" si="16"/>
        <v>0</v>
      </c>
      <c r="AJ77">
        <f t="shared" si="17"/>
        <v>0</v>
      </c>
      <c r="AK77">
        <f t="shared" si="18"/>
        <v>0</v>
      </c>
      <c r="AL77">
        <f t="shared" si="19"/>
        <v>0</v>
      </c>
      <c r="AM77">
        <f t="shared" si="20"/>
        <v>0</v>
      </c>
    </row>
    <row r="78" spans="1:39" ht="18" customHeight="1">
      <c r="B78">
        <v>1000</v>
      </c>
      <c r="C78">
        <v>1000</v>
      </c>
      <c r="E78">
        <f>ROUND(AVERAGE(seed1!E78,seed2!E78,seed3!E78,seed4!E78,seed5!E78,seed6!E78),4)</f>
        <v>9.2555999999999994</v>
      </c>
      <c r="F78">
        <f>ROUND(AVERAGE(seed1!F78,seed2!F78,seed3!F78,seed4!F78,seed5!F78,seed6!F78),4)</f>
        <v>7.4076000000000004</v>
      </c>
      <c r="G78">
        <f>ROUND(AVERAGE(seed1!G78,seed2!G78,seed3!G78,seed4!G78,seed5!G78,seed6!G78),4)</f>
        <v>12.149800000000001</v>
      </c>
      <c r="I78">
        <f>ROUND(AVERAGE(seed1!I78,seed2!I78,seed3!I78,seed4!I78,seed5!I78,seed6!I78),4)</f>
        <v>9.1689000000000007</v>
      </c>
      <c r="J78">
        <f>ROUND(AVERAGE(seed1!J78,seed2!J78,seed3!J78,seed4!J78,seed5!J78,seed6!J78),4)</f>
        <v>6.8365</v>
      </c>
      <c r="K78">
        <f>ROUND(AVERAGE(seed1!K78,seed2!K78,seed3!K78,seed4!K78,seed5!K78,seed6!K78),4)</f>
        <v>13.0479</v>
      </c>
      <c r="M78">
        <f>ROUND(AVERAGE(seed1!M78,seed2!M78,seed3!M78,seed4!M78,seed5!M78,seed6!M78),4)</f>
        <v>7.2127999999999997</v>
      </c>
      <c r="N78">
        <f>ROUND(AVERAGE(seed1!N78,seed2!N78,seed3!N78,seed4!N78,seed5!N78,seed6!N78),4)</f>
        <v>3.4077999999999999</v>
      </c>
      <c r="O78">
        <f>ROUND(AVERAGE(seed1!O78,seed2!O78,seed3!O78,seed4!O78,seed5!O78,seed6!O78),4)</f>
        <v>16.627800000000001</v>
      </c>
      <c r="Q78">
        <f>ROUND(AVERAGE(seed1!Q78,seed2!Q78,seed3!Q78,seed4!Q78,seed5!Q78,seed6!Q78),4)</f>
        <v>8.8856000000000002</v>
      </c>
      <c r="R78">
        <f>ROUND(AVERAGE(seed1!R78,seed2!R78,seed3!R78,seed4!R78,seed5!R78,seed6!R78),4)</f>
        <v>8.2383000000000006</v>
      </c>
      <c r="S78">
        <f>ROUND(AVERAGE(seed1!S78,seed2!S78,seed3!S78,seed4!S78,seed5!S78,seed6!S78),4)</f>
        <v>9.6839999999999993</v>
      </c>
      <c r="U78">
        <f>ROUND(AVERAGE(seed1!U78,seed2!U78,seed3!U78,seed4!U78,seed5!U78,seed6!U78),4)</f>
        <v>6.2530999999999999</v>
      </c>
      <c r="V78">
        <f>ROUND(AVERAGE(seed1!V78,seed2!V78,seed3!V78,seed4!V78,seed5!V78,seed6!V78),4)</f>
        <v>2.5626000000000002</v>
      </c>
      <c r="W78">
        <f>ROUND(AVERAGE(seed1!W78,seed2!W78,seed3!W78,seed4!W78,seed5!W78,seed6!W78),4)</f>
        <v>16.613800000000001</v>
      </c>
      <c r="Y78">
        <f>ROUND(AVERAGE(seed1!Y78,seed2!Y78,seed3!Y78,seed4!Y78,seed5!Y78,seed6!Y78),4)</f>
        <v>7.6407999999999996</v>
      </c>
      <c r="Z78">
        <f>ROUND(AVERAGE(seed1!Z78,seed2!Z78,seed3!Z78,seed4!Z78,seed5!Z78,seed6!Z78),4)</f>
        <v>3.7837000000000001</v>
      </c>
      <c r="AA78">
        <f>ROUND(AVERAGE(seed1!AA78,seed2!AA78,seed3!AA78,seed4!AA78,seed5!AA78,seed6!AA78),4)</f>
        <v>16.637899999999998</v>
      </c>
      <c r="AC78">
        <f>ROUND(AVERAGE(seed1!AC78,seed2!AC78,seed3!AC78,seed4!AC78,seed5!AC78,seed6!AC78),4)</f>
        <v>9.1829999999999998</v>
      </c>
      <c r="AD78">
        <f>ROUND(AVERAGE(seed1!AD78,seed2!AD78,seed3!AD78,seed4!AD78,seed5!AD78,seed6!AD78),4)</f>
        <v>7.2042999999999999</v>
      </c>
      <c r="AE78">
        <f>ROUND(AVERAGE(seed1!AE78,seed2!AE78,seed3!AE78,seed4!AE78,seed5!AE78,seed6!AE78),4)</f>
        <v>12.383699999999999</v>
      </c>
      <c r="AG78">
        <f t="shared" si="14"/>
        <v>9.2555999999999994</v>
      </c>
      <c r="AH78">
        <f t="shared" si="15"/>
        <v>9.1689000000000007</v>
      </c>
      <c r="AI78">
        <f t="shared" si="16"/>
        <v>9.1829999999999998</v>
      </c>
      <c r="AJ78">
        <f t="shared" si="17"/>
        <v>7.2127999999999997</v>
      </c>
      <c r="AK78">
        <f t="shared" si="18"/>
        <v>8.8856000000000002</v>
      </c>
      <c r="AL78">
        <f t="shared" si="19"/>
        <v>6.2530999999999999</v>
      </c>
      <c r="AM78">
        <f t="shared" si="20"/>
        <v>7.6407999999999996</v>
      </c>
    </row>
    <row r="79" spans="1:39" ht="18" customHeight="1">
      <c r="B79">
        <v>1100</v>
      </c>
      <c r="C79">
        <v>900</v>
      </c>
      <c r="AG79">
        <f t="shared" si="14"/>
        <v>0</v>
      </c>
      <c r="AH79">
        <f t="shared" si="15"/>
        <v>0</v>
      </c>
      <c r="AI79">
        <f t="shared" si="16"/>
        <v>0</v>
      </c>
      <c r="AJ79">
        <f t="shared" si="17"/>
        <v>0</v>
      </c>
      <c r="AK79">
        <f t="shared" si="18"/>
        <v>0</v>
      </c>
      <c r="AL79">
        <f t="shared" si="19"/>
        <v>0</v>
      </c>
      <c r="AM79">
        <f t="shared" si="20"/>
        <v>0</v>
      </c>
    </row>
    <row r="80" spans="1:39" ht="18" customHeight="1">
      <c r="B80">
        <v>1200</v>
      </c>
      <c r="C80">
        <v>800</v>
      </c>
      <c r="E80">
        <f>ROUND(AVERAGE(seed1!E80,seed2!E80,seed3!E80,seed4!E80,seed5!E80,seed6!E80),4)</f>
        <v>6.6064999999999996</v>
      </c>
      <c r="F80">
        <f>ROUND(AVERAGE(seed1!F80,seed2!F80,seed3!F80,seed4!F80,seed5!F80,seed6!F80),4)</f>
        <v>5.0340999999999996</v>
      </c>
      <c r="G80">
        <f>ROUND(AVERAGE(seed1!G80,seed2!G80,seed3!G80,seed4!G80,seed5!G80,seed6!G80),4)</f>
        <v>10.905200000000001</v>
      </c>
      <c r="I80">
        <f>ROUND(AVERAGE(seed1!I80,seed2!I80,seed3!I80,seed4!I80,seed5!I80,seed6!I80),4)</f>
        <v>6.8272000000000004</v>
      </c>
      <c r="J80">
        <f>ROUND(AVERAGE(seed1!J80,seed2!J80,seed3!J80,seed4!J80,seed5!J80,seed6!J80),4)</f>
        <v>5.3426</v>
      </c>
      <c r="K80">
        <f>ROUND(AVERAGE(seed1!K80,seed2!K80,seed3!K80,seed4!K80,seed5!K80,seed6!K80),4)</f>
        <v>10.938000000000001</v>
      </c>
      <c r="M80">
        <f>ROUND(AVERAGE(seed1!M80,seed2!M80,seed3!M80,seed4!M80,seed5!M80,seed6!M80),4)</f>
        <v>5.3005000000000004</v>
      </c>
      <c r="N80">
        <f>ROUND(AVERAGE(seed1!N80,seed2!N80,seed3!N80,seed4!N80,seed5!N80,seed6!N80),4)</f>
        <v>2.73</v>
      </c>
      <c r="O80">
        <f>ROUND(AVERAGE(seed1!O80,seed2!O80,seed3!O80,seed4!O80,seed5!O80,seed6!O80),4)</f>
        <v>16.611999999999998</v>
      </c>
      <c r="Q80">
        <f>ROUND(AVERAGE(seed1!Q80,seed2!Q80,seed3!Q80,seed4!Q80,seed5!Q80,seed6!Q80),4)</f>
        <v>7.2426000000000004</v>
      </c>
      <c r="R80">
        <f>ROUND(AVERAGE(seed1!R80,seed2!R80,seed3!R80,seed4!R80,seed5!R80,seed6!R80),4)</f>
        <v>6.1074999999999999</v>
      </c>
      <c r="S80">
        <f>ROUND(AVERAGE(seed1!S80,seed2!S80,seed3!S80,seed4!S80,seed5!S80,seed6!S80),4)</f>
        <v>9.8684999999999992</v>
      </c>
      <c r="U80">
        <f>ROUND(AVERAGE(seed1!U80,seed2!U80,seed3!U80,seed4!U80,seed5!U80,seed6!U80),4)</f>
        <v>4.4958</v>
      </c>
      <c r="V80">
        <f>ROUND(AVERAGE(seed1!V80,seed2!V80,seed3!V80,seed4!V80,seed5!V80,seed6!V80),4)</f>
        <v>1.9490000000000001</v>
      </c>
      <c r="W80">
        <f>ROUND(AVERAGE(seed1!W80,seed2!W80,seed3!W80,seed4!W80,seed5!W80,seed6!W80),4)</f>
        <v>16.6374</v>
      </c>
      <c r="Y80">
        <f>ROUND(AVERAGE(seed1!Y80,seed2!Y80,seed3!Y80,seed4!Y80,seed5!Y80,seed6!Y80),4)</f>
        <v>5.4169</v>
      </c>
      <c r="Z80">
        <f>ROUND(AVERAGE(seed1!Z80,seed2!Z80,seed3!Z80,seed4!Z80,seed5!Z80,seed6!Z80),4)</f>
        <v>2.8374999999999999</v>
      </c>
      <c r="AA80">
        <f>ROUND(AVERAGE(seed1!AA80,seed2!AA80,seed3!AA80,seed4!AA80,seed5!AA80,seed6!AA80),4)</f>
        <v>16.635000000000002</v>
      </c>
      <c r="AC80">
        <f>ROUND(AVERAGE(seed1!AC80,seed2!AC80,seed3!AC80,seed4!AC80,seed5!AC80,seed6!AC80),4)</f>
        <v>7.4108000000000001</v>
      </c>
      <c r="AD80">
        <f>ROUND(AVERAGE(seed1!AD80,seed2!AD80,seed3!AD80,seed4!AD80,seed5!AD80,seed6!AD80),4)</f>
        <v>6.0502000000000002</v>
      </c>
      <c r="AE80">
        <f>ROUND(AVERAGE(seed1!AE80,seed2!AE80,seed3!AE80,seed4!AE80,seed5!AE80,seed6!AE80),4)</f>
        <v>10.980700000000001</v>
      </c>
      <c r="AG80">
        <f t="shared" si="14"/>
        <v>6.6064999999999996</v>
      </c>
      <c r="AH80">
        <f t="shared" si="15"/>
        <v>6.8272000000000004</v>
      </c>
      <c r="AI80">
        <f t="shared" si="16"/>
        <v>7.4108000000000001</v>
      </c>
      <c r="AJ80">
        <f t="shared" si="17"/>
        <v>5.3005000000000004</v>
      </c>
      <c r="AK80">
        <f t="shared" si="18"/>
        <v>7.2426000000000004</v>
      </c>
      <c r="AL80">
        <f t="shared" si="19"/>
        <v>4.4958</v>
      </c>
      <c r="AM80">
        <f t="shared" si="20"/>
        <v>5.4169</v>
      </c>
    </row>
    <row r="81" spans="1:39" ht="18" customHeight="1">
      <c r="B81">
        <v>1300</v>
      </c>
      <c r="C81">
        <v>700</v>
      </c>
      <c r="AG81">
        <f t="shared" si="14"/>
        <v>0</v>
      </c>
      <c r="AH81">
        <f t="shared" si="15"/>
        <v>0</v>
      </c>
      <c r="AI81">
        <f t="shared" si="16"/>
        <v>0</v>
      </c>
      <c r="AJ81">
        <f t="shared" si="17"/>
        <v>0</v>
      </c>
      <c r="AK81">
        <f t="shared" si="18"/>
        <v>0</v>
      </c>
      <c r="AL81">
        <f t="shared" si="19"/>
        <v>0</v>
      </c>
      <c r="AM81">
        <f t="shared" si="20"/>
        <v>0</v>
      </c>
    </row>
    <row r="82" spans="1:39" ht="18" customHeight="1">
      <c r="B82">
        <v>1400</v>
      </c>
      <c r="C82">
        <v>600</v>
      </c>
      <c r="E82">
        <f>ROUND(AVERAGE(seed1!E82,seed2!E82,seed3!E82,seed4!E82,seed5!E82,seed6!E82),4)</f>
        <v>7.5259999999999998</v>
      </c>
      <c r="F82">
        <f>ROUND(AVERAGE(seed1!F82,seed2!F82,seed3!F82,seed4!F82,seed5!F82,seed6!F82),4)</f>
        <v>6.2759999999999998</v>
      </c>
      <c r="G82">
        <f>ROUND(AVERAGE(seed1!G82,seed2!G82,seed3!G82,seed4!G82,seed5!G82,seed6!G82),4)</f>
        <v>12.142899999999999</v>
      </c>
      <c r="I82">
        <f>ROUND(AVERAGE(seed1!I82,seed2!I82,seed3!I82,seed4!I82,seed5!I82,seed6!I82),4)</f>
        <v>7.1097999999999999</v>
      </c>
      <c r="J82">
        <f>ROUND(AVERAGE(seed1!J82,seed2!J82,seed3!J82,seed4!J82,seed5!J82,seed6!J82),4)</f>
        <v>5.8041999999999998</v>
      </c>
      <c r="K82">
        <f>ROUND(AVERAGE(seed1!K82,seed2!K82,seed3!K82,seed4!K82,seed5!K82,seed6!K82),4)</f>
        <v>11.9171</v>
      </c>
      <c r="M82">
        <f>ROUND(AVERAGE(seed1!M82,seed2!M82,seed3!M82,seed4!M82,seed5!M82,seed6!M82),4)</f>
        <v>5.7958999999999996</v>
      </c>
      <c r="N82">
        <f>ROUND(AVERAGE(seed1!N82,seed2!N82,seed3!N82,seed4!N82,seed5!N82,seed6!N82),4)</f>
        <v>3.8146</v>
      </c>
      <c r="O82">
        <f>ROUND(AVERAGE(seed1!O82,seed2!O82,seed3!O82,seed4!O82,seed5!O82,seed6!O82),4)</f>
        <v>16.445799999999998</v>
      </c>
      <c r="Q82">
        <f>ROUND(AVERAGE(seed1!Q82,seed2!Q82,seed3!Q82,seed4!Q82,seed5!Q82,seed6!Q82),4)</f>
        <v>7.3841999999999999</v>
      </c>
      <c r="R82">
        <f>ROUND(AVERAGE(seed1!R82,seed2!R82,seed3!R82,seed4!R82,seed5!R82,seed6!R82),4)</f>
        <v>6.1645000000000003</v>
      </c>
      <c r="S82">
        <f>ROUND(AVERAGE(seed1!S82,seed2!S82,seed3!S82,seed4!S82,seed5!S82,seed6!S82),4)</f>
        <v>11.5113</v>
      </c>
      <c r="U82">
        <f>ROUND(AVERAGE(seed1!U82,seed2!U82,seed3!U82,seed4!U82,seed5!U82,seed6!U82),4)</f>
        <v>4.8082000000000003</v>
      </c>
      <c r="V82">
        <f>ROUND(AVERAGE(seed1!V82,seed2!V82,seed3!V82,seed4!V82,seed5!V82,seed6!V82),4)</f>
        <v>2.8138999999999998</v>
      </c>
      <c r="W82">
        <f>ROUND(AVERAGE(seed1!W82,seed2!W82,seed3!W82,seed4!W82,seed5!W82,seed6!W82),4)</f>
        <v>16.567900000000002</v>
      </c>
      <c r="Y82">
        <f>ROUND(AVERAGE(seed1!Y82,seed2!Y82,seed3!Y82,seed4!Y82,seed5!Y82,seed6!Y82),4)</f>
        <v>5.4939</v>
      </c>
      <c r="Z82">
        <f>ROUND(AVERAGE(seed1!Z82,seed2!Z82,seed3!Z82,seed4!Z82,seed5!Z82,seed6!Z82),4)</f>
        <v>3.4937999999999998</v>
      </c>
      <c r="AA82">
        <f>ROUND(AVERAGE(seed1!AA82,seed2!AA82,seed3!AA82,seed4!AA82,seed5!AA82,seed6!AA82),4)</f>
        <v>16.519500000000001</v>
      </c>
      <c r="AC82">
        <f>ROUND(AVERAGE(seed1!AC82,seed2!AC82,seed3!AC82,seed4!AC82,seed5!AC82,seed6!AC82),4)</f>
        <v>7.3308999999999997</v>
      </c>
      <c r="AD82">
        <f>ROUND(AVERAGE(seed1!AD82,seed2!AD82,seed3!AD82,seed4!AD82,seed5!AD82,seed6!AD82),4)</f>
        <v>6.1254999999999997</v>
      </c>
      <c r="AE82">
        <f>ROUND(AVERAGE(seed1!AE82,seed2!AE82,seed3!AE82,seed4!AE82,seed5!AE82,seed6!AE82),4)</f>
        <v>11.642899999999999</v>
      </c>
      <c r="AG82">
        <f t="shared" si="14"/>
        <v>7.5259999999999998</v>
      </c>
      <c r="AH82">
        <f t="shared" si="15"/>
        <v>7.1097999999999999</v>
      </c>
      <c r="AI82">
        <f t="shared" si="16"/>
        <v>7.3308999999999997</v>
      </c>
      <c r="AJ82">
        <f t="shared" si="17"/>
        <v>5.7958999999999996</v>
      </c>
      <c r="AK82">
        <f t="shared" si="18"/>
        <v>7.3841999999999999</v>
      </c>
      <c r="AL82">
        <f t="shared" si="19"/>
        <v>4.8082000000000003</v>
      </c>
      <c r="AM82">
        <f t="shared" si="20"/>
        <v>5.4939</v>
      </c>
    </row>
    <row r="83" spans="1:39" ht="18" customHeight="1">
      <c r="B83">
        <v>1500</v>
      </c>
      <c r="C83">
        <v>500</v>
      </c>
      <c r="AG83">
        <f t="shared" si="14"/>
        <v>0</v>
      </c>
      <c r="AH83">
        <f t="shared" si="15"/>
        <v>0</v>
      </c>
      <c r="AI83">
        <f t="shared" si="16"/>
        <v>0</v>
      </c>
      <c r="AJ83">
        <f t="shared" si="17"/>
        <v>0</v>
      </c>
      <c r="AK83">
        <f t="shared" si="18"/>
        <v>0</v>
      </c>
      <c r="AL83">
        <f t="shared" si="19"/>
        <v>0</v>
      </c>
      <c r="AM83">
        <f t="shared" si="20"/>
        <v>0</v>
      </c>
    </row>
    <row r="84" spans="1:39" ht="18" customHeight="1">
      <c r="AG84">
        <f t="shared" si="14"/>
        <v>0</v>
      </c>
      <c r="AH84">
        <f t="shared" si="15"/>
        <v>0</v>
      </c>
      <c r="AI84">
        <f t="shared" si="16"/>
        <v>0</v>
      </c>
      <c r="AJ84">
        <f t="shared" si="17"/>
        <v>0</v>
      </c>
      <c r="AK84">
        <f t="shared" si="18"/>
        <v>0</v>
      </c>
      <c r="AL84">
        <f t="shared" si="19"/>
        <v>0</v>
      </c>
      <c r="AM84">
        <f t="shared" si="20"/>
        <v>0</v>
      </c>
    </row>
    <row r="85" spans="1:39" ht="18" customHeight="1">
      <c r="B85">
        <v>1000</v>
      </c>
      <c r="C85">
        <v>1400</v>
      </c>
      <c r="E85">
        <f>ROUND(AVERAGE(seed1!E85,seed2!E85,seed3!E85,seed4!E85,seed5!E85,seed6!E85),4)</f>
        <v>8.18</v>
      </c>
      <c r="F85">
        <f>ROUND(AVERAGE(seed1!F85,seed2!F85,seed3!F85,seed4!F85,seed5!F85,seed6!F85),4)</f>
        <v>5.2107000000000001</v>
      </c>
      <c r="G85">
        <f>ROUND(AVERAGE(seed1!G85,seed2!G85,seed3!G85,seed4!G85,seed5!G85,seed6!G85),4)</f>
        <v>12.1921</v>
      </c>
      <c r="I85">
        <f>ROUND(AVERAGE(seed1!I85,seed2!I85,seed3!I85,seed4!I85,seed5!I85,seed6!I85),4)</f>
        <v>8.4652999999999992</v>
      </c>
      <c r="J85">
        <f>ROUND(AVERAGE(seed1!J85,seed2!J85,seed3!J85,seed4!J85,seed5!J85,seed6!J85),4)</f>
        <v>5.7378999999999998</v>
      </c>
      <c r="K85">
        <f>ROUND(AVERAGE(seed1!K85,seed2!K85,seed3!K85,seed4!K85,seed5!K85,seed6!K85),4)</f>
        <v>12.0207</v>
      </c>
      <c r="M85">
        <f>ROUND(AVERAGE(seed1!M85,seed2!M85,seed3!M85,seed4!M85,seed5!M85,seed6!M85),4)</f>
        <v>6.9419000000000004</v>
      </c>
      <c r="N85">
        <f>ROUND(AVERAGE(seed1!N85,seed2!N85,seed3!N85,seed4!N85,seed5!N85,seed6!N85),4)</f>
        <v>2.0697999999999999</v>
      </c>
      <c r="O85">
        <f>ROUND(AVERAGE(seed1!O85,seed2!O85,seed3!O85,seed4!O85,seed5!O85,seed6!O85),4)</f>
        <v>16.647500000000001</v>
      </c>
      <c r="Q85">
        <f>ROUND(AVERAGE(seed1!Q85,seed2!Q85,seed3!Q85,seed4!Q85,seed5!Q85,seed6!Q85),4)</f>
        <v>6.5784000000000002</v>
      </c>
      <c r="R85">
        <f>ROUND(AVERAGE(seed1!R85,seed2!R85,seed3!R85,seed4!R85,seed5!R85,seed6!R85),4)</f>
        <v>6.2899000000000003</v>
      </c>
      <c r="S85">
        <f>ROUND(AVERAGE(seed1!S85,seed2!S85,seed3!S85,seed4!S85,seed5!S85,seed6!S85),4)</f>
        <v>6.8174999999999999</v>
      </c>
      <c r="U85">
        <f>ROUND(AVERAGE(seed1!U85,seed2!U85,seed3!U85,seed4!U85,seed5!U85,seed6!U85),4)</f>
        <v>6.5740999999999996</v>
      </c>
      <c r="V85">
        <f>ROUND(AVERAGE(seed1!V85,seed2!V85,seed3!V85,seed4!V85,seed5!V85,seed6!V85),4)</f>
        <v>1.7682</v>
      </c>
      <c r="W85">
        <f>ROUND(AVERAGE(seed1!W85,seed2!W85,seed3!W85,seed4!W85,seed5!W85,seed6!W85),4)</f>
        <v>16.6465</v>
      </c>
      <c r="Y85">
        <f>ROUND(AVERAGE(seed1!Y85,seed2!Y85,seed3!Y85,seed4!Y85,seed5!Y85,seed6!Y85),4)</f>
        <v>7.5919999999999996</v>
      </c>
      <c r="Z85">
        <f>ROUND(AVERAGE(seed1!Z85,seed2!Z85,seed3!Z85,seed4!Z85,seed5!Z85,seed6!Z85),4)</f>
        <v>2.6057000000000001</v>
      </c>
      <c r="AA85">
        <f>ROUND(AVERAGE(seed1!AA85,seed2!AA85,seed3!AA85,seed4!AA85,seed5!AA85,seed6!AA85),4)</f>
        <v>16.646100000000001</v>
      </c>
      <c r="AC85">
        <f>ROUND(AVERAGE(seed1!AC85,seed2!AC85,seed3!AC85,seed4!AC85,seed5!AC85,seed6!AC85),4)</f>
        <v>7.4371</v>
      </c>
      <c r="AD85">
        <f>ROUND(AVERAGE(seed1!AD85,seed2!AD85,seed3!AD85,seed4!AD85,seed5!AD85,seed6!AD85),4)</f>
        <v>4.3243</v>
      </c>
      <c r="AE85">
        <f>ROUND(AVERAGE(seed1!AE85,seed2!AE85,seed3!AE85,seed4!AE85,seed5!AE85,seed6!AE85),4)</f>
        <v>11.703799999999999</v>
      </c>
      <c r="AG85">
        <f t="shared" si="14"/>
        <v>8.18</v>
      </c>
      <c r="AH85">
        <f t="shared" si="15"/>
        <v>8.4652999999999992</v>
      </c>
      <c r="AI85">
        <f t="shared" si="16"/>
        <v>7.4371</v>
      </c>
      <c r="AJ85">
        <f t="shared" si="17"/>
        <v>6.9419000000000004</v>
      </c>
      <c r="AK85">
        <f t="shared" si="18"/>
        <v>6.5784000000000002</v>
      </c>
      <c r="AL85">
        <f t="shared" si="19"/>
        <v>6.5740999999999996</v>
      </c>
      <c r="AM85">
        <f t="shared" si="20"/>
        <v>7.5919999999999996</v>
      </c>
    </row>
    <row r="86" spans="1:39" ht="18" customHeight="1">
      <c r="B86">
        <v>1200</v>
      </c>
      <c r="C86">
        <v>1200</v>
      </c>
      <c r="E86">
        <f>ROUND(AVERAGE(seed1!E86,seed2!E86,seed3!E86,seed4!E86,seed5!E86,seed6!E86),4)</f>
        <v>6.7682000000000002</v>
      </c>
      <c r="F86">
        <f>ROUND(AVERAGE(seed1!F86,seed2!F86,seed3!F86,seed4!F86,seed5!F86,seed6!F86),4)</f>
        <v>4.7130999999999998</v>
      </c>
      <c r="G86">
        <f>ROUND(AVERAGE(seed1!G86,seed2!G86,seed3!G86,seed4!G86,seed5!G86,seed6!G86),4)</f>
        <v>10.7308</v>
      </c>
      <c r="I86">
        <f>ROUND(AVERAGE(seed1!I86,seed2!I86,seed3!I86,seed4!I86,seed5!I86,seed6!I86),4)</f>
        <v>6.8449999999999998</v>
      </c>
      <c r="J86">
        <f>ROUND(AVERAGE(seed1!J86,seed2!J86,seed3!J86,seed4!J86,seed5!J86,seed6!J86),4)</f>
        <v>4.7603</v>
      </c>
      <c r="K86">
        <f>ROUND(AVERAGE(seed1!K86,seed2!K86,seed3!K86,seed4!K86,seed5!K86,seed6!K86),4)</f>
        <v>10.3932</v>
      </c>
      <c r="M86">
        <f>ROUND(AVERAGE(seed1!M86,seed2!M86,seed3!M86,seed4!M86,seed5!M86,seed6!M86),4)</f>
        <v>5.5503</v>
      </c>
      <c r="N86">
        <f>ROUND(AVERAGE(seed1!N86,seed2!N86,seed3!N86,seed4!N86,seed5!N86,seed6!N86),4)</f>
        <v>1.7333000000000001</v>
      </c>
      <c r="O86">
        <f>ROUND(AVERAGE(seed1!O86,seed2!O86,seed3!O86,seed4!O86,seed5!O86,seed6!O86),4)</f>
        <v>16.619499999999999</v>
      </c>
      <c r="Q86">
        <f>ROUND(AVERAGE(seed1!Q86,seed2!Q86,seed3!Q86,seed4!Q86,seed5!Q86,seed6!Q86),4)</f>
        <v>7.3007999999999997</v>
      </c>
      <c r="R86">
        <f>ROUND(AVERAGE(seed1!R86,seed2!R86,seed3!R86,seed4!R86,seed5!R86,seed6!R86),4)</f>
        <v>6.4733999999999998</v>
      </c>
      <c r="S86">
        <f>ROUND(AVERAGE(seed1!S86,seed2!S86,seed3!S86,seed4!S86,seed5!S86,seed6!S86),4)</f>
        <v>8.4136000000000006</v>
      </c>
      <c r="U86">
        <f>ROUND(AVERAGE(seed1!U86,seed2!U86,seed3!U86,seed4!U86,seed5!U86,seed6!U86),4)</f>
        <v>5.1340000000000003</v>
      </c>
      <c r="V86">
        <f>ROUND(AVERAGE(seed1!V86,seed2!V86,seed3!V86,seed4!V86,seed5!V86,seed6!V86),4)</f>
        <v>1.3218000000000001</v>
      </c>
      <c r="W86">
        <f>ROUND(AVERAGE(seed1!W86,seed2!W86,seed3!W86,seed4!W86,seed5!W86,seed6!W86),4)</f>
        <v>16.618300000000001</v>
      </c>
      <c r="Y86">
        <f>ROUND(AVERAGE(seed1!Y86,seed2!Y86,seed3!Y86,seed4!Y86,seed5!Y86,seed6!Y86),4)</f>
        <v>5.6848999999999998</v>
      </c>
      <c r="Z86">
        <f>ROUND(AVERAGE(seed1!Z86,seed2!Z86,seed3!Z86,seed4!Z86,seed5!Z86,seed6!Z86),4)</f>
        <v>1.8634999999999999</v>
      </c>
      <c r="AA86">
        <f>ROUND(AVERAGE(seed1!AA86,seed2!AA86,seed3!AA86,seed4!AA86,seed5!AA86,seed6!AA86),4)</f>
        <v>16.618300000000001</v>
      </c>
      <c r="AC86">
        <f>ROUND(AVERAGE(seed1!AC86,seed2!AC86,seed3!AC86,seed4!AC86,seed5!AC86,seed6!AC86),4)</f>
        <v>6.7175000000000002</v>
      </c>
      <c r="AD86">
        <f>ROUND(AVERAGE(seed1!AD86,seed2!AD86,seed3!AD86,seed4!AD86,seed5!AD86,seed6!AD86),4)</f>
        <v>4.6532999999999998</v>
      </c>
      <c r="AE86">
        <f>ROUND(AVERAGE(seed1!AE86,seed2!AE86,seed3!AE86,seed4!AE86,seed5!AE86,seed6!AE86),4)</f>
        <v>10.737500000000001</v>
      </c>
      <c r="AG86">
        <f t="shared" si="14"/>
        <v>6.7682000000000002</v>
      </c>
      <c r="AH86">
        <f t="shared" si="15"/>
        <v>6.8449999999999998</v>
      </c>
      <c r="AI86">
        <f t="shared" si="16"/>
        <v>6.7175000000000002</v>
      </c>
      <c r="AJ86">
        <f t="shared" si="17"/>
        <v>5.5503</v>
      </c>
      <c r="AK86">
        <f t="shared" si="18"/>
        <v>7.3007999999999997</v>
      </c>
      <c r="AL86">
        <f t="shared" si="19"/>
        <v>5.1340000000000003</v>
      </c>
      <c r="AM86">
        <f t="shared" si="20"/>
        <v>5.6848999999999998</v>
      </c>
    </row>
    <row r="87" spans="1:39" ht="18" customHeight="1">
      <c r="B87">
        <v>1400</v>
      </c>
      <c r="C87">
        <v>1000</v>
      </c>
      <c r="E87">
        <f>ROUND(AVERAGE(seed1!E87,seed2!E87,seed3!E87,seed4!E87,seed5!E87,seed6!E87),4)</f>
        <v>6.5579999999999998</v>
      </c>
      <c r="F87">
        <f>ROUND(AVERAGE(seed1!F87,seed2!F87,seed3!F87,seed4!F87,seed5!F87,seed6!F87),4)</f>
        <v>4.1531000000000002</v>
      </c>
      <c r="G87">
        <f>ROUND(AVERAGE(seed1!G87,seed2!G87,seed3!G87,seed4!G87,seed5!G87,seed6!G87),4)</f>
        <v>12.062799999999999</v>
      </c>
      <c r="I87">
        <f>ROUND(AVERAGE(seed1!I87,seed2!I87,seed3!I87,seed4!I87,seed5!I87,seed6!I87),4)</f>
        <v>6.5002000000000004</v>
      </c>
      <c r="J87">
        <f>ROUND(AVERAGE(seed1!J87,seed2!J87,seed3!J87,seed4!J87,seed5!J87,seed6!J87),4)</f>
        <v>4.3136999999999999</v>
      </c>
      <c r="K87">
        <f>ROUND(AVERAGE(seed1!K87,seed2!K87,seed3!K87,seed4!K87,seed5!K87,seed6!K87),4)</f>
        <v>11.791499999999999</v>
      </c>
      <c r="M87">
        <f>ROUND(AVERAGE(seed1!M87,seed2!M87,seed3!M87,seed4!M87,seed5!M87,seed6!M87),4)</f>
        <v>4.6245000000000003</v>
      </c>
      <c r="N87">
        <f>ROUND(AVERAGE(seed1!N87,seed2!N87,seed3!N87,seed4!N87,seed5!N87,seed6!N87),4)</f>
        <v>1.298</v>
      </c>
      <c r="O87">
        <f>ROUND(AVERAGE(seed1!O87,seed2!O87,seed3!O87,seed4!O87,seed5!O87,seed6!O87),4)</f>
        <v>16.583400000000001</v>
      </c>
      <c r="Q87">
        <f>ROUND(AVERAGE(seed1!Q87,seed2!Q87,seed3!Q87,seed4!Q87,seed5!Q87,seed6!Q87),4)</f>
        <v>6.1723999999999997</v>
      </c>
      <c r="R87">
        <f>ROUND(AVERAGE(seed1!R87,seed2!R87,seed3!R87,seed4!R87,seed5!R87,seed6!R87),4)</f>
        <v>4.1794000000000002</v>
      </c>
      <c r="S87">
        <f>ROUND(AVERAGE(seed1!S87,seed2!S87,seed3!S87,seed4!S87,seed5!S87,seed6!S87),4)</f>
        <v>10.069699999999999</v>
      </c>
      <c r="U87">
        <f>ROUND(AVERAGE(seed1!U87,seed2!U87,seed3!U87,seed4!U87,seed5!U87,seed6!U87),4)</f>
        <v>4.2342000000000004</v>
      </c>
      <c r="V87">
        <f>ROUND(AVERAGE(seed1!V87,seed2!V87,seed3!V87,seed4!V87,seed5!V87,seed6!V87),4)</f>
        <v>0.88849999999999996</v>
      </c>
      <c r="W87">
        <f>ROUND(AVERAGE(seed1!W87,seed2!W87,seed3!W87,seed4!W87,seed5!W87,seed6!W87),4)</f>
        <v>16.609300000000001</v>
      </c>
      <c r="Y87">
        <f>ROUND(AVERAGE(seed1!Y87,seed2!Y87,seed3!Y87,seed4!Y87,seed5!Y87,seed6!Y87),4)</f>
        <v>4.8771000000000004</v>
      </c>
      <c r="Z87">
        <f>ROUND(AVERAGE(seed1!Z87,seed2!Z87,seed3!Z87,seed4!Z87,seed5!Z87,seed6!Z87),4)</f>
        <v>1.4942</v>
      </c>
      <c r="AA87">
        <f>ROUND(AVERAGE(seed1!AA87,seed2!AA87,seed3!AA87,seed4!AA87,seed5!AA87,seed6!AA87),4)</f>
        <v>16.5486</v>
      </c>
      <c r="AC87">
        <f>ROUND(AVERAGE(seed1!AC87,seed2!AC87,seed3!AC87,seed4!AC87,seed5!AC87,seed6!AC87),4)</f>
        <v>6.5048000000000004</v>
      </c>
      <c r="AD87">
        <f>ROUND(AVERAGE(seed1!AD87,seed2!AD87,seed3!AD87,seed4!AD87,seed5!AD87,seed6!AD87),4)</f>
        <v>4.3559999999999999</v>
      </c>
      <c r="AE87">
        <f>ROUND(AVERAGE(seed1!AE87,seed2!AE87,seed3!AE87,seed4!AE87,seed5!AE87,seed6!AE87),4)</f>
        <v>11.423299999999999</v>
      </c>
      <c r="AG87">
        <f t="shared" si="14"/>
        <v>6.5579999999999998</v>
      </c>
      <c r="AH87">
        <f t="shared" si="15"/>
        <v>6.5002000000000004</v>
      </c>
      <c r="AI87">
        <f t="shared" si="16"/>
        <v>6.5048000000000004</v>
      </c>
      <c r="AJ87">
        <f t="shared" si="17"/>
        <v>4.6245000000000003</v>
      </c>
      <c r="AK87">
        <f t="shared" si="18"/>
        <v>6.1723999999999997</v>
      </c>
      <c r="AL87">
        <f t="shared" si="19"/>
        <v>4.2342000000000004</v>
      </c>
      <c r="AM87">
        <f t="shared" si="20"/>
        <v>4.8771000000000004</v>
      </c>
    </row>
    <row r="88" spans="1:39" s="2" customFormat="1" ht="18" customHeight="1">
      <c r="B88" s="2">
        <v>800</v>
      </c>
      <c r="C88" s="2">
        <v>800</v>
      </c>
      <c r="E88" s="2">
        <f>ROUND(AVERAGE(seed1!E88,seed2!E88,seed3!E88,seed4!E88,seed5!E88,seed6!E88),4)</f>
        <v>11.680099999999999</v>
      </c>
      <c r="F88" s="2">
        <f>ROUND(AVERAGE(seed1!F88,seed2!F88,seed3!F88,seed4!F88,seed5!F88,seed6!F88),4)</f>
        <v>9.8045000000000009</v>
      </c>
      <c r="G88" s="2">
        <f>ROUND(AVERAGE(seed1!G88,seed2!G88,seed3!G88,seed4!G88,seed5!G88,seed6!G88),4)</f>
        <v>14.3706</v>
      </c>
      <c r="I88" s="2">
        <f>ROUND(AVERAGE(seed1!I88,seed2!I88,seed3!I88,seed4!I88,seed5!I88,seed6!I88),4)</f>
        <v>11.9389</v>
      </c>
      <c r="J88" s="2">
        <f>ROUND(AVERAGE(seed1!J88,seed2!J88,seed3!J88,seed4!J88,seed5!J88,seed6!J88),4)</f>
        <v>10.0015</v>
      </c>
      <c r="K88" s="2">
        <f>ROUND(AVERAGE(seed1!K88,seed2!K88,seed3!K88,seed4!K88,seed5!K88,seed6!K88),4)</f>
        <v>14.5205</v>
      </c>
      <c r="M88" s="2">
        <f>ROUND(AVERAGE(seed1!M88,seed2!M88,seed3!M88,seed4!M88,seed5!M88,seed6!M88),4)</f>
        <v>10.828200000000001</v>
      </c>
      <c r="N88" s="2">
        <f>ROUND(AVERAGE(seed1!N88,seed2!N88,seed3!N88,seed4!N88,seed5!N88,seed6!N88),4)</f>
        <v>7.6002999999999998</v>
      </c>
      <c r="O88" s="2">
        <f>ROUND(AVERAGE(seed1!O88,seed2!O88,seed3!O88,seed4!O88,seed5!O88,seed6!O88),4)</f>
        <v>16.412299999999998</v>
      </c>
      <c r="Q88" s="2">
        <f>ROUND(AVERAGE(seed1!Q88,seed2!Q88,seed3!Q88,seed4!Q88,seed5!Q88,seed6!Q88),4)</f>
        <v>11.795400000000001</v>
      </c>
      <c r="R88" s="2">
        <f>ROUND(AVERAGE(seed1!R88,seed2!R88,seed3!R88,seed4!R88,seed5!R88,seed6!R88),4)</f>
        <v>12.331200000000001</v>
      </c>
      <c r="S88" s="2">
        <f>ROUND(AVERAGE(seed1!S88,seed2!S88,seed3!S88,seed4!S88,seed5!S88,seed6!S88),4)</f>
        <v>11.4907</v>
      </c>
      <c r="U88" s="2">
        <f>ROUND(AVERAGE(seed1!U88,seed2!U88,seed3!U88,seed4!U88,seed5!U88,seed6!U88),4)</f>
        <v>7.9170999999999996</v>
      </c>
      <c r="V88" s="2">
        <f>ROUND(AVERAGE(seed1!V88,seed2!V88,seed3!V88,seed4!V88,seed5!V88,seed6!V88),4)</f>
        <v>4.1718000000000002</v>
      </c>
      <c r="W88" s="2">
        <f>ROUND(AVERAGE(seed1!W88,seed2!W88,seed3!W88,seed4!W88,seed5!W88,seed6!W88),4)</f>
        <v>16.566500000000001</v>
      </c>
      <c r="Y88" s="2">
        <f>ROUND(AVERAGE(seed1!Y88,seed2!Y88,seed3!Y88,seed4!Y88,seed5!Y88,seed6!Y88),4)</f>
        <v>12.2631</v>
      </c>
      <c r="Z88" s="2">
        <f>ROUND(AVERAGE(seed1!Z88,seed2!Z88,seed3!Z88,seed4!Z88,seed5!Z88,seed6!Z88),4)</f>
        <v>9.6465999999999994</v>
      </c>
      <c r="AA88" s="2">
        <f>ROUND(AVERAGE(seed1!AA88,seed2!AA88,seed3!AA88,seed4!AA88,seed5!AA88,seed6!AA88),4)</f>
        <v>16.220800000000001</v>
      </c>
      <c r="AC88" s="2">
        <f>ROUND(AVERAGE(seed1!AC88,seed2!AC88,seed3!AC88,seed4!AC88,seed5!AC88,seed6!AC88),4)</f>
        <v>11.719200000000001</v>
      </c>
      <c r="AD88" s="2">
        <f>ROUND(AVERAGE(seed1!AD88,seed2!AD88,seed3!AD88,seed4!AD88,seed5!AD88,seed6!AD88),4)</f>
        <v>9.6624999999999996</v>
      </c>
      <c r="AE88" s="2">
        <f>ROUND(AVERAGE(seed1!AE88,seed2!AE88,seed3!AE88,seed4!AE88,seed5!AE88,seed6!AE88),4)</f>
        <v>14.727399999999999</v>
      </c>
      <c r="AG88">
        <f t="shared" si="14"/>
        <v>11.680099999999999</v>
      </c>
      <c r="AH88">
        <f t="shared" si="15"/>
        <v>11.9389</v>
      </c>
      <c r="AI88">
        <f t="shared" si="16"/>
        <v>11.719200000000001</v>
      </c>
      <c r="AJ88">
        <f t="shared" si="17"/>
        <v>10.828200000000001</v>
      </c>
      <c r="AK88">
        <f t="shared" si="18"/>
        <v>11.795400000000001</v>
      </c>
      <c r="AL88">
        <f t="shared" si="19"/>
        <v>7.9170999999999996</v>
      </c>
      <c r="AM88">
        <f t="shared" si="20"/>
        <v>12.2631</v>
      </c>
    </row>
    <row r="89" spans="1:39">
      <c r="AG89">
        <f t="shared" si="14"/>
        <v>0</v>
      </c>
      <c r="AH89">
        <f t="shared" si="15"/>
        <v>0</v>
      </c>
      <c r="AI89">
        <f t="shared" si="16"/>
        <v>0</v>
      </c>
      <c r="AJ89">
        <f t="shared" si="17"/>
        <v>0</v>
      </c>
      <c r="AK89">
        <f t="shared" si="18"/>
        <v>0</v>
      </c>
      <c r="AL89">
        <f t="shared" si="19"/>
        <v>0</v>
      </c>
      <c r="AM89">
        <f t="shared" si="20"/>
        <v>0</v>
      </c>
    </row>
    <row r="90" spans="1:39" ht="18" customHeight="1">
      <c r="A90" t="s">
        <v>14</v>
      </c>
      <c r="B90">
        <v>500</v>
      </c>
      <c r="C90">
        <v>1500</v>
      </c>
      <c r="AG90">
        <f t="shared" si="14"/>
        <v>0</v>
      </c>
      <c r="AH90">
        <f t="shared" si="15"/>
        <v>0</v>
      </c>
      <c r="AI90">
        <f t="shared" si="16"/>
        <v>0</v>
      </c>
      <c r="AJ90">
        <f t="shared" si="17"/>
        <v>0</v>
      </c>
      <c r="AK90">
        <f t="shared" si="18"/>
        <v>0</v>
      </c>
      <c r="AL90">
        <f t="shared" si="19"/>
        <v>0</v>
      </c>
      <c r="AM90">
        <f t="shared" si="20"/>
        <v>0</v>
      </c>
    </row>
    <row r="91" spans="1:39" ht="18" customHeight="1">
      <c r="A91" t="s">
        <v>21</v>
      </c>
      <c r="B91">
        <v>600</v>
      </c>
      <c r="C91">
        <v>1400</v>
      </c>
      <c r="E91">
        <f>ROUND(AVERAGE(seed1!E91,seed2!E91,seed3!E91,seed4!E91,seed5!E91,seed6!E91),4)</f>
        <v>11.650399999999999</v>
      </c>
      <c r="F91">
        <f>ROUND(AVERAGE(seed1!F91,seed2!F91,seed3!F91,seed4!F91,seed5!F91,seed6!F91),4)</f>
        <v>7.0399000000000003</v>
      </c>
      <c r="G91">
        <f>ROUND(AVERAGE(seed1!G91,seed2!G91,seed3!G91,seed4!G91,seed5!G91,seed6!G91),4)</f>
        <v>15.108499999999999</v>
      </c>
      <c r="I91">
        <f>ROUND(AVERAGE(seed1!I91,seed2!I91,seed3!I91,seed4!I91,seed5!I91,seed6!I91),4)</f>
        <v>11.3881</v>
      </c>
      <c r="J91">
        <f>ROUND(AVERAGE(seed1!J91,seed2!J91,seed3!J91,seed4!J91,seed5!J91,seed6!J91),4)</f>
        <v>7.4058000000000002</v>
      </c>
      <c r="K91">
        <f>ROUND(AVERAGE(seed1!K91,seed2!K91,seed3!K91,seed4!K91,seed5!K91,seed6!K91),4)</f>
        <v>14.2148</v>
      </c>
      <c r="M91">
        <f>ROUND(AVERAGE(seed1!M91,seed2!M91,seed3!M91,seed4!M91,seed5!M91,seed6!M91),4)</f>
        <v>11.042199999999999</v>
      </c>
      <c r="N91">
        <f>ROUND(AVERAGE(seed1!N91,seed2!N91,seed3!N91,seed4!N91,seed5!N91,seed6!N91),4)</f>
        <v>4.8324999999999996</v>
      </c>
      <c r="O91">
        <f>ROUND(AVERAGE(seed1!O91,seed2!O91,seed3!O91,seed4!O91,seed5!O91,seed6!O91),4)</f>
        <v>16.6648</v>
      </c>
      <c r="Q91">
        <f>ROUND(AVERAGE(seed1!Q91,seed2!Q91,seed3!Q91,seed4!Q91,seed5!Q91,seed6!Q91),4)</f>
        <v>10.865</v>
      </c>
      <c r="R91">
        <f>ROUND(AVERAGE(seed1!R91,seed2!R91,seed3!R91,seed4!R91,seed5!R91,seed6!R91),4)</f>
        <v>11.485200000000001</v>
      </c>
      <c r="S91">
        <f>ROUND(AVERAGE(seed1!S91,seed2!S91,seed3!S91,seed4!S91,seed5!S91,seed6!S91),4)</f>
        <v>10.5939</v>
      </c>
      <c r="U91">
        <f>ROUND(AVERAGE(seed1!U91,seed2!U91,seed3!U91,seed4!U91,seed5!U91,seed6!U91),4)</f>
        <v>11.042199999999999</v>
      </c>
      <c r="V91">
        <f>ROUND(AVERAGE(seed1!V91,seed2!V91,seed3!V91,seed4!V91,seed5!V91,seed6!V91),4)</f>
        <v>4.8324999999999996</v>
      </c>
      <c r="W91">
        <f>ROUND(AVERAGE(seed1!W91,seed2!W91,seed3!W91,seed4!W91,seed5!W91,seed6!W91),4)</f>
        <v>16.6648</v>
      </c>
      <c r="Y91">
        <f>ROUND(AVERAGE(seed1!Y91,seed2!Y91,seed3!Y91,seed4!Y91,seed5!Y91,seed6!Y91),4)</f>
        <v>11.042199999999999</v>
      </c>
      <c r="Z91">
        <f>ROUND(AVERAGE(seed1!Z91,seed2!Z91,seed3!Z91,seed4!Z91,seed5!Z91,seed6!Z91),4)</f>
        <v>4.8324999999999996</v>
      </c>
      <c r="AA91">
        <f>ROUND(AVERAGE(seed1!AA91,seed2!AA91,seed3!AA91,seed4!AA91,seed5!AA91,seed6!AA91),4)</f>
        <v>16.6648</v>
      </c>
      <c r="AC91">
        <f>ROUND(AVERAGE(seed1!AC91,seed2!AC91,seed3!AC91,seed4!AC91,seed5!AC91,seed6!AC91),4)</f>
        <v>11.254300000000001</v>
      </c>
      <c r="AD91">
        <f>ROUND(AVERAGE(seed1!AD91,seed2!AD91,seed3!AD91,seed4!AD91,seed5!AD91,seed6!AD91),4)</f>
        <v>6.2926000000000002</v>
      </c>
      <c r="AE91">
        <f>ROUND(AVERAGE(seed1!AE91,seed2!AE91,seed3!AE91,seed4!AE91,seed5!AE91,seed6!AE91),4)</f>
        <v>15.2294</v>
      </c>
      <c r="AG91">
        <f t="shared" si="14"/>
        <v>11.650399999999999</v>
      </c>
      <c r="AH91">
        <f t="shared" si="15"/>
        <v>11.3881</v>
      </c>
      <c r="AI91">
        <f t="shared" si="16"/>
        <v>11.254300000000001</v>
      </c>
      <c r="AJ91">
        <f t="shared" si="17"/>
        <v>11.042199999999999</v>
      </c>
      <c r="AK91">
        <f t="shared" si="18"/>
        <v>10.865</v>
      </c>
      <c r="AL91">
        <f t="shared" si="19"/>
        <v>11.042199999999999</v>
      </c>
      <c r="AM91">
        <f t="shared" si="20"/>
        <v>11.042199999999999</v>
      </c>
    </row>
    <row r="92" spans="1:39" ht="18" customHeight="1">
      <c r="A92" t="s">
        <v>16</v>
      </c>
      <c r="B92">
        <v>700</v>
      </c>
      <c r="C92">
        <v>1300</v>
      </c>
      <c r="AG92">
        <f t="shared" si="14"/>
        <v>0</v>
      </c>
      <c r="AH92">
        <f t="shared" si="15"/>
        <v>0</v>
      </c>
      <c r="AI92">
        <f t="shared" si="16"/>
        <v>0</v>
      </c>
      <c r="AJ92">
        <f t="shared" si="17"/>
        <v>0</v>
      </c>
      <c r="AK92">
        <f t="shared" si="18"/>
        <v>0</v>
      </c>
      <c r="AL92">
        <f t="shared" si="19"/>
        <v>0</v>
      </c>
      <c r="AM92">
        <f t="shared" si="20"/>
        <v>0</v>
      </c>
    </row>
    <row r="93" spans="1:39" ht="18" customHeight="1">
      <c r="A93" t="s">
        <v>17</v>
      </c>
      <c r="B93">
        <v>800</v>
      </c>
      <c r="C93">
        <v>1200</v>
      </c>
      <c r="AG93">
        <f t="shared" si="14"/>
        <v>0</v>
      </c>
      <c r="AH93">
        <f t="shared" si="15"/>
        <v>0</v>
      </c>
      <c r="AI93">
        <f t="shared" si="16"/>
        <v>0</v>
      </c>
      <c r="AJ93">
        <f t="shared" si="17"/>
        <v>0</v>
      </c>
      <c r="AK93">
        <f t="shared" si="18"/>
        <v>0</v>
      </c>
      <c r="AL93">
        <f t="shared" si="19"/>
        <v>0</v>
      </c>
      <c r="AM93">
        <f t="shared" si="20"/>
        <v>0</v>
      </c>
    </row>
    <row r="94" spans="1:39" ht="18" customHeight="1">
      <c r="B94">
        <v>900</v>
      </c>
      <c r="C94">
        <v>1100</v>
      </c>
      <c r="AG94">
        <f t="shared" si="14"/>
        <v>0</v>
      </c>
      <c r="AH94">
        <f t="shared" si="15"/>
        <v>0</v>
      </c>
      <c r="AI94">
        <f t="shared" si="16"/>
        <v>0</v>
      </c>
      <c r="AJ94">
        <f t="shared" si="17"/>
        <v>0</v>
      </c>
      <c r="AK94">
        <f t="shared" si="18"/>
        <v>0</v>
      </c>
      <c r="AL94">
        <f t="shared" si="19"/>
        <v>0</v>
      </c>
      <c r="AM94">
        <f t="shared" si="20"/>
        <v>0</v>
      </c>
    </row>
    <row r="95" spans="1:39" ht="18" customHeight="1">
      <c r="B95">
        <v>1000</v>
      </c>
      <c r="C95">
        <v>1000</v>
      </c>
      <c r="E95">
        <f>ROUND(AVERAGE(seed1!E95,seed2!E95,seed3!E95,seed4!E95,seed5!E95,seed6!E95),4)</f>
        <v>10.1374</v>
      </c>
      <c r="F95">
        <f>ROUND(AVERAGE(seed1!F95,seed2!F95,seed3!F95,seed4!F95,seed5!F95,seed6!F95),4)</f>
        <v>7.8525</v>
      </c>
      <c r="G95">
        <f>ROUND(AVERAGE(seed1!G95,seed2!G95,seed3!G95,seed4!G95,seed5!G95,seed6!G95),4)</f>
        <v>13.4856</v>
      </c>
      <c r="I95">
        <f>ROUND(AVERAGE(seed1!I95,seed2!I95,seed3!I95,seed4!I95,seed5!I95,seed6!I95),4)</f>
        <v>10.231400000000001</v>
      </c>
      <c r="J95">
        <f>ROUND(AVERAGE(seed1!J95,seed2!J95,seed3!J95,seed4!J95,seed5!J95,seed6!J95),4)</f>
        <v>8.1677</v>
      </c>
      <c r="K95">
        <f>ROUND(AVERAGE(seed1!K95,seed2!K95,seed3!K95,seed4!K95,seed5!K95,seed6!K95),4)</f>
        <v>13.138</v>
      </c>
      <c r="M95">
        <f>ROUND(AVERAGE(seed1!M95,seed2!M95,seed3!M95,seed4!M95,seed5!M95,seed6!M95),4)</f>
        <v>8.3179999999999996</v>
      </c>
      <c r="N95">
        <f>ROUND(AVERAGE(seed1!N95,seed2!N95,seed3!N95,seed4!N95,seed5!N95,seed6!N95),4)</f>
        <v>4.3348000000000004</v>
      </c>
      <c r="O95">
        <f>ROUND(AVERAGE(seed1!O95,seed2!O95,seed3!O95,seed4!O95,seed5!O95,seed6!O95),4)</f>
        <v>16.633900000000001</v>
      </c>
      <c r="Q95">
        <f>ROUND(AVERAGE(seed1!Q95,seed2!Q95,seed3!Q95,seed4!Q95,seed5!Q95,seed6!Q95),4)</f>
        <v>10.3626</v>
      </c>
      <c r="R95">
        <f>ROUND(AVERAGE(seed1!R95,seed2!R95,seed3!R95,seed4!R95,seed5!R95,seed6!R95),4)</f>
        <v>9.4532000000000007</v>
      </c>
      <c r="S95">
        <f>ROUND(AVERAGE(seed1!S95,seed2!S95,seed3!S95,seed4!S95,seed5!S95,seed6!S95),4)</f>
        <v>11.4247</v>
      </c>
      <c r="U95">
        <f>ROUND(AVERAGE(seed1!U95,seed2!U95,seed3!U95,seed4!U95,seed5!U95,seed6!U95),4)</f>
        <v>8.3179999999999996</v>
      </c>
      <c r="V95">
        <f>ROUND(AVERAGE(seed1!V95,seed2!V95,seed3!V95,seed4!V95,seed5!V95,seed6!V95),4)</f>
        <v>4.3348000000000004</v>
      </c>
      <c r="W95">
        <f>ROUND(AVERAGE(seed1!W95,seed2!W95,seed3!W95,seed4!W95,seed5!W95,seed6!W95),4)</f>
        <v>16.633900000000001</v>
      </c>
      <c r="Y95">
        <f>ROUND(AVERAGE(seed1!Y95,seed2!Y95,seed3!Y95,seed4!Y95,seed5!Y95,seed6!Y95),4)</f>
        <v>8.3179999999999996</v>
      </c>
      <c r="Z95">
        <f>ROUND(AVERAGE(seed1!Z95,seed2!Z95,seed3!Z95,seed4!Z95,seed5!Z95,seed6!Z95),4)</f>
        <v>4.3348000000000004</v>
      </c>
      <c r="AA95">
        <f>ROUND(AVERAGE(seed1!AA95,seed2!AA95,seed3!AA95,seed4!AA95,seed5!AA95,seed6!AA95),4)</f>
        <v>16.633900000000001</v>
      </c>
      <c r="AC95">
        <f>ROUND(AVERAGE(seed1!AC95,seed2!AC95,seed3!AC95,seed4!AC95,seed5!AC95,seed6!AC95),4)</f>
        <v>10.235300000000001</v>
      </c>
      <c r="AD95">
        <f>ROUND(AVERAGE(seed1!AD95,seed2!AD95,seed3!AD95,seed4!AD95,seed5!AD95,seed6!AD95),4)</f>
        <v>7.9032999999999998</v>
      </c>
      <c r="AE95">
        <f>ROUND(AVERAGE(seed1!AE95,seed2!AE95,seed3!AE95,seed4!AE95,seed5!AE95,seed6!AE95),4)</f>
        <v>13.6761</v>
      </c>
      <c r="AG95">
        <f t="shared" si="14"/>
        <v>10.1374</v>
      </c>
      <c r="AH95">
        <f t="shared" si="15"/>
        <v>10.231400000000001</v>
      </c>
      <c r="AI95">
        <f t="shared" si="16"/>
        <v>10.235300000000001</v>
      </c>
      <c r="AJ95">
        <f t="shared" si="17"/>
        <v>8.3179999999999996</v>
      </c>
      <c r="AK95">
        <f t="shared" si="18"/>
        <v>10.3626</v>
      </c>
      <c r="AL95">
        <f t="shared" si="19"/>
        <v>8.3179999999999996</v>
      </c>
      <c r="AM95">
        <f t="shared" si="20"/>
        <v>8.3179999999999996</v>
      </c>
    </row>
    <row r="96" spans="1:39" ht="18" customHeight="1">
      <c r="B96">
        <v>1100</v>
      </c>
      <c r="C96">
        <v>900</v>
      </c>
      <c r="AG96">
        <f t="shared" si="14"/>
        <v>0</v>
      </c>
      <c r="AH96">
        <f t="shared" si="15"/>
        <v>0</v>
      </c>
      <c r="AI96">
        <f t="shared" si="16"/>
        <v>0</v>
      </c>
      <c r="AJ96">
        <f t="shared" si="17"/>
        <v>0</v>
      </c>
      <c r="AK96">
        <f t="shared" si="18"/>
        <v>0</v>
      </c>
      <c r="AL96">
        <f t="shared" si="19"/>
        <v>0</v>
      </c>
      <c r="AM96">
        <f t="shared" si="20"/>
        <v>0</v>
      </c>
    </row>
    <row r="97" spans="1:39" ht="18" customHeight="1">
      <c r="B97">
        <v>1200</v>
      </c>
      <c r="C97">
        <v>800</v>
      </c>
      <c r="AG97">
        <f t="shared" si="14"/>
        <v>0</v>
      </c>
      <c r="AH97">
        <f t="shared" si="15"/>
        <v>0</v>
      </c>
      <c r="AI97">
        <f t="shared" si="16"/>
        <v>0</v>
      </c>
      <c r="AJ97">
        <f t="shared" si="17"/>
        <v>0</v>
      </c>
      <c r="AK97">
        <f t="shared" si="18"/>
        <v>0</v>
      </c>
      <c r="AL97">
        <f t="shared" si="19"/>
        <v>0</v>
      </c>
      <c r="AM97">
        <f t="shared" si="20"/>
        <v>0</v>
      </c>
    </row>
    <row r="98" spans="1:39" ht="18" customHeight="1">
      <c r="B98">
        <v>1300</v>
      </c>
      <c r="C98">
        <v>700</v>
      </c>
      <c r="AG98">
        <f t="shared" si="14"/>
        <v>0</v>
      </c>
      <c r="AH98">
        <f t="shared" si="15"/>
        <v>0</v>
      </c>
      <c r="AI98">
        <f t="shared" si="16"/>
        <v>0</v>
      </c>
      <c r="AJ98">
        <f t="shared" si="17"/>
        <v>0</v>
      </c>
      <c r="AK98">
        <f t="shared" si="18"/>
        <v>0</v>
      </c>
      <c r="AL98">
        <f t="shared" si="19"/>
        <v>0</v>
      </c>
      <c r="AM98">
        <f t="shared" si="20"/>
        <v>0</v>
      </c>
    </row>
    <row r="99" spans="1:39" ht="18" customHeight="1">
      <c r="B99">
        <v>1400</v>
      </c>
      <c r="C99">
        <v>600</v>
      </c>
      <c r="E99">
        <f>ROUND(AVERAGE(seed1!E99,seed2!E99,seed3!E99,seed4!E99,seed5!E99,seed6!E99),4)</f>
        <v>8.7297999999999991</v>
      </c>
      <c r="F99">
        <f>ROUND(AVERAGE(seed1!F99,seed2!F99,seed3!F99,seed4!F99,seed5!F99,seed6!F99),4)</f>
        <v>7.2404000000000002</v>
      </c>
      <c r="G99">
        <f>ROUND(AVERAGE(seed1!G99,seed2!G99,seed3!G99,seed4!G99,seed5!G99,seed6!G99),4)</f>
        <v>13.950900000000001</v>
      </c>
      <c r="I99">
        <f>ROUND(AVERAGE(seed1!I99,seed2!I99,seed3!I99,seed4!I99,seed5!I99,seed6!I99),4)</f>
        <v>8.7297999999999991</v>
      </c>
      <c r="J99">
        <f>ROUND(AVERAGE(seed1!J99,seed2!J99,seed3!J99,seed4!J99,seed5!J99,seed6!J99),4)</f>
        <v>7.2404000000000002</v>
      </c>
      <c r="K99">
        <f>ROUND(AVERAGE(seed1!K99,seed2!K99,seed3!K99,seed4!K99,seed5!K99,seed6!K99),4)</f>
        <v>13.950900000000001</v>
      </c>
      <c r="M99">
        <f>ROUND(AVERAGE(seed1!M99,seed2!M99,seed3!M99,seed4!M99,seed5!M99,seed6!M99),4)</f>
        <v>7.0164999999999997</v>
      </c>
      <c r="N99">
        <f>ROUND(AVERAGE(seed1!N99,seed2!N99,seed3!N99,seed4!N99,seed5!N99,seed6!N99),4)</f>
        <v>4.8628999999999998</v>
      </c>
      <c r="O99">
        <f>ROUND(AVERAGE(seed1!O99,seed2!O99,seed3!O99,seed4!O99,seed5!O99,seed6!O99),4)</f>
        <v>16.509899999999998</v>
      </c>
      <c r="Q99">
        <f>ROUND(AVERAGE(seed1!Q99,seed2!Q99,seed3!Q99,seed4!Q99,seed5!Q99,seed6!Q99),4)</f>
        <v>8.6120000000000001</v>
      </c>
      <c r="R99">
        <f>ROUND(AVERAGE(seed1!R99,seed2!R99,seed3!R99,seed4!R99,seed5!R99,seed6!R99),4)</f>
        <v>7.1976000000000004</v>
      </c>
      <c r="S99">
        <f>ROUND(AVERAGE(seed1!S99,seed2!S99,seed3!S99,seed4!S99,seed5!S99,seed6!S99),4)</f>
        <v>13.431800000000001</v>
      </c>
      <c r="U99">
        <f>ROUND(AVERAGE(seed1!U99,seed2!U99,seed3!U99,seed4!U99,seed5!U99,seed6!U99),4)</f>
        <v>6.5902000000000003</v>
      </c>
      <c r="V99">
        <f>ROUND(AVERAGE(seed1!V99,seed2!V99,seed3!V99,seed4!V99,seed5!V99,seed6!V99),4)</f>
        <v>4.3882000000000003</v>
      </c>
      <c r="W99">
        <f>ROUND(AVERAGE(seed1!W99,seed2!W99,seed3!W99,seed4!W99,seed5!W99,seed6!W99),4)</f>
        <v>16.573699999999999</v>
      </c>
      <c r="Y99">
        <f>ROUND(AVERAGE(seed1!Y99,seed2!Y99,seed3!Y99,seed4!Y99,seed5!Y99,seed6!Y99),4)</f>
        <v>6.6864999999999997</v>
      </c>
      <c r="Z99">
        <f>ROUND(AVERAGE(seed1!Z99,seed2!Z99,seed3!Z99,seed4!Z99,seed5!Z99,seed6!Z99),4)</f>
        <v>4.4958999999999998</v>
      </c>
      <c r="AA99">
        <f>ROUND(AVERAGE(seed1!AA99,seed2!AA99,seed3!AA99,seed4!AA99,seed5!AA99,seed6!AA99),4)</f>
        <v>16.554200000000002</v>
      </c>
      <c r="AC99">
        <f>ROUND(AVERAGE(seed1!AC99,seed2!AC99,seed3!AC99,seed4!AC99,seed5!AC99,seed6!AC99),4)</f>
        <v>8.7297999999999991</v>
      </c>
      <c r="AD99">
        <f>ROUND(AVERAGE(seed1!AD99,seed2!AD99,seed3!AD99,seed4!AD99,seed5!AD99,seed6!AD99),4)</f>
        <v>7.2404000000000002</v>
      </c>
      <c r="AE99">
        <f>ROUND(AVERAGE(seed1!AE99,seed2!AE99,seed3!AE99,seed4!AE99,seed5!AE99,seed6!AE99),4)</f>
        <v>13.950799999999999</v>
      </c>
      <c r="AG99">
        <f t="shared" si="14"/>
        <v>8.7297999999999991</v>
      </c>
      <c r="AH99">
        <f t="shared" si="15"/>
        <v>8.7297999999999991</v>
      </c>
      <c r="AI99">
        <f t="shared" si="16"/>
        <v>8.7297999999999991</v>
      </c>
      <c r="AJ99">
        <f t="shared" si="17"/>
        <v>7.0164999999999997</v>
      </c>
      <c r="AK99">
        <f t="shared" si="18"/>
        <v>8.6120000000000001</v>
      </c>
      <c r="AL99">
        <f t="shared" si="19"/>
        <v>6.5902000000000003</v>
      </c>
      <c r="AM99">
        <f t="shared" si="20"/>
        <v>6.6864999999999997</v>
      </c>
    </row>
    <row r="100" spans="1:39" ht="18" customHeight="1">
      <c r="B100">
        <v>1500</v>
      </c>
      <c r="C100">
        <v>500</v>
      </c>
      <c r="AG100">
        <f t="shared" si="14"/>
        <v>0</v>
      </c>
      <c r="AH100">
        <f t="shared" si="15"/>
        <v>0</v>
      </c>
      <c r="AI100">
        <f t="shared" si="16"/>
        <v>0</v>
      </c>
      <c r="AJ100">
        <f t="shared" si="17"/>
        <v>0</v>
      </c>
      <c r="AK100">
        <f t="shared" si="18"/>
        <v>0</v>
      </c>
      <c r="AL100">
        <f t="shared" si="19"/>
        <v>0</v>
      </c>
      <c r="AM100">
        <f t="shared" si="20"/>
        <v>0</v>
      </c>
    </row>
    <row r="101" spans="1:39" ht="18" customHeight="1">
      <c r="AG101">
        <f t="shared" si="14"/>
        <v>0</v>
      </c>
      <c r="AH101">
        <f t="shared" si="15"/>
        <v>0</v>
      </c>
      <c r="AI101">
        <f t="shared" si="16"/>
        <v>0</v>
      </c>
      <c r="AJ101">
        <f t="shared" si="17"/>
        <v>0</v>
      </c>
      <c r="AK101">
        <f t="shared" si="18"/>
        <v>0</v>
      </c>
      <c r="AL101">
        <f t="shared" si="19"/>
        <v>0</v>
      </c>
      <c r="AM101">
        <f t="shared" si="20"/>
        <v>0</v>
      </c>
    </row>
    <row r="102" spans="1:39" ht="18" customHeight="1">
      <c r="B102">
        <v>1200</v>
      </c>
      <c r="C102">
        <v>1200</v>
      </c>
      <c r="E102">
        <f>ROUND(AVERAGE(seed1!E102,seed2!E102,seed3!E102,seed4!E102,seed5!E102,seed6!E102),4)</f>
        <v>8.5197000000000003</v>
      </c>
      <c r="F102">
        <f>ROUND(AVERAGE(seed1!F102,seed2!F102,seed3!F102,seed4!F102,seed5!F102,seed6!F102),4)</f>
        <v>6.2873000000000001</v>
      </c>
      <c r="G102">
        <f>ROUND(AVERAGE(seed1!G102,seed2!G102,seed3!G102,seed4!G102,seed5!G102,seed6!G102),4)</f>
        <v>11.8406</v>
      </c>
      <c r="I102">
        <f>ROUND(AVERAGE(seed1!I102,seed2!I102,seed3!I102,seed4!I102,seed5!I102,seed6!I102),4)</f>
        <v>8.6888000000000005</v>
      </c>
      <c r="J102">
        <f>ROUND(AVERAGE(seed1!J102,seed2!J102,seed3!J102,seed4!J102,seed5!J102,seed6!J102),4)</f>
        <v>6.3617999999999997</v>
      </c>
      <c r="K102">
        <f>ROUND(AVERAGE(seed1!K102,seed2!K102,seed3!K102,seed4!K102,seed5!K102,seed6!K102),4)</f>
        <v>12.0321</v>
      </c>
      <c r="M102">
        <f>ROUND(AVERAGE(seed1!M102,seed2!M102,seed3!M102,seed4!M102,seed5!M102,seed6!M102),4)</f>
        <v>7.6513999999999998</v>
      </c>
      <c r="N102">
        <f>ROUND(AVERAGE(seed1!N102,seed2!N102,seed3!N102,seed4!N102,seed5!N102,seed6!N102),4)</f>
        <v>3.3565</v>
      </c>
      <c r="O102">
        <f>ROUND(AVERAGE(seed1!O102,seed2!O102,seed3!O102,seed4!O102,seed5!O102,seed6!O102),4)</f>
        <v>16.644400000000001</v>
      </c>
      <c r="Q102">
        <f>ROUND(AVERAGE(seed1!Q102,seed2!Q102,seed3!Q102,seed4!Q102,seed5!Q102,seed6!Q102),4)</f>
        <v>8.8329000000000004</v>
      </c>
      <c r="R102">
        <f>ROUND(AVERAGE(seed1!R102,seed2!R102,seed3!R102,seed4!R102,seed5!R102,seed6!R102),4)</f>
        <v>7.7074999999999996</v>
      </c>
      <c r="S102">
        <f>ROUND(AVERAGE(seed1!S102,seed2!S102,seed3!S102,seed4!S102,seed5!S102,seed6!S102),4)</f>
        <v>10.200699999999999</v>
      </c>
      <c r="U102">
        <f>ROUND(AVERAGE(seed1!U102,seed2!U102,seed3!U102,seed4!U102,seed5!U102,seed6!U102),4)</f>
        <v>7.6513999999999998</v>
      </c>
      <c r="V102">
        <f>ROUND(AVERAGE(seed1!V102,seed2!V102,seed3!V102,seed4!V102,seed5!V102,seed6!V102),4)</f>
        <v>3.3565</v>
      </c>
      <c r="W102">
        <f>ROUND(AVERAGE(seed1!W102,seed2!W102,seed3!W102,seed4!W102,seed5!W102,seed6!W102),4)</f>
        <v>16.644400000000001</v>
      </c>
      <c r="Y102">
        <f>ROUND(AVERAGE(seed1!Y102,seed2!Y102,seed3!Y102,seed4!Y102,seed5!Y102,seed6!Y102),4)</f>
        <v>7.6513999999999998</v>
      </c>
      <c r="Z102">
        <f>ROUND(AVERAGE(seed1!Z102,seed2!Z102,seed3!Z102,seed4!Z102,seed5!Z102,seed6!Z102),4)</f>
        <v>3.3565</v>
      </c>
      <c r="AA102">
        <f>ROUND(AVERAGE(seed1!AA102,seed2!AA102,seed3!AA102,seed4!AA102,seed5!AA102,seed6!AA102),4)</f>
        <v>16.644400000000001</v>
      </c>
      <c r="AC102">
        <f>ROUND(AVERAGE(seed1!AC102,seed2!AC102,seed3!AC102,seed4!AC102,seed5!AC102,seed6!AC102),4)</f>
        <v>8.4736999999999991</v>
      </c>
      <c r="AD102">
        <f>ROUND(AVERAGE(seed1!AD102,seed2!AD102,seed3!AD102,seed4!AD102,seed5!AD102,seed6!AD102),4)</f>
        <v>6.2179000000000002</v>
      </c>
      <c r="AE102">
        <f>ROUND(AVERAGE(seed1!AE102,seed2!AE102,seed3!AE102,seed4!AE102,seed5!AE102,seed6!AE102),4)</f>
        <v>11.858599999999999</v>
      </c>
      <c r="AG102">
        <f t="shared" si="14"/>
        <v>8.5197000000000003</v>
      </c>
      <c r="AH102">
        <f t="shared" si="15"/>
        <v>8.6888000000000005</v>
      </c>
      <c r="AI102">
        <f t="shared" si="16"/>
        <v>8.4736999999999991</v>
      </c>
      <c r="AJ102">
        <f t="shared" si="17"/>
        <v>7.6513999999999998</v>
      </c>
      <c r="AK102">
        <f t="shared" si="18"/>
        <v>8.8329000000000004</v>
      </c>
      <c r="AL102">
        <f t="shared" si="19"/>
        <v>7.6513999999999998</v>
      </c>
      <c r="AM102">
        <f t="shared" si="20"/>
        <v>7.6513999999999998</v>
      </c>
    </row>
    <row r="103" spans="1:39" ht="18" customHeight="1">
      <c r="AG103">
        <f t="shared" si="14"/>
        <v>0</v>
      </c>
      <c r="AH103">
        <f t="shared" si="15"/>
        <v>0</v>
      </c>
      <c r="AI103">
        <f t="shared" si="16"/>
        <v>0</v>
      </c>
      <c r="AJ103">
        <f t="shared" si="17"/>
        <v>0</v>
      </c>
      <c r="AK103">
        <f t="shared" si="18"/>
        <v>0</v>
      </c>
      <c r="AL103">
        <f t="shared" si="19"/>
        <v>0</v>
      </c>
      <c r="AM103">
        <f t="shared" si="20"/>
        <v>0</v>
      </c>
    </row>
    <row r="104" spans="1:39" ht="18" customHeight="1">
      <c r="B104">
        <v>500</v>
      </c>
      <c r="C104">
        <v>1500</v>
      </c>
      <c r="AG104">
        <f t="shared" si="14"/>
        <v>0</v>
      </c>
      <c r="AH104">
        <f t="shared" si="15"/>
        <v>0</v>
      </c>
      <c r="AI104">
        <f t="shared" si="16"/>
        <v>0</v>
      </c>
      <c r="AJ104">
        <f t="shared" si="17"/>
        <v>0</v>
      </c>
      <c r="AK104">
        <f t="shared" si="18"/>
        <v>0</v>
      </c>
      <c r="AL104">
        <f t="shared" si="19"/>
        <v>0</v>
      </c>
      <c r="AM104">
        <f t="shared" si="20"/>
        <v>0</v>
      </c>
    </row>
    <row r="105" spans="1:39" ht="18" customHeight="1">
      <c r="A105" t="s">
        <v>18</v>
      </c>
      <c r="B105">
        <v>600</v>
      </c>
      <c r="C105">
        <v>1400</v>
      </c>
      <c r="E105">
        <f>ROUND(AVERAGE(seed1!E105,seed2!E105,seed3!E105,seed4!E105,seed5!E105,seed6!E105),4)</f>
        <v>10.8058</v>
      </c>
      <c r="F105">
        <f>ROUND(AVERAGE(seed1!F105,seed2!F105,seed3!F105,seed4!F105,seed5!F105,seed6!F105),4)</f>
        <v>6.2112999999999996</v>
      </c>
      <c r="G105">
        <f>ROUND(AVERAGE(seed1!G105,seed2!G105,seed3!G105,seed4!G105,seed5!G105,seed6!G105),4)</f>
        <v>14.661</v>
      </c>
      <c r="I105">
        <f>ROUND(AVERAGE(seed1!I105,seed2!I105,seed3!I105,seed4!I105,seed5!I105,seed6!I105),4)</f>
        <v>10.485799999999999</v>
      </c>
      <c r="J105">
        <f>ROUND(AVERAGE(seed1!J105,seed2!J105,seed3!J105,seed4!J105,seed5!J105,seed6!J105),4)</f>
        <v>6.6036000000000001</v>
      </c>
      <c r="K105">
        <f>ROUND(AVERAGE(seed1!K105,seed2!K105,seed3!K105,seed4!K105,seed5!K105,seed6!K105),4)</f>
        <v>13.529299999999999</v>
      </c>
      <c r="M105">
        <f>ROUND(AVERAGE(seed1!M105,seed2!M105,seed3!M105,seed4!M105,seed5!M105,seed6!M105),4)</f>
        <v>10.071300000000001</v>
      </c>
      <c r="N105">
        <f>ROUND(AVERAGE(seed1!N105,seed2!N105,seed3!N105,seed4!N105,seed5!N105,seed6!N105),4)</f>
        <v>3.8167</v>
      </c>
      <c r="O105">
        <f>ROUND(AVERAGE(seed1!O105,seed2!O105,seed3!O105,seed4!O105,seed5!O105,seed6!O105),4)</f>
        <v>16.6631</v>
      </c>
      <c r="Q105">
        <f>ROUND(AVERAGE(seed1!Q105,seed2!Q105,seed3!Q105,seed4!Q105,seed5!Q105,seed6!Q105),4)</f>
        <v>9.9295000000000009</v>
      </c>
      <c r="R105">
        <f>ROUND(AVERAGE(seed1!R105,seed2!R105,seed3!R105,seed4!R105,seed5!R105,seed6!R105),4)</f>
        <v>11.1808</v>
      </c>
      <c r="S105">
        <f>ROUND(AVERAGE(seed1!S105,seed2!S105,seed3!S105,seed4!S105,seed5!S105,seed6!S105),4)</f>
        <v>9.3887999999999998</v>
      </c>
      <c r="U105">
        <f>ROUND(AVERAGE(seed1!U105,seed2!U105,seed3!U105,seed4!U105,seed5!U105,seed6!U105),4)</f>
        <v>10.071300000000001</v>
      </c>
      <c r="V105">
        <f>ROUND(AVERAGE(seed1!V105,seed2!V105,seed3!V105,seed4!V105,seed5!V105,seed6!V105),4)</f>
        <v>3.8167</v>
      </c>
      <c r="W105">
        <f>ROUND(AVERAGE(seed1!W105,seed2!W105,seed3!W105,seed4!W105,seed5!W105,seed6!W105),4)</f>
        <v>16.6631</v>
      </c>
      <c r="Y105">
        <f>ROUND(AVERAGE(seed1!Y105,seed2!Y105,seed3!Y105,seed4!Y105,seed5!Y105,seed6!Y105),4)</f>
        <v>10.071300000000001</v>
      </c>
      <c r="Z105">
        <f>ROUND(AVERAGE(seed1!Z105,seed2!Z105,seed3!Z105,seed4!Z105,seed5!Z105,seed6!Z105),4)</f>
        <v>3.8167</v>
      </c>
      <c r="AA105">
        <f>ROUND(AVERAGE(seed1!AA105,seed2!AA105,seed3!AA105,seed4!AA105,seed5!AA105,seed6!AA105),4)</f>
        <v>16.6631</v>
      </c>
      <c r="AC105">
        <f>ROUND(AVERAGE(seed1!AC105,seed2!AC105,seed3!AC105,seed4!AC105,seed5!AC105,seed6!AC105),4)</f>
        <v>10.3254</v>
      </c>
      <c r="AD105">
        <f>ROUND(AVERAGE(seed1!AD105,seed2!AD105,seed3!AD105,seed4!AD105,seed5!AD105,seed6!AD105),4)</f>
        <v>5.4002999999999997</v>
      </c>
      <c r="AE105">
        <f>ROUND(AVERAGE(seed1!AE105,seed2!AE105,seed3!AE105,seed4!AE105,seed5!AE105,seed6!AE105),4)</f>
        <v>14.8111</v>
      </c>
      <c r="AG105">
        <f t="shared" si="14"/>
        <v>10.8058</v>
      </c>
      <c r="AH105">
        <f t="shared" si="15"/>
        <v>10.485799999999999</v>
      </c>
      <c r="AI105">
        <f t="shared" si="16"/>
        <v>10.3254</v>
      </c>
      <c r="AJ105">
        <f t="shared" si="17"/>
        <v>10.071300000000001</v>
      </c>
      <c r="AK105">
        <f t="shared" si="18"/>
        <v>9.9295000000000009</v>
      </c>
      <c r="AL105">
        <f t="shared" si="19"/>
        <v>10.071300000000001</v>
      </c>
      <c r="AM105">
        <f t="shared" si="20"/>
        <v>10.071300000000001</v>
      </c>
    </row>
    <row r="106" spans="1:39" ht="18" customHeight="1">
      <c r="B106">
        <v>700</v>
      </c>
      <c r="C106">
        <v>1300</v>
      </c>
      <c r="AG106">
        <f t="shared" si="14"/>
        <v>0</v>
      </c>
      <c r="AH106">
        <f t="shared" si="15"/>
        <v>0</v>
      </c>
      <c r="AI106">
        <f t="shared" si="16"/>
        <v>0</v>
      </c>
      <c r="AJ106">
        <f t="shared" si="17"/>
        <v>0</v>
      </c>
      <c r="AK106">
        <f t="shared" si="18"/>
        <v>0</v>
      </c>
      <c r="AL106">
        <f t="shared" si="19"/>
        <v>0</v>
      </c>
      <c r="AM106">
        <f t="shared" si="20"/>
        <v>0</v>
      </c>
    </row>
    <row r="107" spans="1:39" ht="18" customHeight="1">
      <c r="B107">
        <v>800</v>
      </c>
      <c r="C107">
        <v>1200</v>
      </c>
      <c r="AG107">
        <f t="shared" si="14"/>
        <v>0</v>
      </c>
      <c r="AH107">
        <f t="shared" si="15"/>
        <v>0</v>
      </c>
      <c r="AI107">
        <f t="shared" si="16"/>
        <v>0</v>
      </c>
      <c r="AJ107">
        <f t="shared" si="17"/>
        <v>0</v>
      </c>
      <c r="AK107">
        <f t="shared" si="18"/>
        <v>0</v>
      </c>
      <c r="AL107">
        <f t="shared" si="19"/>
        <v>0</v>
      </c>
      <c r="AM107">
        <f t="shared" si="20"/>
        <v>0</v>
      </c>
    </row>
    <row r="108" spans="1:39" ht="18" customHeight="1">
      <c r="B108">
        <v>900</v>
      </c>
      <c r="C108">
        <v>1100</v>
      </c>
      <c r="AG108">
        <f t="shared" si="14"/>
        <v>0</v>
      </c>
      <c r="AH108">
        <f t="shared" si="15"/>
        <v>0</v>
      </c>
      <c r="AI108">
        <f t="shared" si="16"/>
        <v>0</v>
      </c>
      <c r="AJ108">
        <f t="shared" si="17"/>
        <v>0</v>
      </c>
      <c r="AK108">
        <f t="shared" si="18"/>
        <v>0</v>
      </c>
      <c r="AL108">
        <f t="shared" si="19"/>
        <v>0</v>
      </c>
      <c r="AM108">
        <f t="shared" si="20"/>
        <v>0</v>
      </c>
    </row>
    <row r="109" spans="1:39" ht="18" customHeight="1">
      <c r="B109">
        <v>1000</v>
      </c>
      <c r="C109">
        <v>1000</v>
      </c>
      <c r="E109">
        <f>ROUND(AVERAGE(seed1!E109,seed2!E109,seed3!E109,seed4!E109,seed5!E109,seed6!E109),4)</f>
        <v>9.2523999999999997</v>
      </c>
      <c r="F109">
        <f>ROUND(AVERAGE(seed1!F109,seed2!F109,seed3!F109,seed4!F109,seed5!F109,seed6!F109),4)</f>
        <v>7.0594000000000001</v>
      </c>
      <c r="G109">
        <f>ROUND(AVERAGE(seed1!G109,seed2!G109,seed3!G109,seed4!G109,seed5!G109,seed6!G109),4)</f>
        <v>12.742900000000001</v>
      </c>
      <c r="I109">
        <f>ROUND(AVERAGE(seed1!I109,seed2!I109,seed3!I109,seed4!I109,seed5!I109,seed6!I109),4)</f>
        <v>9.3702000000000005</v>
      </c>
      <c r="J109">
        <f>ROUND(AVERAGE(seed1!J109,seed2!J109,seed3!J109,seed4!J109,seed5!J109,seed6!J109),4)</f>
        <v>7.4103000000000003</v>
      </c>
      <c r="K109">
        <f>ROUND(AVERAGE(seed1!K109,seed2!K109,seed3!K109,seed4!K109,seed5!K109,seed6!K109),4)</f>
        <v>12.347</v>
      </c>
      <c r="M109">
        <f>ROUND(AVERAGE(seed1!M109,seed2!M109,seed3!M109,seed4!M109,seed5!M109,seed6!M109),4)</f>
        <v>7.1645000000000003</v>
      </c>
      <c r="N109">
        <f>ROUND(AVERAGE(seed1!N109,seed2!N109,seed3!N109,seed4!N109,seed5!N109,seed6!N109),4)</f>
        <v>3.3123</v>
      </c>
      <c r="O109">
        <f>ROUND(AVERAGE(seed1!O109,seed2!O109,seed3!O109,seed4!O109,seed5!O109,seed6!O109),4)</f>
        <v>16.621500000000001</v>
      </c>
      <c r="Q109">
        <f>ROUND(AVERAGE(seed1!Q109,seed2!Q109,seed3!Q109,seed4!Q109,seed5!Q109,seed6!Q109),4)</f>
        <v>9.5365000000000002</v>
      </c>
      <c r="R109">
        <f>ROUND(AVERAGE(seed1!R109,seed2!R109,seed3!R109,seed4!R109,seed5!R109,seed6!R109),4)</f>
        <v>8.8360000000000003</v>
      </c>
      <c r="S109">
        <f>ROUND(AVERAGE(seed1!S109,seed2!S109,seed3!S109,seed4!S109,seed5!S109,seed6!S109),4)</f>
        <v>10.3873</v>
      </c>
      <c r="U109">
        <f>ROUND(AVERAGE(seed1!U109,seed2!U109,seed3!U109,seed4!U109,seed5!U109,seed6!U109),4)</f>
        <v>7.1645000000000003</v>
      </c>
      <c r="V109">
        <f>ROUND(AVERAGE(seed1!V109,seed2!V109,seed3!V109,seed4!V109,seed5!V109,seed6!V109),4)</f>
        <v>3.3123999999999998</v>
      </c>
      <c r="W109">
        <f>ROUND(AVERAGE(seed1!W109,seed2!W109,seed3!W109,seed4!W109,seed5!W109,seed6!W109),4)</f>
        <v>16.621500000000001</v>
      </c>
      <c r="Y109">
        <f>ROUND(AVERAGE(seed1!Y109,seed2!Y109,seed3!Y109,seed4!Y109,seed5!Y109,seed6!Y109),4)</f>
        <v>7.1645000000000003</v>
      </c>
      <c r="Z109">
        <f>ROUND(AVERAGE(seed1!Z109,seed2!Z109,seed3!Z109,seed4!Z109,seed5!Z109,seed6!Z109),4)</f>
        <v>3.3123999999999998</v>
      </c>
      <c r="AA109">
        <f>ROUND(AVERAGE(seed1!AA109,seed2!AA109,seed3!AA109,seed4!AA109,seed5!AA109,seed6!AA109),4)</f>
        <v>16.621500000000001</v>
      </c>
      <c r="AC109">
        <f>ROUND(AVERAGE(seed1!AC109,seed2!AC109,seed3!AC109,seed4!AC109,seed5!AC109,seed6!AC109),4)</f>
        <v>9.3644999999999996</v>
      </c>
      <c r="AD109">
        <f>ROUND(AVERAGE(seed1!AD109,seed2!AD109,seed3!AD109,seed4!AD109,seed5!AD109,seed6!AD109),4)</f>
        <v>7.1144999999999996</v>
      </c>
      <c r="AE109">
        <f>ROUND(AVERAGE(seed1!AE109,seed2!AE109,seed3!AE109,seed4!AE109,seed5!AE109,seed6!AE109),4)</f>
        <v>12.9734</v>
      </c>
      <c r="AG109">
        <f t="shared" si="14"/>
        <v>9.2523999999999997</v>
      </c>
      <c r="AH109">
        <f t="shared" si="15"/>
        <v>9.3702000000000005</v>
      </c>
      <c r="AI109">
        <f t="shared" si="16"/>
        <v>9.3644999999999996</v>
      </c>
      <c r="AJ109">
        <f t="shared" si="17"/>
        <v>7.1645000000000003</v>
      </c>
      <c r="AK109">
        <f t="shared" si="18"/>
        <v>9.5365000000000002</v>
      </c>
      <c r="AL109">
        <f t="shared" si="19"/>
        <v>7.1645000000000003</v>
      </c>
      <c r="AM109">
        <f t="shared" si="20"/>
        <v>7.1645000000000003</v>
      </c>
    </row>
    <row r="110" spans="1:39" ht="18" customHeight="1">
      <c r="B110">
        <v>1100</v>
      </c>
      <c r="C110">
        <v>900</v>
      </c>
      <c r="AG110">
        <f t="shared" si="14"/>
        <v>0</v>
      </c>
      <c r="AH110">
        <f t="shared" si="15"/>
        <v>0</v>
      </c>
      <c r="AI110">
        <f t="shared" si="16"/>
        <v>0</v>
      </c>
      <c r="AJ110">
        <f t="shared" si="17"/>
        <v>0</v>
      </c>
      <c r="AK110">
        <f t="shared" si="18"/>
        <v>0</v>
      </c>
      <c r="AL110">
        <f t="shared" si="19"/>
        <v>0</v>
      </c>
      <c r="AM110">
        <f t="shared" si="20"/>
        <v>0</v>
      </c>
    </row>
    <row r="111" spans="1:39" ht="18" customHeight="1">
      <c r="B111">
        <v>1200</v>
      </c>
      <c r="C111">
        <v>800</v>
      </c>
      <c r="AG111">
        <f t="shared" si="14"/>
        <v>0</v>
      </c>
      <c r="AH111">
        <f t="shared" si="15"/>
        <v>0</v>
      </c>
      <c r="AI111">
        <f t="shared" si="16"/>
        <v>0</v>
      </c>
      <c r="AJ111">
        <f t="shared" si="17"/>
        <v>0</v>
      </c>
      <c r="AK111">
        <f t="shared" si="18"/>
        <v>0</v>
      </c>
      <c r="AL111">
        <f t="shared" si="19"/>
        <v>0</v>
      </c>
      <c r="AM111">
        <f t="shared" si="20"/>
        <v>0</v>
      </c>
    </row>
    <row r="112" spans="1:39" ht="18" customHeight="1">
      <c r="B112">
        <v>1300</v>
      </c>
      <c r="C112">
        <v>700</v>
      </c>
      <c r="AG112">
        <f t="shared" si="14"/>
        <v>0</v>
      </c>
      <c r="AH112">
        <f t="shared" si="15"/>
        <v>0</v>
      </c>
      <c r="AI112">
        <f t="shared" si="16"/>
        <v>0</v>
      </c>
      <c r="AJ112">
        <f t="shared" si="17"/>
        <v>0</v>
      </c>
      <c r="AK112">
        <f t="shared" si="18"/>
        <v>0</v>
      </c>
      <c r="AL112">
        <f t="shared" si="19"/>
        <v>0</v>
      </c>
      <c r="AM112">
        <f t="shared" si="20"/>
        <v>0</v>
      </c>
    </row>
    <row r="113" spans="1:39" ht="18" customHeight="1">
      <c r="B113">
        <v>1400</v>
      </c>
      <c r="C113">
        <v>600</v>
      </c>
      <c r="E113">
        <f>ROUND(AVERAGE(seed1!E113,seed2!E113,seed3!E113,seed4!E113,seed5!E113,seed6!E113),4)</f>
        <v>7.8380000000000001</v>
      </c>
      <c r="F113">
        <f>ROUND(AVERAGE(seed1!F113,seed2!F113,seed3!F113,seed4!F113,seed5!F113,seed6!F113),4)</f>
        <v>6.3815</v>
      </c>
      <c r="G113">
        <f>ROUND(AVERAGE(seed1!G113,seed2!G113,seed3!G113,seed4!G113,seed5!G113,seed6!G113),4)</f>
        <v>13.3545</v>
      </c>
      <c r="I113">
        <f>ROUND(AVERAGE(seed1!I113,seed2!I113,seed3!I113,seed4!I113,seed5!I113,seed6!I113),4)</f>
        <v>7.8380000000000001</v>
      </c>
      <c r="J113">
        <f>ROUND(AVERAGE(seed1!J113,seed2!J113,seed3!J113,seed4!J113,seed5!J113,seed6!J113),4)</f>
        <v>6.3815</v>
      </c>
      <c r="K113">
        <f>ROUND(AVERAGE(seed1!K113,seed2!K113,seed3!K113,seed4!K113,seed5!K113,seed6!K113),4)</f>
        <v>13.3545</v>
      </c>
      <c r="M113">
        <f>ROUND(AVERAGE(seed1!M113,seed2!M113,seed3!M113,seed4!M113,seed5!M113,seed6!M113),4)</f>
        <v>5.8512000000000004</v>
      </c>
      <c r="N113">
        <f>ROUND(AVERAGE(seed1!N113,seed2!N113,seed3!N113,seed4!N113,seed5!N113,seed6!N113),4)</f>
        <v>3.7612999999999999</v>
      </c>
      <c r="O113">
        <f>ROUND(AVERAGE(seed1!O113,seed2!O113,seed3!O113,seed4!O113,seed5!O113,seed6!O113),4)</f>
        <v>16.4758</v>
      </c>
      <c r="Q113">
        <f>ROUND(AVERAGE(seed1!Q113,seed2!Q113,seed3!Q113,seed4!Q113,seed5!Q113,seed6!Q113),4)</f>
        <v>7.6917999999999997</v>
      </c>
      <c r="R113">
        <f>ROUND(AVERAGE(seed1!R113,seed2!R113,seed3!R113,seed4!R113,seed5!R113,seed6!R113),4)</f>
        <v>6.3224999999999998</v>
      </c>
      <c r="S113">
        <f>ROUND(AVERAGE(seed1!S113,seed2!S113,seed3!S113,seed4!S113,seed5!S113,seed6!S113),4)</f>
        <v>12.7081</v>
      </c>
      <c r="U113">
        <f>ROUND(AVERAGE(seed1!U113,seed2!U113,seed3!U113,seed4!U113,seed5!U113,seed6!U113),4)</f>
        <v>5.3912000000000004</v>
      </c>
      <c r="V113">
        <f>ROUND(AVERAGE(seed1!V113,seed2!V113,seed3!V113,seed4!V113,seed5!V113,seed6!V113),4)</f>
        <v>3.2692999999999999</v>
      </c>
      <c r="W113">
        <f>ROUND(AVERAGE(seed1!W113,seed2!W113,seed3!W113,seed4!W113,seed5!W113,seed6!W113),4)</f>
        <v>16.535900000000002</v>
      </c>
      <c r="Y113">
        <f>ROUND(AVERAGE(seed1!Y113,seed2!Y113,seed3!Y113,seed4!Y113,seed5!Y113,seed6!Y113),4)</f>
        <v>5.4938000000000002</v>
      </c>
      <c r="Z113">
        <f>ROUND(AVERAGE(seed1!Z113,seed2!Z113,seed3!Z113,seed4!Z113,seed5!Z113,seed6!Z113),4)</f>
        <v>3.3795000000000002</v>
      </c>
      <c r="AA113">
        <f>ROUND(AVERAGE(seed1!AA113,seed2!AA113,seed3!AA113,seed4!AA113,seed5!AA113,seed6!AA113),4)</f>
        <v>16.519400000000001</v>
      </c>
      <c r="AC113">
        <f>ROUND(AVERAGE(seed1!AC113,seed2!AC113,seed3!AC113,seed4!AC113,seed5!AC113,seed6!AC113),4)</f>
        <v>7.8380000000000001</v>
      </c>
      <c r="AD113">
        <f>ROUND(AVERAGE(seed1!AD113,seed2!AD113,seed3!AD113,seed4!AD113,seed5!AD113,seed6!AD113),4)</f>
        <v>6.3815</v>
      </c>
      <c r="AE113">
        <f>ROUND(AVERAGE(seed1!AE113,seed2!AE113,seed3!AE113,seed4!AE113,seed5!AE113,seed6!AE113),4)</f>
        <v>13.3545</v>
      </c>
      <c r="AG113">
        <f t="shared" si="14"/>
        <v>7.8380000000000001</v>
      </c>
      <c r="AH113">
        <f t="shared" si="15"/>
        <v>7.8380000000000001</v>
      </c>
      <c r="AI113">
        <f t="shared" si="16"/>
        <v>7.8380000000000001</v>
      </c>
      <c r="AJ113">
        <f t="shared" si="17"/>
        <v>5.8512000000000004</v>
      </c>
      <c r="AK113">
        <f t="shared" si="18"/>
        <v>7.6917999999999997</v>
      </c>
      <c r="AL113">
        <f t="shared" si="19"/>
        <v>5.3912000000000004</v>
      </c>
      <c r="AM113">
        <f t="shared" si="20"/>
        <v>5.4938000000000002</v>
      </c>
    </row>
    <row r="114" spans="1:39" ht="18" customHeight="1">
      <c r="B114">
        <v>1500</v>
      </c>
      <c r="C114">
        <v>500</v>
      </c>
      <c r="AG114">
        <f t="shared" si="14"/>
        <v>0</v>
      </c>
      <c r="AH114">
        <f t="shared" si="15"/>
        <v>0</v>
      </c>
      <c r="AI114">
        <f t="shared" si="16"/>
        <v>0</v>
      </c>
      <c r="AJ114">
        <f t="shared" si="17"/>
        <v>0</v>
      </c>
      <c r="AK114">
        <f t="shared" si="18"/>
        <v>0</v>
      </c>
      <c r="AL114">
        <f t="shared" si="19"/>
        <v>0</v>
      </c>
      <c r="AM114">
        <f t="shared" si="20"/>
        <v>0</v>
      </c>
    </row>
    <row r="115" spans="1:39" ht="18" customHeight="1">
      <c r="AG115">
        <f t="shared" si="14"/>
        <v>0</v>
      </c>
      <c r="AH115">
        <f t="shared" si="15"/>
        <v>0</v>
      </c>
      <c r="AI115">
        <f t="shared" si="16"/>
        <v>0</v>
      </c>
      <c r="AJ115">
        <f t="shared" si="17"/>
        <v>0</v>
      </c>
      <c r="AK115">
        <f t="shared" si="18"/>
        <v>0</v>
      </c>
      <c r="AL115">
        <f t="shared" si="19"/>
        <v>0</v>
      </c>
      <c r="AM115">
        <f t="shared" si="20"/>
        <v>0</v>
      </c>
    </row>
    <row r="116" spans="1:39" ht="18" customHeight="1">
      <c r="B116">
        <v>1200</v>
      </c>
      <c r="C116">
        <v>1200</v>
      </c>
      <c r="E116">
        <f>ROUND(AVERAGE(seed1!E116,seed2!E116,seed3!E116,seed4!E116,seed5!E116,seed6!E116),4)</f>
        <v>7.4074</v>
      </c>
      <c r="F116">
        <f>ROUND(AVERAGE(seed1!F116,seed2!F116,seed3!F116,seed4!F116,seed5!F116,seed6!F116),4)</f>
        <v>5.3468</v>
      </c>
      <c r="G116">
        <f>ROUND(AVERAGE(seed1!G116,seed2!G116,seed3!G116,seed4!G116,seed5!G116,seed6!G116),4)</f>
        <v>10.751899999999999</v>
      </c>
      <c r="I116">
        <f>ROUND(AVERAGE(seed1!I116,seed2!I116,seed3!I116,seed4!I116,seed5!I116,seed6!I116),4)</f>
        <v>7.6003999999999996</v>
      </c>
      <c r="J116">
        <f>ROUND(AVERAGE(seed1!J116,seed2!J116,seed3!J116,seed4!J116,seed5!J116,seed6!J116),4)</f>
        <v>5.4164000000000003</v>
      </c>
      <c r="K116">
        <f>ROUND(AVERAGE(seed1!K116,seed2!K116,seed3!K116,seed4!K116,seed5!K116,seed6!K116),4)</f>
        <v>10.9818</v>
      </c>
      <c r="M116">
        <f>ROUND(AVERAGE(seed1!M116,seed2!M116,seed3!M116,seed4!M116,seed5!M116,seed6!M116),4)</f>
        <v>6.3771000000000004</v>
      </c>
      <c r="N116">
        <f>ROUND(AVERAGE(seed1!N116,seed2!N116,seed3!N116,seed4!N116,seed5!N116,seed6!N116),4)</f>
        <v>2.2141999999999999</v>
      </c>
      <c r="O116">
        <f>ROUND(AVERAGE(seed1!O116,seed2!O116,seed3!O116,seed4!O116,seed5!O116,seed6!O116),4)</f>
        <v>16.635200000000001</v>
      </c>
      <c r="Q116">
        <f>ROUND(AVERAGE(seed1!Q116,seed2!Q116,seed3!Q116,seed4!Q116,seed5!Q116,seed6!Q116),4)</f>
        <v>7.8362999999999996</v>
      </c>
      <c r="R116">
        <f>ROUND(AVERAGE(seed1!R116,seed2!R116,seed3!R116,seed4!R116,seed5!R116,seed6!R116),4)</f>
        <v>6.8630000000000004</v>
      </c>
      <c r="S116">
        <f>ROUND(AVERAGE(seed1!S116,seed2!S116,seed3!S116,seed4!S116,seed5!S116,seed6!S116),4)</f>
        <v>9.0298999999999996</v>
      </c>
      <c r="U116">
        <f>ROUND(AVERAGE(seed1!U116,seed2!U116,seed3!U116,seed4!U116,seed5!U116,seed6!U116),4)</f>
        <v>6.3771000000000004</v>
      </c>
      <c r="V116">
        <f>ROUND(AVERAGE(seed1!V116,seed2!V116,seed3!V116,seed4!V116,seed5!V116,seed6!V116),4)</f>
        <v>2.2141999999999999</v>
      </c>
      <c r="W116">
        <f>ROUND(AVERAGE(seed1!W116,seed2!W116,seed3!W116,seed4!W116,seed5!W116,seed6!W116),4)</f>
        <v>16.635200000000001</v>
      </c>
      <c r="Y116">
        <f>ROUND(AVERAGE(seed1!Y116,seed2!Y116,seed3!Y116,seed4!Y116,seed5!Y116,seed6!Y116),4)</f>
        <v>6.3771000000000004</v>
      </c>
      <c r="Z116">
        <f>ROUND(AVERAGE(seed1!Z116,seed2!Z116,seed3!Z116,seed4!Z116,seed5!Z116,seed6!Z116),4)</f>
        <v>2.2141999999999999</v>
      </c>
      <c r="AA116">
        <f>ROUND(AVERAGE(seed1!AA116,seed2!AA116,seed3!AA116,seed4!AA116,seed5!AA116,seed6!AA116),4)</f>
        <v>16.635200000000001</v>
      </c>
      <c r="AC116">
        <f>ROUND(AVERAGE(seed1!AC116,seed2!AC116,seed3!AC116,seed4!AC116,seed5!AC116,seed6!AC116),4)</f>
        <v>7.3479000000000001</v>
      </c>
      <c r="AD116">
        <f>ROUND(AVERAGE(seed1!AD116,seed2!AD116,seed3!AD116,seed4!AD116,seed5!AD116,seed6!AD116),4)</f>
        <v>5.2807000000000004</v>
      </c>
      <c r="AE116">
        <f>ROUND(AVERAGE(seed1!AE116,seed2!AE116,seed3!AE116,seed4!AE116,seed5!AE116,seed6!AE116),4)</f>
        <v>10.7357</v>
      </c>
      <c r="AG116">
        <f t="shared" si="14"/>
        <v>7.4074</v>
      </c>
      <c r="AH116">
        <f t="shared" si="15"/>
        <v>7.6003999999999996</v>
      </c>
      <c r="AI116">
        <f t="shared" si="16"/>
        <v>7.3479000000000001</v>
      </c>
      <c r="AJ116">
        <f t="shared" si="17"/>
        <v>6.3771000000000004</v>
      </c>
      <c r="AK116">
        <f t="shared" si="18"/>
        <v>7.8362999999999996</v>
      </c>
      <c r="AL116">
        <f t="shared" si="19"/>
        <v>6.3771000000000004</v>
      </c>
      <c r="AM116">
        <f t="shared" si="20"/>
        <v>6.3771000000000004</v>
      </c>
    </row>
    <row r="117" spans="1:39" ht="18" customHeight="1">
      <c r="AG117">
        <f t="shared" si="14"/>
        <v>0</v>
      </c>
      <c r="AH117">
        <f t="shared" si="15"/>
        <v>0</v>
      </c>
      <c r="AI117">
        <f t="shared" si="16"/>
        <v>0</v>
      </c>
      <c r="AJ117">
        <f t="shared" si="17"/>
        <v>0</v>
      </c>
      <c r="AK117">
        <f t="shared" si="18"/>
        <v>0</v>
      </c>
      <c r="AL117">
        <f t="shared" si="19"/>
        <v>0</v>
      </c>
      <c r="AM117">
        <f t="shared" si="20"/>
        <v>0</v>
      </c>
    </row>
    <row r="118" spans="1:39" ht="18" customHeight="1">
      <c r="B118">
        <v>500</v>
      </c>
      <c r="C118">
        <v>1500</v>
      </c>
      <c r="AG118">
        <f t="shared" si="14"/>
        <v>0</v>
      </c>
      <c r="AH118">
        <f t="shared" si="15"/>
        <v>0</v>
      </c>
      <c r="AI118">
        <f t="shared" si="16"/>
        <v>0</v>
      </c>
      <c r="AJ118">
        <f t="shared" si="17"/>
        <v>0</v>
      </c>
      <c r="AK118">
        <f t="shared" si="18"/>
        <v>0</v>
      </c>
      <c r="AL118">
        <f t="shared" si="19"/>
        <v>0</v>
      </c>
      <c r="AM118">
        <f t="shared" si="20"/>
        <v>0</v>
      </c>
    </row>
    <row r="119" spans="1:39" ht="18" customHeight="1">
      <c r="A119" t="s">
        <v>20</v>
      </c>
      <c r="B119">
        <v>600</v>
      </c>
      <c r="C119">
        <v>1400</v>
      </c>
      <c r="E119">
        <f>ROUND(AVERAGE(seed1!E119,seed2!E119,seed3!E119,seed4!E119,seed5!E119,seed6!E119),4)</f>
        <v>10.2515</v>
      </c>
      <c r="F119">
        <f>ROUND(AVERAGE(seed1!F119,seed2!F119,seed3!F119,seed4!F119,seed5!F119,seed6!F119),4)</f>
        <v>5.8924000000000003</v>
      </c>
      <c r="G119">
        <f>ROUND(AVERAGE(seed1!G119,seed2!G119,seed3!G119,seed4!G119,seed5!G119,seed6!G119),4)</f>
        <v>14.210599999999999</v>
      </c>
      <c r="I119">
        <f>ROUND(AVERAGE(seed1!I119,seed2!I119,seed3!I119,seed4!I119,seed5!I119,seed6!I119),4)</f>
        <v>9.7227999999999994</v>
      </c>
      <c r="J119">
        <f>ROUND(AVERAGE(seed1!J119,seed2!J119,seed3!J119,seed4!J119,seed5!J119,seed6!J119),4)</f>
        <v>6.3860999999999999</v>
      </c>
      <c r="K119">
        <f>ROUND(AVERAGE(seed1!K119,seed2!K119,seed3!K119,seed4!K119,seed5!K119,seed6!K119),4)</f>
        <v>12.4307</v>
      </c>
      <c r="M119">
        <f>ROUND(AVERAGE(seed1!M119,seed2!M119,seed3!M119,seed4!M119,seed5!M119,seed6!M119),4)</f>
        <v>8.9603999999999999</v>
      </c>
      <c r="N119">
        <f>ROUND(AVERAGE(seed1!N119,seed2!N119,seed3!N119,seed4!N119,seed5!N119,seed6!N119),4)</f>
        <v>2.9954999999999998</v>
      </c>
      <c r="O119">
        <f>ROUND(AVERAGE(seed1!O119,seed2!O119,seed3!O119,seed4!O119,seed5!O119,seed6!O119),4)</f>
        <v>16.656300000000002</v>
      </c>
      <c r="Q119">
        <f>ROUND(AVERAGE(seed1!Q119,seed2!Q119,seed3!Q119,seed4!Q119,seed5!Q119,seed6!Q119),4)</f>
        <v>9.3186</v>
      </c>
      <c r="R119">
        <f>ROUND(AVERAGE(seed1!R119,seed2!R119,seed3!R119,seed4!R119,seed5!R119,seed6!R119),4)</f>
        <v>11.316800000000001</v>
      </c>
      <c r="S119">
        <f>ROUND(AVERAGE(seed1!S119,seed2!S119,seed3!S119,seed4!S119,seed5!S119,seed6!S119),4)</f>
        <v>8.5507000000000009</v>
      </c>
      <c r="U119">
        <f>ROUND(AVERAGE(seed1!U119,seed2!U119,seed3!U119,seed4!U119,seed5!U119,seed6!U119),4)</f>
        <v>8.9603999999999999</v>
      </c>
      <c r="V119">
        <f>ROUND(AVERAGE(seed1!V119,seed2!V119,seed3!V119,seed4!V119,seed5!V119,seed6!V119),4)</f>
        <v>2.9954999999999998</v>
      </c>
      <c r="W119">
        <f>ROUND(AVERAGE(seed1!W119,seed2!W119,seed3!W119,seed4!W119,seed5!W119,seed6!W119),4)</f>
        <v>16.656300000000002</v>
      </c>
      <c r="Y119">
        <f>ROUND(AVERAGE(seed1!Y119,seed2!Y119,seed3!Y119,seed4!Y119,seed5!Y119,seed6!Y119),4)</f>
        <v>8.9603999999999999</v>
      </c>
      <c r="Z119">
        <f>ROUND(AVERAGE(seed1!Z119,seed2!Z119,seed3!Z119,seed4!Z119,seed5!Z119,seed6!Z119),4)</f>
        <v>2.9954999999999998</v>
      </c>
      <c r="AA119">
        <f>ROUND(AVERAGE(seed1!AA119,seed2!AA119,seed3!AA119,seed4!AA119,seed5!AA119,seed6!AA119),4)</f>
        <v>16.656300000000002</v>
      </c>
      <c r="AC119">
        <f>ROUND(AVERAGE(seed1!AC119,seed2!AC119,seed3!AC119,seed4!AC119,seed5!AC119,seed6!AC119),4)</f>
        <v>9.3605999999999998</v>
      </c>
      <c r="AD119">
        <f>ROUND(AVERAGE(seed1!AD119,seed2!AD119,seed3!AD119,seed4!AD119,seed5!AD119,seed6!AD119),4)</f>
        <v>4.8966000000000003</v>
      </c>
      <c r="AE119">
        <f>ROUND(AVERAGE(seed1!AE119,seed2!AE119,seed3!AE119,seed4!AE119,seed5!AE119,seed6!AE119),4)</f>
        <v>13.9694</v>
      </c>
      <c r="AG119">
        <f t="shared" si="14"/>
        <v>10.2515</v>
      </c>
      <c r="AH119">
        <f t="shared" si="15"/>
        <v>9.7227999999999994</v>
      </c>
      <c r="AI119">
        <f t="shared" si="16"/>
        <v>9.3605999999999998</v>
      </c>
      <c r="AJ119">
        <f t="shared" si="17"/>
        <v>8.9603999999999999</v>
      </c>
      <c r="AK119">
        <f t="shared" si="18"/>
        <v>9.3186</v>
      </c>
      <c r="AL119">
        <f t="shared" si="19"/>
        <v>8.9603999999999999</v>
      </c>
      <c r="AM119">
        <f t="shared" si="20"/>
        <v>8.9603999999999999</v>
      </c>
    </row>
    <row r="120" spans="1:39" ht="18" customHeight="1">
      <c r="B120">
        <v>700</v>
      </c>
      <c r="C120">
        <v>1300</v>
      </c>
      <c r="AG120">
        <f t="shared" si="14"/>
        <v>0</v>
      </c>
      <c r="AH120">
        <f t="shared" si="15"/>
        <v>0</v>
      </c>
      <c r="AI120">
        <f t="shared" si="16"/>
        <v>0</v>
      </c>
      <c r="AJ120">
        <f t="shared" si="17"/>
        <v>0</v>
      </c>
      <c r="AK120">
        <f t="shared" si="18"/>
        <v>0</v>
      </c>
      <c r="AL120">
        <f t="shared" si="19"/>
        <v>0</v>
      </c>
      <c r="AM120">
        <f t="shared" si="20"/>
        <v>0</v>
      </c>
    </row>
    <row r="121" spans="1:39" ht="18" customHeight="1">
      <c r="B121">
        <v>800</v>
      </c>
      <c r="C121">
        <v>1200</v>
      </c>
      <c r="AG121">
        <f t="shared" si="14"/>
        <v>0</v>
      </c>
      <c r="AH121">
        <f t="shared" si="15"/>
        <v>0</v>
      </c>
      <c r="AI121">
        <f t="shared" si="16"/>
        <v>0</v>
      </c>
      <c r="AJ121">
        <f t="shared" si="17"/>
        <v>0</v>
      </c>
      <c r="AK121">
        <f t="shared" si="18"/>
        <v>0</v>
      </c>
      <c r="AL121">
        <f t="shared" si="19"/>
        <v>0</v>
      </c>
      <c r="AM121">
        <f t="shared" si="20"/>
        <v>0</v>
      </c>
    </row>
    <row r="122" spans="1:39" ht="18" customHeight="1">
      <c r="B122">
        <v>900</v>
      </c>
      <c r="C122">
        <v>1100</v>
      </c>
      <c r="AG122">
        <f t="shared" si="14"/>
        <v>0</v>
      </c>
      <c r="AH122">
        <f t="shared" si="15"/>
        <v>0</v>
      </c>
      <c r="AI122">
        <f t="shared" si="16"/>
        <v>0</v>
      </c>
      <c r="AJ122">
        <f t="shared" si="17"/>
        <v>0</v>
      </c>
      <c r="AK122">
        <f t="shared" si="18"/>
        <v>0</v>
      </c>
      <c r="AL122">
        <f t="shared" si="19"/>
        <v>0</v>
      </c>
      <c r="AM122">
        <f t="shared" si="20"/>
        <v>0</v>
      </c>
    </row>
    <row r="123" spans="1:39" ht="18" customHeight="1">
      <c r="B123">
        <v>1000</v>
      </c>
      <c r="C123">
        <v>1000</v>
      </c>
      <c r="E123">
        <f>ROUND(AVERAGE(seed1!E123,seed2!E123,seed3!E123,seed4!E123,seed5!E123,seed6!E123),4)</f>
        <v>8.2481000000000009</v>
      </c>
      <c r="F123">
        <f>ROUND(AVERAGE(seed1!F123,seed2!F123,seed3!F123,seed4!F123,seed5!F123,seed6!F123),4)</f>
        <v>6.1718000000000002</v>
      </c>
      <c r="G123">
        <f>ROUND(AVERAGE(seed1!G123,seed2!G123,seed3!G123,seed4!G123,seed5!G123,seed6!G123),4)</f>
        <v>11.7339</v>
      </c>
      <c r="I123">
        <f>ROUND(AVERAGE(seed1!I123,seed2!I123,seed3!I123,seed4!I123,seed5!I123,seed6!I123),4)</f>
        <v>8.6296999999999997</v>
      </c>
      <c r="J123">
        <f>ROUND(AVERAGE(seed1!J123,seed2!J123,seed3!J123,seed4!J123,seed5!J123,seed6!J123),4)</f>
        <v>6.6420000000000003</v>
      </c>
      <c r="K123">
        <f>ROUND(AVERAGE(seed1!K123,seed2!K123,seed3!K123,seed4!K123,seed5!K123,seed6!K123),4)</f>
        <v>11.8005</v>
      </c>
      <c r="M123">
        <f>ROUND(AVERAGE(seed1!M123,seed2!M123,seed3!M123,seed4!M123,seed5!M123,seed6!M123),4)</f>
        <v>5.8387000000000002</v>
      </c>
      <c r="N123">
        <f>ROUND(AVERAGE(seed1!N123,seed2!N123,seed3!N123,seed4!N123,seed5!N123,seed6!N123),4)</f>
        <v>2.1981000000000002</v>
      </c>
      <c r="O123">
        <f>ROUND(AVERAGE(seed1!O123,seed2!O123,seed3!O123,seed4!O123,seed5!O123,seed6!O123),4)</f>
        <v>16.6233</v>
      </c>
      <c r="Q123">
        <f>ROUND(AVERAGE(seed1!Q123,seed2!Q123,seed3!Q123,seed4!Q123,seed5!Q123,seed6!Q123),4)</f>
        <v>8.7899999999999991</v>
      </c>
      <c r="R123">
        <f>ROUND(AVERAGE(seed1!R123,seed2!R123,seed3!R123,seed4!R123,seed5!R123,seed6!R123),4)</f>
        <v>8.0395000000000003</v>
      </c>
      <c r="S123">
        <f>ROUND(AVERAGE(seed1!S123,seed2!S123,seed3!S123,seed4!S123,seed5!S123,seed6!S123),4)</f>
        <v>9.7207000000000008</v>
      </c>
      <c r="U123">
        <f>ROUND(AVERAGE(seed1!U123,seed2!U123,seed3!U123,seed4!U123,seed5!U123,seed6!U123),4)</f>
        <v>5.8387000000000002</v>
      </c>
      <c r="V123">
        <f>ROUND(AVERAGE(seed1!V123,seed2!V123,seed3!V123,seed4!V123,seed5!V123,seed6!V123),4)</f>
        <v>2.1981000000000002</v>
      </c>
      <c r="W123">
        <f>ROUND(AVERAGE(seed1!W123,seed2!W123,seed3!W123,seed4!W123,seed5!W123,seed6!W123),4)</f>
        <v>16.6233</v>
      </c>
      <c r="Y123">
        <f>ROUND(AVERAGE(seed1!Y123,seed2!Y123,seed3!Y123,seed4!Y123,seed5!Y123,seed6!Y123),4)</f>
        <v>5.8387000000000002</v>
      </c>
      <c r="Z123">
        <f>ROUND(AVERAGE(seed1!Z123,seed2!Z123,seed3!Z123,seed4!Z123,seed5!Z123,seed6!Z123),4)</f>
        <v>2.1981000000000002</v>
      </c>
      <c r="AA123">
        <f>ROUND(AVERAGE(seed1!AA123,seed2!AA123,seed3!AA123,seed4!AA123,seed5!AA123,seed6!AA123),4)</f>
        <v>16.6233</v>
      </c>
      <c r="AC123">
        <f>ROUND(AVERAGE(seed1!AC123,seed2!AC123,seed3!AC123,seed4!AC123,seed5!AC123,seed6!AC123),4)</f>
        <v>8.4101999999999997</v>
      </c>
      <c r="AD123">
        <f>ROUND(AVERAGE(seed1!AD123,seed2!AD123,seed3!AD123,seed4!AD123,seed5!AD123,seed6!AD123),4)</f>
        <v>6.2664999999999997</v>
      </c>
      <c r="AE123">
        <f>ROUND(AVERAGE(seed1!AE123,seed2!AE123,seed3!AE123,seed4!AE123,seed5!AE123,seed6!AE123),4)</f>
        <v>12.029400000000001</v>
      </c>
      <c r="AG123">
        <f t="shared" si="14"/>
        <v>8.2481000000000009</v>
      </c>
      <c r="AH123">
        <f t="shared" si="15"/>
        <v>8.6296999999999997</v>
      </c>
      <c r="AI123">
        <f t="shared" si="16"/>
        <v>8.4101999999999997</v>
      </c>
      <c r="AJ123">
        <f t="shared" si="17"/>
        <v>5.8387000000000002</v>
      </c>
      <c r="AK123">
        <f t="shared" si="18"/>
        <v>8.7899999999999991</v>
      </c>
      <c r="AL123">
        <f t="shared" si="19"/>
        <v>5.8387000000000002</v>
      </c>
      <c r="AM123">
        <f t="shared" si="20"/>
        <v>5.8387000000000002</v>
      </c>
    </row>
    <row r="124" spans="1:39" ht="18" customHeight="1">
      <c r="B124">
        <v>1100</v>
      </c>
      <c r="C124">
        <v>900</v>
      </c>
      <c r="AG124">
        <f t="shared" si="14"/>
        <v>0</v>
      </c>
      <c r="AH124">
        <f t="shared" si="15"/>
        <v>0</v>
      </c>
      <c r="AI124">
        <f t="shared" si="16"/>
        <v>0</v>
      </c>
      <c r="AJ124">
        <f t="shared" si="17"/>
        <v>0</v>
      </c>
      <c r="AK124">
        <f t="shared" si="18"/>
        <v>0</v>
      </c>
      <c r="AL124">
        <f t="shared" si="19"/>
        <v>0</v>
      </c>
      <c r="AM124">
        <f t="shared" si="20"/>
        <v>0</v>
      </c>
    </row>
    <row r="125" spans="1:39" ht="18" customHeight="1">
      <c r="B125">
        <v>1200</v>
      </c>
      <c r="C125">
        <v>800</v>
      </c>
      <c r="AG125">
        <f t="shared" si="14"/>
        <v>0</v>
      </c>
      <c r="AH125">
        <f t="shared" si="15"/>
        <v>0</v>
      </c>
      <c r="AI125">
        <f t="shared" si="16"/>
        <v>0</v>
      </c>
      <c r="AJ125">
        <f t="shared" si="17"/>
        <v>0</v>
      </c>
      <c r="AK125">
        <f t="shared" si="18"/>
        <v>0</v>
      </c>
      <c r="AL125">
        <f t="shared" si="19"/>
        <v>0</v>
      </c>
      <c r="AM125">
        <f t="shared" si="20"/>
        <v>0</v>
      </c>
    </row>
    <row r="126" spans="1:39" ht="18" customHeight="1">
      <c r="B126">
        <v>1300</v>
      </c>
      <c r="C126">
        <v>700</v>
      </c>
      <c r="AG126">
        <f t="shared" si="14"/>
        <v>0</v>
      </c>
      <c r="AH126">
        <f t="shared" si="15"/>
        <v>0</v>
      </c>
      <c r="AI126">
        <f t="shared" si="16"/>
        <v>0</v>
      </c>
      <c r="AJ126">
        <f t="shared" si="17"/>
        <v>0</v>
      </c>
      <c r="AK126">
        <f t="shared" si="18"/>
        <v>0</v>
      </c>
      <c r="AL126">
        <f t="shared" si="19"/>
        <v>0</v>
      </c>
      <c r="AM126">
        <f t="shared" si="20"/>
        <v>0</v>
      </c>
    </row>
    <row r="127" spans="1:39" ht="18" customHeight="1">
      <c r="B127">
        <v>1400</v>
      </c>
      <c r="C127">
        <v>600</v>
      </c>
      <c r="E127">
        <f>ROUND(AVERAGE(seed1!E127,seed2!E127,seed3!E127,seed4!E127,seed5!E127,seed6!E127),4)</f>
        <v>6.8227000000000002</v>
      </c>
      <c r="F127">
        <f>ROUND(AVERAGE(seed1!F127,seed2!F127,seed3!F127,seed4!F127,seed5!F127,seed6!F127),4)</f>
        <v>5.3814000000000002</v>
      </c>
      <c r="G127">
        <f>ROUND(AVERAGE(seed1!G127,seed2!G127,seed3!G127,seed4!G127,seed5!G127,seed6!G127),4)</f>
        <v>13.0131</v>
      </c>
      <c r="I127">
        <f>ROUND(AVERAGE(seed1!I127,seed2!I127,seed3!I127,seed4!I127,seed5!I127,seed6!I127),4)</f>
        <v>6.8227000000000002</v>
      </c>
      <c r="J127">
        <f>ROUND(AVERAGE(seed1!J127,seed2!J127,seed3!J127,seed4!J127,seed5!J127,seed6!J127),4)</f>
        <v>5.3814000000000002</v>
      </c>
      <c r="K127">
        <f>ROUND(AVERAGE(seed1!K127,seed2!K127,seed3!K127,seed4!K127,seed5!K127,seed6!K127),4)</f>
        <v>13.0131</v>
      </c>
      <c r="M127">
        <f>ROUND(AVERAGE(seed1!M127,seed2!M127,seed3!M127,seed4!M127,seed5!M127,seed6!M127),4)</f>
        <v>4.4997999999999996</v>
      </c>
      <c r="N127">
        <f>ROUND(AVERAGE(seed1!N127,seed2!N127,seed3!N127,seed4!N127,seed5!N127,seed6!N127),4)</f>
        <v>2.2111000000000001</v>
      </c>
      <c r="O127">
        <f>ROUND(AVERAGE(seed1!O127,seed2!O127,seed3!O127,seed4!O127,seed5!O127,seed6!O127),4)</f>
        <v>16.512</v>
      </c>
      <c r="Q127">
        <f>ROUND(AVERAGE(seed1!Q127,seed2!Q127,seed3!Q127,seed4!Q127,seed5!Q127,seed6!Q127),4)</f>
        <v>6.4226999999999999</v>
      </c>
      <c r="R127">
        <f>ROUND(AVERAGE(seed1!R127,seed2!R127,seed3!R127,seed4!R127,seed5!R127,seed6!R127),4)</f>
        <v>4.9577</v>
      </c>
      <c r="S127">
        <f>ROUND(AVERAGE(seed1!S127,seed2!S127,seed3!S127,seed4!S127,seed5!S127,seed6!S127),4)</f>
        <v>12.486700000000001</v>
      </c>
      <c r="U127">
        <f>ROUND(AVERAGE(seed1!U127,seed2!U127,seed3!U127,seed4!U127,seed5!U127,seed6!U127),4)</f>
        <v>3.8874</v>
      </c>
      <c r="V127">
        <f>ROUND(AVERAGE(seed1!V127,seed2!V127,seed3!V127,seed4!V127,seed5!V127,seed6!V127),4)</f>
        <v>1.8527</v>
      </c>
      <c r="W127">
        <f>ROUND(AVERAGE(seed1!W127,seed2!W127,seed3!W127,seed4!W127,seed5!W127,seed6!W127),4)</f>
        <v>16.5762</v>
      </c>
      <c r="Y127">
        <f>ROUND(AVERAGE(seed1!Y127,seed2!Y127,seed3!Y127,seed4!Y127,seed5!Y127,seed6!Y127),4)</f>
        <v>3.9557000000000002</v>
      </c>
      <c r="Z127">
        <f>ROUND(AVERAGE(seed1!Z127,seed2!Z127,seed3!Z127,seed4!Z127,seed5!Z127,seed6!Z127),4)</f>
        <v>1.9339999999999999</v>
      </c>
      <c r="AA127">
        <f>ROUND(AVERAGE(seed1!AA127,seed2!AA127,seed3!AA127,seed4!AA127,seed5!AA127,seed6!AA127),4)</f>
        <v>16.5212</v>
      </c>
      <c r="AC127">
        <f>ROUND(AVERAGE(seed1!AC127,seed2!AC127,seed3!AC127,seed4!AC127,seed5!AC127,seed6!AC127),4)</f>
        <v>6.8243999999999998</v>
      </c>
      <c r="AD127">
        <f>ROUND(AVERAGE(seed1!AD127,seed2!AD127,seed3!AD127,seed4!AD127,seed5!AD127,seed6!AD127),4)</f>
        <v>5.3814000000000002</v>
      </c>
      <c r="AE127">
        <f>ROUND(AVERAGE(seed1!AE127,seed2!AE127,seed3!AE127,seed4!AE127,seed5!AE127,seed6!AE127),4)</f>
        <v>13.0131</v>
      </c>
      <c r="AG127">
        <f t="shared" si="14"/>
        <v>6.8227000000000002</v>
      </c>
      <c r="AH127">
        <f t="shared" si="15"/>
        <v>6.8227000000000002</v>
      </c>
      <c r="AI127">
        <f t="shared" si="16"/>
        <v>6.8243999999999998</v>
      </c>
      <c r="AJ127">
        <f t="shared" si="17"/>
        <v>4.4997999999999996</v>
      </c>
      <c r="AK127">
        <f t="shared" si="18"/>
        <v>6.4226999999999999</v>
      </c>
      <c r="AL127">
        <f t="shared" si="19"/>
        <v>3.8874</v>
      </c>
      <c r="AM127">
        <f t="shared" si="20"/>
        <v>3.9557000000000002</v>
      </c>
    </row>
    <row r="128" spans="1:39" ht="18" customHeight="1">
      <c r="B128">
        <v>1500</v>
      </c>
      <c r="C128">
        <v>500</v>
      </c>
      <c r="AG128">
        <f t="shared" si="14"/>
        <v>0</v>
      </c>
      <c r="AH128">
        <f t="shared" si="15"/>
        <v>0</v>
      </c>
      <c r="AI128">
        <f t="shared" si="16"/>
        <v>0</v>
      </c>
      <c r="AJ128">
        <f t="shared" si="17"/>
        <v>0</v>
      </c>
      <c r="AK128">
        <f t="shared" si="18"/>
        <v>0</v>
      </c>
      <c r="AL128">
        <f t="shared" si="19"/>
        <v>0</v>
      </c>
      <c r="AM128">
        <f t="shared" si="20"/>
        <v>0</v>
      </c>
    </row>
    <row r="129" spans="1:39" ht="18" customHeight="1">
      <c r="AG129">
        <f t="shared" si="14"/>
        <v>0</v>
      </c>
      <c r="AH129">
        <f t="shared" si="15"/>
        <v>0</v>
      </c>
      <c r="AI129">
        <f t="shared" si="16"/>
        <v>0</v>
      </c>
      <c r="AJ129">
        <f t="shared" si="17"/>
        <v>0</v>
      </c>
      <c r="AK129">
        <f t="shared" si="18"/>
        <v>0</v>
      </c>
      <c r="AL129">
        <f t="shared" si="19"/>
        <v>0</v>
      </c>
      <c r="AM129">
        <f t="shared" si="20"/>
        <v>0</v>
      </c>
    </row>
    <row r="130" spans="1:39" ht="18" customHeight="1">
      <c r="B130">
        <v>1200</v>
      </c>
      <c r="C130">
        <v>1200</v>
      </c>
      <c r="E130">
        <f>ROUND(AVERAGE(seed1!E130,seed2!E130,seed3!E130,seed4!E130,seed5!E130,seed6!E130),4)</f>
        <v>6.2098000000000004</v>
      </c>
      <c r="F130">
        <f>ROUND(AVERAGE(seed1!F130,seed2!F130,seed3!F130,seed4!F130,seed5!F130,seed6!F130),4)</f>
        <v>4.4194000000000004</v>
      </c>
      <c r="G130">
        <f>ROUND(AVERAGE(seed1!G130,seed2!G130,seed3!G130,seed4!G130,seed5!G130,seed6!G130),4)</f>
        <v>9.3330000000000002</v>
      </c>
      <c r="I130">
        <f>ROUND(AVERAGE(seed1!I130,seed2!I130,seed3!I130,seed4!I130,seed5!I130,seed6!I130),4)</f>
        <v>6.556</v>
      </c>
      <c r="J130">
        <f>ROUND(AVERAGE(seed1!J130,seed2!J130,seed3!J130,seed4!J130,seed5!J130,seed6!J130),4)</f>
        <v>4.2877999999999998</v>
      </c>
      <c r="K130">
        <f>ROUND(AVERAGE(seed1!K130,seed2!K130,seed3!K130,seed4!K130,seed5!K130,seed6!K130),4)</f>
        <v>10.3933</v>
      </c>
      <c r="M130">
        <f>ROUND(AVERAGE(seed1!M130,seed2!M130,seed3!M130,seed4!M130,seed5!M130,seed6!M130),4)</f>
        <v>4.8125999999999998</v>
      </c>
      <c r="N130">
        <f>ROUND(AVERAGE(seed1!N130,seed2!N130,seed3!N130,seed4!N130,seed5!N130,seed6!N130),4)</f>
        <v>1.0133000000000001</v>
      </c>
      <c r="O130">
        <f>ROUND(AVERAGE(seed1!O130,seed2!O130,seed3!O130,seed4!O130,seed5!O130,seed6!O130),4)</f>
        <v>16.614000000000001</v>
      </c>
      <c r="Q130">
        <f>ROUND(AVERAGE(seed1!Q130,seed2!Q130,seed3!Q130,seed4!Q130,seed5!Q130,seed6!Q130),4)</f>
        <v>6.9669999999999996</v>
      </c>
      <c r="R130">
        <f>ROUND(AVERAGE(seed1!R130,seed2!R130,seed3!R130,seed4!R130,seed5!R130,seed6!R130),4)</f>
        <v>5.6482000000000001</v>
      </c>
      <c r="S130">
        <f>ROUND(AVERAGE(seed1!S130,seed2!S130,seed3!S130,seed4!S130,seed5!S130,seed6!S130),4)</f>
        <v>8.6334999999999997</v>
      </c>
      <c r="U130">
        <f>ROUND(AVERAGE(seed1!U130,seed2!U130,seed3!U130,seed4!U130,seed5!U130,seed6!U130),4)</f>
        <v>4.8125999999999998</v>
      </c>
      <c r="V130">
        <f>ROUND(AVERAGE(seed1!V130,seed2!V130,seed3!V130,seed4!V130,seed5!V130,seed6!V130),4)</f>
        <v>1.0133000000000001</v>
      </c>
      <c r="W130">
        <f>ROUND(AVERAGE(seed1!W130,seed2!W130,seed3!W130,seed4!W130,seed5!W130,seed6!W130),4)</f>
        <v>16.614000000000001</v>
      </c>
      <c r="Y130">
        <f>ROUND(AVERAGE(seed1!Y130,seed2!Y130,seed3!Y130,seed4!Y130,seed5!Y130,seed6!Y130),4)</f>
        <v>4.8125999999999998</v>
      </c>
      <c r="Z130">
        <f>ROUND(AVERAGE(seed1!Z130,seed2!Z130,seed3!Z130,seed4!Z130,seed5!Z130,seed6!Z130),4)</f>
        <v>1.0133000000000001</v>
      </c>
      <c r="AA130">
        <f>ROUND(AVERAGE(seed1!AA130,seed2!AA130,seed3!AA130,seed4!AA130,seed5!AA130,seed6!AA130),4)</f>
        <v>16.614000000000001</v>
      </c>
      <c r="AC130">
        <f>ROUND(AVERAGE(seed1!AC130,seed2!AC130,seed3!AC130,seed4!AC130,seed5!AC130,seed6!AC130),4)</f>
        <v>6.1696</v>
      </c>
      <c r="AD130">
        <f>ROUND(AVERAGE(seed1!AD130,seed2!AD130,seed3!AD130,seed4!AD130,seed5!AD130,seed6!AD130),4)</f>
        <v>4.3647999999999998</v>
      </c>
      <c r="AE130">
        <f>ROUND(AVERAGE(seed1!AE130,seed2!AE130,seed3!AE130,seed4!AE130,seed5!AE130,seed6!AE130),4)</f>
        <v>9.3500999999999994</v>
      </c>
      <c r="AG130">
        <f t="shared" si="14"/>
        <v>6.2098000000000004</v>
      </c>
      <c r="AH130">
        <f t="shared" si="15"/>
        <v>6.556</v>
      </c>
      <c r="AI130">
        <f t="shared" si="16"/>
        <v>6.1696</v>
      </c>
      <c r="AJ130">
        <f t="shared" si="17"/>
        <v>4.8125999999999998</v>
      </c>
      <c r="AK130">
        <f t="shared" si="18"/>
        <v>6.9669999999999996</v>
      </c>
      <c r="AL130">
        <f t="shared" si="19"/>
        <v>4.8125999999999998</v>
      </c>
      <c r="AM130">
        <f t="shared" si="20"/>
        <v>4.8125999999999998</v>
      </c>
    </row>
    <row r="131" spans="1:39" s="2" customFormat="1"/>
    <row r="134" spans="1:39">
      <c r="A134" t="s">
        <v>14</v>
      </c>
      <c r="B134">
        <v>600</v>
      </c>
      <c r="C134">
        <v>1400</v>
      </c>
      <c r="E134">
        <f>ROUND(AVERAGE(seed1!E134,seed2!E134,seed3!E134,seed4!E134,seed5!E134,seed6!E134),4)</f>
        <v>13.5565</v>
      </c>
      <c r="F134">
        <f>ROUND(AVERAGE(seed1!F134,seed2!F134,seed3!F134,seed4!F134,seed5!F134,seed6!F134),4)</f>
        <v>9.9552999999999994</v>
      </c>
      <c r="G134">
        <f>ROUND(AVERAGE(seed1!G134,seed2!G134,seed3!G134,seed4!G134,seed5!G134,seed6!G134),4)</f>
        <v>15.705500000000001</v>
      </c>
      <c r="I134">
        <f>ROUND(AVERAGE(seed1!I134,seed2!I134,seed3!I134,seed4!I134,seed5!I134,seed6!I134),4)</f>
        <v>13.5185</v>
      </c>
      <c r="J134">
        <f>ROUND(AVERAGE(seed1!J134,seed2!J134,seed3!J134,seed4!J134,seed5!J134,seed6!J134),4)</f>
        <v>9.9915000000000003</v>
      </c>
      <c r="K134">
        <f>ROUND(AVERAGE(seed1!K134,seed2!K134,seed3!K134,seed4!K134,seed5!K134,seed6!K134),4)</f>
        <v>15.610200000000001</v>
      </c>
      <c r="M134">
        <f>ROUND(AVERAGE(seed1!M134,seed2!M134,seed3!M134,seed4!M134,seed5!M134,seed6!M134),4)</f>
        <v>13.2242</v>
      </c>
      <c r="N134">
        <f>ROUND(AVERAGE(seed1!N134,seed2!N134,seed3!N134,seed4!N134,seed5!N134,seed6!N134),4)</f>
        <v>8.4922000000000004</v>
      </c>
      <c r="O134">
        <f>ROUND(AVERAGE(seed1!O134,seed2!O134,seed3!O134,seed4!O134,seed5!O134,seed6!O134),4)</f>
        <v>16.494700000000002</v>
      </c>
      <c r="Q134">
        <f>ROUND(AVERAGE(seed1!Q134,seed2!Q134,seed3!Q134,seed4!Q134,seed5!Q134,seed6!Q134),4)</f>
        <v>12.4291</v>
      </c>
      <c r="R134">
        <f>ROUND(AVERAGE(seed1!R134,seed2!R134,seed3!R134,seed4!R134,seed5!R134,seed6!R134),4)</f>
        <v>13.5419</v>
      </c>
      <c r="S134">
        <f>ROUND(AVERAGE(seed1!S134,seed2!S134,seed3!S134,seed4!S134,seed5!S134,seed6!S134),4)</f>
        <v>12.0175</v>
      </c>
      <c r="U134">
        <f>ROUND(AVERAGE(seed1!U134,seed2!U134,seed3!U134,seed4!U134,seed5!U134,seed6!U134),4)</f>
        <v>12.2766</v>
      </c>
      <c r="V134">
        <f>ROUND(AVERAGE(seed1!V134,seed2!V134,seed3!V134,seed4!V134,seed5!V134,seed6!V134),4)</f>
        <v>6.7058</v>
      </c>
      <c r="W134">
        <f>ROUND(AVERAGE(seed1!W134,seed2!W134,seed3!W134,seed4!W134,seed5!W134,seed6!W134),4)</f>
        <v>16.662199999999999</v>
      </c>
      <c r="Y134">
        <f>ROUND(AVERAGE(seed1!Y134,seed2!Y134,seed3!Y134,seed4!Y134,seed5!Y134,seed6!Y134),4)</f>
        <v>13.664199999999999</v>
      </c>
      <c r="Z134">
        <f>ROUND(AVERAGE(seed1!Z134,seed2!Z134,seed3!Z134,seed4!Z134,seed5!Z134,seed6!Z134),4)</f>
        <v>10.454499999999999</v>
      </c>
      <c r="AA134">
        <f>ROUND(AVERAGE(seed1!AA134,seed2!AA134,seed3!AA134,seed4!AA134,seed5!AA134,seed6!AA134),4)</f>
        <v>15.629799999999999</v>
      </c>
      <c r="AC134">
        <f>ROUND(AVERAGE(seed1!AC134,seed2!AC134,seed3!AC134,seed4!AC134,seed5!AC134,seed6!AC134),4)</f>
        <v>13.4305</v>
      </c>
      <c r="AD134">
        <f>ROUND(AVERAGE(seed1!AD134,seed2!AD134,seed3!AD134,seed4!AD134,seed5!AD134,seed6!AD134),4)</f>
        <v>10.0222</v>
      </c>
      <c r="AE134">
        <f>ROUND(AVERAGE(seed1!AE134,seed2!AE134,seed3!AE134,seed4!AE134,seed5!AE134,seed6!AE134),4)</f>
        <v>15.4642</v>
      </c>
    </row>
    <row r="135" spans="1:39">
      <c r="A135" t="s">
        <v>52</v>
      </c>
    </row>
    <row r="136" spans="1:39">
      <c r="A136" t="s">
        <v>16</v>
      </c>
      <c r="B136">
        <v>1000</v>
      </c>
      <c r="C136">
        <v>1000</v>
      </c>
      <c r="E136">
        <f>ROUND(AVERAGE(seed1!E136,seed2!E136,seed3!E136,seed4!E136,seed5!E136,seed6!E136),4)</f>
        <v>12.171900000000001</v>
      </c>
      <c r="F136">
        <f>ROUND(AVERAGE(seed1!F136,seed2!F136,seed3!F136,seed4!F136,seed5!F136,seed6!F136),4)</f>
        <v>10.243600000000001</v>
      </c>
      <c r="G136">
        <f>ROUND(AVERAGE(seed1!G136,seed2!G136,seed3!G136,seed4!G136,seed5!G136,seed6!G136),4)</f>
        <v>14.730499999999999</v>
      </c>
      <c r="I136">
        <f>ROUND(AVERAGE(seed1!I136,seed2!I136,seed3!I136,seed4!I136,seed5!I136,seed6!I136),4)</f>
        <v>12.282500000000001</v>
      </c>
      <c r="J136">
        <f>ROUND(AVERAGE(seed1!J136,seed2!J136,seed3!J136,seed4!J136,seed5!J136,seed6!J136),4)</f>
        <v>10.8111</v>
      </c>
      <c r="K136">
        <f>ROUND(AVERAGE(seed1!K136,seed2!K136,seed3!K136,seed4!K136,seed5!K136,seed6!K136),4)</f>
        <v>14.1195</v>
      </c>
      <c r="M136">
        <f>ROUND(AVERAGE(seed1!M136,seed2!M136,seed3!M136,seed4!M136,seed5!M136,seed6!M136),4)</f>
        <v>12.3781</v>
      </c>
      <c r="N136">
        <f>ROUND(AVERAGE(seed1!N136,seed2!N136,seed3!N136,seed4!N136,seed5!N136,seed6!N136),4)</f>
        <v>9.9234000000000009</v>
      </c>
      <c r="O136">
        <f>ROUND(AVERAGE(seed1!O136,seed2!O136,seed3!O136,seed4!O136,seed5!O136,seed6!O136),4)</f>
        <v>15.861499999999999</v>
      </c>
      <c r="Q136">
        <f>ROUND(AVERAGE(seed1!Q136,seed2!Q136,seed3!Q136,seed4!Q136,seed5!Q136,seed6!Q136),4)</f>
        <v>10.6828</v>
      </c>
      <c r="R136">
        <f>ROUND(AVERAGE(seed1!R136,seed2!R136,seed3!R136,seed4!R136,seed5!R136,seed6!R136),4)</f>
        <v>10.4354</v>
      </c>
      <c r="S136">
        <f>ROUND(AVERAGE(seed1!S136,seed2!S136,seed3!S136,seed4!S136,seed5!S136,seed6!S136),4)</f>
        <v>10.9612</v>
      </c>
      <c r="U136">
        <f>ROUND(AVERAGE(seed1!U136,seed2!U136,seed3!U136,seed4!U136,seed5!U136,seed6!U136),4)</f>
        <v>11.495100000000001</v>
      </c>
      <c r="V136">
        <f>ROUND(AVERAGE(seed1!V136,seed2!V136,seed3!V136,seed4!V136,seed5!V136,seed6!V136),4)</f>
        <v>8.3264999999999993</v>
      </c>
      <c r="W136">
        <f>ROUND(AVERAGE(seed1!W136,seed2!W136,seed3!W136,seed4!W136,seed5!W136,seed6!W136),4)</f>
        <v>16.6662</v>
      </c>
      <c r="Y136">
        <f>ROUND(AVERAGE(seed1!Y136,seed2!Y136,seed3!Y136,seed4!Y136,seed5!Y136,seed6!Y136),4)</f>
        <v>12.857900000000001</v>
      </c>
      <c r="Z136">
        <f>ROUND(AVERAGE(seed1!Z136,seed2!Z136,seed3!Z136,seed4!Z136,seed5!Z136,seed6!Z136),4)</f>
        <v>10.579700000000001</v>
      </c>
      <c r="AA136">
        <f>ROUND(AVERAGE(seed1!AA136,seed2!AA136,seed3!AA136,seed4!AA136,seed5!AA136,seed6!AA136),4)</f>
        <v>16.0182</v>
      </c>
      <c r="AC136">
        <f>ROUND(AVERAGE(seed1!AC136,seed2!AC136,seed3!AC136,seed4!AC136,seed5!AC136,seed6!AC136),4)</f>
        <v>12.1168</v>
      </c>
      <c r="AD136">
        <f>ROUND(AVERAGE(seed1!AD136,seed2!AD136,seed3!AD136,seed4!AD136,seed5!AD136,seed6!AD136),4)</f>
        <v>10.086600000000001</v>
      </c>
      <c r="AE136">
        <f>ROUND(AVERAGE(seed1!AE136,seed2!AE136,seed3!AE136,seed4!AE136,seed5!AE136,seed6!AE136),4)</f>
        <v>14.8567</v>
      </c>
    </row>
    <row r="137" spans="1:39">
      <c r="A137" t="s">
        <v>17</v>
      </c>
    </row>
    <row r="138" spans="1:39">
      <c r="B138">
        <v>1400</v>
      </c>
      <c r="C138">
        <v>600</v>
      </c>
      <c r="E138">
        <f>ROUND(AVERAGE(seed1!E138,seed2!E138,seed3!E138,seed4!E138,seed5!E138,seed6!E138),4)</f>
        <v>10.8878</v>
      </c>
      <c r="F138">
        <f>ROUND(AVERAGE(seed1!F138,seed2!F138,seed3!F138,seed4!F138,seed5!F138,seed6!F138),4)</f>
        <v>10.3287</v>
      </c>
      <c r="G138">
        <f>ROUND(AVERAGE(seed1!G138,seed2!G138,seed3!G138,seed4!G138,seed5!G138,seed6!G138),4)</f>
        <v>12.381</v>
      </c>
      <c r="I138">
        <f>ROUND(AVERAGE(seed1!I138,seed2!I138,seed3!I138,seed4!I138,seed5!I138,seed6!I138),4)</f>
        <v>10.9175</v>
      </c>
      <c r="J138">
        <f>ROUND(AVERAGE(seed1!J138,seed2!J138,seed3!J138,seed4!J138,seed5!J138,seed6!J138),4)</f>
        <v>10.6166</v>
      </c>
      <c r="K138">
        <f>ROUND(AVERAGE(seed1!K138,seed2!K138,seed3!K138,seed4!K138,seed5!K138,seed6!K138),4)</f>
        <v>11.6739</v>
      </c>
      <c r="M138">
        <f>ROUND(AVERAGE(seed1!M138,seed2!M138,seed3!M138,seed4!M138,seed5!M138,seed6!M138),4)</f>
        <v>11.819800000000001</v>
      </c>
      <c r="N138">
        <f>ROUND(AVERAGE(seed1!N138,seed2!N138,seed3!N138,seed4!N138,seed5!N138,seed6!N138),4)</f>
        <v>10.574400000000001</v>
      </c>
      <c r="O138">
        <f>ROUND(AVERAGE(seed1!O138,seed2!O138,seed3!O138,seed4!O138,seed5!O138,seed6!O138),4)</f>
        <v>15.6782</v>
      </c>
      <c r="Q138">
        <f>ROUND(AVERAGE(seed1!Q138,seed2!Q138,seed3!Q138,seed4!Q138,seed5!Q138,seed6!Q138),4)</f>
        <v>10.232100000000001</v>
      </c>
      <c r="R138">
        <f>ROUND(AVERAGE(seed1!R138,seed2!R138,seed3!R138,seed4!R138,seed5!R138,seed6!R138),4)</f>
        <v>10.2216</v>
      </c>
      <c r="S138">
        <f>ROUND(AVERAGE(seed1!S138,seed2!S138,seed3!S138,seed4!S138,seed5!S138,seed6!S138),4)</f>
        <v>10.442500000000001</v>
      </c>
      <c r="U138">
        <f>ROUND(AVERAGE(seed1!U138,seed2!U138,seed3!U138,seed4!U138,seed5!U138,seed6!U138),4)</f>
        <v>11.0618</v>
      </c>
      <c r="V138">
        <f>ROUND(AVERAGE(seed1!V138,seed2!V138,seed3!V138,seed4!V138,seed5!V138,seed6!V138),4)</f>
        <v>9.4479000000000006</v>
      </c>
      <c r="W138">
        <f>ROUND(AVERAGE(seed1!W138,seed2!W138,seed3!W138,seed4!W138,seed5!W138,seed6!W138),4)</f>
        <v>16.6633</v>
      </c>
      <c r="Y138">
        <f>ROUND(AVERAGE(seed1!Y138,seed2!Y138,seed3!Y138,seed4!Y138,seed5!Y138,seed6!Y138),4)</f>
        <v>11.995900000000001</v>
      </c>
      <c r="Z138">
        <f>ROUND(AVERAGE(seed1!Z138,seed2!Z138,seed3!Z138,seed4!Z138,seed5!Z138,seed6!Z138),4)</f>
        <v>10.793799999999999</v>
      </c>
      <c r="AA138">
        <f>ROUND(AVERAGE(seed1!AA138,seed2!AA138,seed3!AA138,seed4!AA138,seed5!AA138,seed6!AA138),4)</f>
        <v>15.7468</v>
      </c>
      <c r="AC138">
        <f>ROUND(AVERAGE(seed1!AC138,seed2!AC138,seed3!AC138,seed4!AC138,seed5!AC138,seed6!AC138),4)</f>
        <v>9.9661000000000008</v>
      </c>
      <c r="AD138">
        <f>ROUND(AVERAGE(seed1!AD138,seed2!AD138,seed3!AD138,seed4!AD138,seed5!AD138,seed6!AD138),4)</f>
        <v>9.2624999999999993</v>
      </c>
      <c r="AE138">
        <f>ROUND(AVERAGE(seed1!AE138,seed2!AE138,seed3!AE138,seed4!AE138,seed5!AE138,seed6!AE138),4)</f>
        <v>11.7941</v>
      </c>
    </row>
    <row r="140" spans="1:39">
      <c r="B140">
        <v>1200</v>
      </c>
      <c r="C140">
        <v>1200</v>
      </c>
      <c r="E140">
        <f>ROUND(AVERAGE(seed1!E140,seed2!E140,seed3!E140,seed4!E140,seed5!E140,seed6!E140),4)</f>
        <v>9.8773999999999997</v>
      </c>
      <c r="F140">
        <f>ROUND(AVERAGE(seed1!F140,seed2!F140,seed3!F140,seed4!F140,seed5!F140,seed6!F140),4)</f>
        <v>7.8575999999999997</v>
      </c>
      <c r="G140">
        <f>ROUND(AVERAGE(seed1!G140,seed2!G140,seed3!G140,seed4!G140,seed5!G140,seed6!G140),4)</f>
        <v>12.5814</v>
      </c>
      <c r="I140">
        <f>ROUND(AVERAGE(seed1!I140,seed2!I140,seed3!I140,seed4!I140,seed5!I140,seed6!I140),4)</f>
        <v>9.8251000000000008</v>
      </c>
      <c r="J140">
        <f>ROUND(AVERAGE(seed1!J140,seed2!J140,seed3!J140,seed4!J140,seed5!J140,seed6!J140),4)</f>
        <v>7.8273000000000001</v>
      </c>
      <c r="K140">
        <f>ROUND(AVERAGE(seed1!K140,seed2!K140,seed3!K140,seed4!K140,seed5!K140,seed6!K140),4)</f>
        <v>12.4259</v>
      </c>
      <c r="M140">
        <f>ROUND(AVERAGE(seed1!M140,seed2!M140,seed3!M140,seed4!M140,seed5!M140,seed6!M140),4)</f>
        <v>9.9710000000000001</v>
      </c>
      <c r="N140">
        <f>ROUND(AVERAGE(seed1!N140,seed2!N140,seed3!N140,seed4!N140,seed5!N140,seed6!N140),4)</f>
        <v>6.2419000000000002</v>
      </c>
      <c r="O140">
        <f>ROUND(AVERAGE(seed1!O140,seed2!O140,seed3!O140,seed4!O140,seed5!O140,seed6!O140),4)</f>
        <v>16.415600000000001</v>
      </c>
      <c r="Q140">
        <f>ROUND(AVERAGE(seed1!Q140,seed2!Q140,seed3!Q140,seed4!Q140,seed5!Q140,seed6!Q140),4)</f>
        <v>8.9219000000000008</v>
      </c>
      <c r="R140">
        <f>ROUND(AVERAGE(seed1!R140,seed2!R140,seed3!R140,seed4!R140,seed5!R140,seed6!R140),4)</f>
        <v>8.8386999999999993</v>
      </c>
      <c r="S140">
        <f>ROUND(AVERAGE(seed1!S140,seed2!S140,seed3!S140,seed4!S140,seed5!S140,seed6!S140),4)</f>
        <v>9.2128999999999994</v>
      </c>
      <c r="U140">
        <f>ROUND(AVERAGE(seed1!U140,seed2!U140,seed3!U140,seed4!U140,seed5!U140,seed6!U140),4)</f>
        <v>9.2417999999999996</v>
      </c>
      <c r="V140">
        <f>ROUND(AVERAGE(seed1!V140,seed2!V140,seed3!V140,seed4!V140,seed5!V140,seed6!V140),4)</f>
        <v>5.2407000000000004</v>
      </c>
      <c r="W140">
        <f>ROUND(AVERAGE(seed1!W140,seed2!W140,seed3!W140,seed4!W140,seed5!W140,seed6!W140),4)</f>
        <v>16.653500000000001</v>
      </c>
      <c r="Y140">
        <f>ROUND(AVERAGE(seed1!Y140,seed2!Y140,seed3!Y140,seed4!Y140,seed5!Y140,seed6!Y140),4)</f>
        <v>10.552199999999999</v>
      </c>
      <c r="Z140">
        <f>ROUND(AVERAGE(seed1!Z140,seed2!Z140,seed3!Z140,seed4!Z140,seed5!Z140,seed6!Z140),4)</f>
        <v>7.1776</v>
      </c>
      <c r="AA140">
        <f>ROUND(AVERAGE(seed1!AA140,seed2!AA140,seed3!AA140,seed4!AA140,seed5!AA140,seed6!AA140),4)</f>
        <v>15.877000000000001</v>
      </c>
      <c r="AC140">
        <f>ROUND(AVERAGE(seed1!AC140,seed2!AC140,seed3!AC140,seed4!AC140,seed5!AC140,seed6!AC140),4)</f>
        <v>9.8353000000000002</v>
      </c>
      <c r="AD140">
        <f>ROUND(AVERAGE(seed1!AD140,seed2!AD140,seed3!AD140,seed4!AD140,seed5!AD140,seed6!AD140),4)</f>
        <v>8.1790000000000003</v>
      </c>
      <c r="AE140">
        <f>ROUND(AVERAGE(seed1!AE140,seed2!AE140,seed3!AE140,seed4!AE140,seed5!AE140,seed6!AE140),4)</f>
        <v>11.979799999999999</v>
      </c>
    </row>
    <row r="143" spans="1:39">
      <c r="A143" t="s">
        <v>18</v>
      </c>
      <c r="B143">
        <v>600</v>
      </c>
      <c r="C143">
        <v>1400</v>
      </c>
      <c r="E143">
        <f>ROUND(AVERAGE(seed1!E143,seed2!E143,seed3!E143,seed4!E143,seed5!E143,seed6!E143),4)</f>
        <v>12.9968</v>
      </c>
      <c r="F143">
        <f>ROUND(AVERAGE(seed1!F143,seed2!F143,seed3!F143,seed4!F143,seed5!F143,seed6!F143),4)</f>
        <v>8.9981000000000009</v>
      </c>
      <c r="G143">
        <f>ROUND(AVERAGE(seed1!G143,seed2!G143,seed3!G143,seed4!G143,seed5!G143,seed6!G143),4)</f>
        <v>15.579599999999999</v>
      </c>
      <c r="I143">
        <f>ROUND(AVERAGE(seed1!I143,seed2!I143,seed3!I143,seed4!I143,seed5!I143,seed6!I143),4)</f>
        <v>12.9504</v>
      </c>
      <c r="J143">
        <f>ROUND(AVERAGE(seed1!J143,seed2!J143,seed3!J143,seed4!J143,seed5!J143,seed6!J143),4)</f>
        <v>9.0442999999999998</v>
      </c>
      <c r="K143">
        <f>ROUND(AVERAGE(seed1!K143,seed2!K143,seed3!K143,seed4!K143,seed5!K143,seed6!K143),4)</f>
        <v>15.4476</v>
      </c>
      <c r="M143">
        <f>ROUND(AVERAGE(seed1!M143,seed2!M143,seed3!M143,seed4!M143,seed5!M143,seed6!M143),4)</f>
        <v>12.584199999999999</v>
      </c>
      <c r="N143">
        <f>ROUND(AVERAGE(seed1!N143,seed2!N143,seed3!N143,seed4!N143,seed5!N143,seed6!N143),4)</f>
        <v>7.5312999999999999</v>
      </c>
      <c r="O143">
        <f>ROUND(AVERAGE(seed1!O143,seed2!O143,seed3!O143,seed4!O143,seed5!O143,seed6!O143),4)</f>
        <v>16.466799999999999</v>
      </c>
      <c r="Q143">
        <f>ROUND(AVERAGE(seed1!Q143,seed2!Q143,seed3!Q143,seed4!Q143,seed5!Q143,seed6!Q143),4)</f>
        <v>11.684200000000001</v>
      </c>
      <c r="R143">
        <f>ROUND(AVERAGE(seed1!R143,seed2!R143,seed3!R143,seed4!R143,seed5!R143,seed6!R143),4)</f>
        <v>13.1403</v>
      </c>
      <c r="S143">
        <f>ROUND(AVERAGE(seed1!S143,seed2!S143,seed3!S143,seed4!S143,seed5!S143,seed6!S143),4)</f>
        <v>11.189299999999999</v>
      </c>
      <c r="U143">
        <f>ROUND(AVERAGE(seed1!U143,seed2!U143,seed3!U143,seed4!U143,seed5!U143,seed6!U143),4)</f>
        <v>11.4579</v>
      </c>
      <c r="V143">
        <f>ROUND(AVERAGE(seed1!V143,seed2!V143,seed3!V143,seed4!V143,seed5!V143,seed6!V143),4)</f>
        <v>5.6481000000000003</v>
      </c>
      <c r="W143">
        <f>ROUND(AVERAGE(seed1!W143,seed2!W143,seed3!W143,seed4!W143,seed5!W143,seed6!W143),4)</f>
        <v>16.659600000000001</v>
      </c>
      <c r="Y143">
        <f>ROUND(AVERAGE(seed1!Y143,seed2!Y143,seed3!Y143,seed4!Y143,seed5!Y143,seed6!Y143),4)</f>
        <v>13.0936</v>
      </c>
      <c r="Z143">
        <f>ROUND(AVERAGE(seed1!Z143,seed2!Z143,seed3!Z143,seed4!Z143,seed5!Z143,seed6!Z143),4)</f>
        <v>9.5370000000000008</v>
      </c>
      <c r="AA143">
        <f>ROUND(AVERAGE(seed1!AA143,seed2!AA143,seed3!AA143,seed4!AA143,seed5!AA143,seed6!AA143),4)</f>
        <v>15.469799999999999</v>
      </c>
      <c r="AC143">
        <f>ROUND(AVERAGE(seed1!AC143,seed2!AC143,seed3!AC143,seed4!AC143,seed5!AC143,seed6!AC143),4)</f>
        <v>12.838200000000001</v>
      </c>
      <c r="AD143">
        <f>ROUND(AVERAGE(seed1!AD143,seed2!AD143,seed3!AD143,seed4!AD143,seed5!AD143,seed6!AD143),4)</f>
        <v>9.0853000000000002</v>
      </c>
      <c r="AE143">
        <f>ROUND(AVERAGE(seed1!AE143,seed2!AE143,seed3!AE143,seed4!AE143,seed5!AE143,seed6!AE143),4)</f>
        <v>15.2606</v>
      </c>
      <c r="AG143">
        <f t="shared" ref="AG143" si="21">E143</f>
        <v>12.9968</v>
      </c>
      <c r="AH143">
        <f t="shared" ref="AH143" si="22">I143</f>
        <v>12.9504</v>
      </c>
      <c r="AI143">
        <f t="shared" ref="AI143" si="23">AC143</f>
        <v>12.838200000000001</v>
      </c>
      <c r="AJ143">
        <f t="shared" ref="AJ143" si="24">M143</f>
        <v>12.584199999999999</v>
      </c>
      <c r="AK143">
        <f t="shared" ref="AK143" si="25">Q143</f>
        <v>11.684200000000001</v>
      </c>
      <c r="AL143">
        <f t="shared" ref="AL143" si="26">U143</f>
        <v>11.4579</v>
      </c>
      <c r="AM143">
        <f t="shared" ref="AM143" si="27">Y143</f>
        <v>13.0936</v>
      </c>
    </row>
    <row r="145" spans="1:39">
      <c r="B145">
        <v>1000</v>
      </c>
      <c r="C145">
        <v>1000</v>
      </c>
      <c r="E145">
        <f>ROUND(AVERAGE(seed1!E145,seed2!E145,seed3!E145,seed4!E145,seed5!E145,seed6!E145),4)</f>
        <v>11.448399999999999</v>
      </c>
      <c r="F145">
        <f>ROUND(AVERAGE(seed1!F145,seed2!F145,seed3!F145,seed4!F145,seed5!F145,seed6!F145),4)</f>
        <v>9.3193000000000001</v>
      </c>
      <c r="G145">
        <f>ROUND(AVERAGE(seed1!G145,seed2!G145,seed3!G145,seed4!G145,seed5!G145,seed6!G145),4)</f>
        <v>14.5021</v>
      </c>
      <c r="I145">
        <f>ROUND(AVERAGE(seed1!I145,seed2!I145,seed3!I145,seed4!I145,seed5!I145,seed6!I145),4)</f>
        <v>11.5992</v>
      </c>
      <c r="J145">
        <f>ROUND(AVERAGE(seed1!J145,seed2!J145,seed3!J145,seed4!J145,seed5!J145,seed6!J145),4)</f>
        <v>9.9827999999999992</v>
      </c>
      <c r="K145">
        <f>ROUND(AVERAGE(seed1!K145,seed2!K145,seed3!K145,seed4!K145,seed5!K145,seed6!K145),4)</f>
        <v>33.539000000000001</v>
      </c>
      <c r="M145">
        <f>ROUND(AVERAGE(seed1!M145,seed2!M145,seed3!M145,seed4!M145,seed5!M145,seed6!M145),4)</f>
        <v>11.614599999999999</v>
      </c>
      <c r="N145">
        <f>ROUND(AVERAGE(seed1!N145,seed2!N145,seed3!N145,seed4!N145,seed5!N145,seed6!N145),4)</f>
        <v>9.0259</v>
      </c>
      <c r="O145">
        <f>ROUND(AVERAGE(seed1!O145,seed2!O145,seed3!O145,seed4!O145,seed5!O145,seed6!O145),4)</f>
        <v>15.655799999999999</v>
      </c>
      <c r="Q145">
        <f>ROUND(AVERAGE(seed1!Q145,seed2!Q145,seed3!Q145,seed4!Q145,seed5!Q145,seed6!Q145),4)</f>
        <v>9.7111000000000001</v>
      </c>
      <c r="R145">
        <f>ROUND(AVERAGE(seed1!R145,seed2!R145,seed3!R145,seed4!R145,seed5!R145,seed6!R145),4)</f>
        <v>9.5218000000000007</v>
      </c>
      <c r="S145">
        <f>ROUND(AVERAGE(seed1!S145,seed2!S145,seed3!S145,seed4!S145,seed5!S145,seed6!S145),4)</f>
        <v>9.9360999999999997</v>
      </c>
      <c r="U145">
        <f>ROUND(AVERAGE(seed1!U145,seed2!U145,seed3!U145,seed4!U145,seed5!U145,seed6!U145),4)</f>
        <v>10.5816</v>
      </c>
      <c r="V145">
        <f>ROUND(AVERAGE(seed1!V145,seed2!V145,seed3!V145,seed4!V145,seed5!V145,seed6!V145),4)</f>
        <v>7.2972999999999999</v>
      </c>
      <c r="W145">
        <f>ROUND(AVERAGE(seed1!W145,seed2!W145,seed3!W145,seed4!W145,seed5!W145,seed6!W145),4)</f>
        <v>16.664200000000001</v>
      </c>
      <c r="Y145">
        <f>ROUND(AVERAGE(seed1!Y145,seed2!Y145,seed3!Y145,seed4!Y145,seed5!Y145,seed6!Y145),4)</f>
        <v>12.181100000000001</v>
      </c>
      <c r="Z145">
        <f>ROUND(AVERAGE(seed1!Z145,seed2!Z145,seed3!Z145,seed4!Z145,seed5!Z145,seed6!Z145),4)</f>
        <v>9.7447999999999997</v>
      </c>
      <c r="AA145">
        <f>ROUND(AVERAGE(seed1!AA145,seed2!AA145,seed3!AA145,seed4!AA145,seed5!AA145,seed6!AA145),4)</f>
        <v>15.9344</v>
      </c>
      <c r="AC145">
        <f>ROUND(AVERAGE(seed1!AC145,seed2!AC145,seed3!AC145,seed4!AC145,seed5!AC145,seed6!AC145),4)</f>
        <v>11.386100000000001</v>
      </c>
      <c r="AD145">
        <f>ROUND(AVERAGE(seed1!AD145,seed2!AD145,seed3!AD145,seed4!AD145,seed5!AD145,seed6!AD145),4)</f>
        <v>9.1453000000000007</v>
      </c>
      <c r="AE145">
        <f>ROUND(AVERAGE(seed1!AE145,seed2!AE145,seed3!AE145,seed4!AE145,seed5!AE145,seed6!AE145),4)</f>
        <v>14.664999999999999</v>
      </c>
      <c r="AG145">
        <f t="shared" ref="AG145" si="28">E145</f>
        <v>11.448399999999999</v>
      </c>
      <c r="AH145">
        <f t="shared" ref="AH145" si="29">I145</f>
        <v>11.5992</v>
      </c>
      <c r="AI145">
        <f t="shared" ref="AI145" si="30">AC145</f>
        <v>11.386100000000001</v>
      </c>
      <c r="AJ145">
        <f t="shared" ref="AJ145" si="31">M145</f>
        <v>11.614599999999999</v>
      </c>
      <c r="AK145">
        <f t="shared" ref="AK145" si="32">Q145</f>
        <v>9.7111000000000001</v>
      </c>
      <c r="AL145">
        <f t="shared" ref="AL145" si="33">U145</f>
        <v>10.5816</v>
      </c>
      <c r="AM145">
        <f t="shared" ref="AM145" si="34">Y145</f>
        <v>12.181100000000001</v>
      </c>
    </row>
    <row r="147" spans="1:39">
      <c r="B147">
        <v>1400</v>
      </c>
      <c r="C147">
        <v>600</v>
      </c>
      <c r="E147">
        <f>ROUND(AVERAGE(seed1!E147,seed2!E147,seed3!E147,seed4!E147,seed5!E147,seed6!E147),4)</f>
        <v>10.0547</v>
      </c>
      <c r="F147">
        <f>ROUND(AVERAGE(seed1!F147,seed2!F147,seed3!F147,seed4!F147,seed5!F147,seed6!F147),4)</f>
        <v>9.3795000000000002</v>
      </c>
      <c r="G147">
        <f>ROUND(AVERAGE(seed1!G147,seed2!G147,seed3!G147,seed4!G147,seed5!G147,seed6!G147),4)</f>
        <v>11.988200000000001</v>
      </c>
      <c r="I147">
        <f>ROUND(AVERAGE(seed1!I147,seed2!I147,seed3!I147,seed4!I147,seed5!I147,seed6!I147),4)</f>
        <v>10.062900000000001</v>
      </c>
      <c r="J147">
        <f>ROUND(AVERAGE(seed1!J147,seed2!J147,seed3!J147,seed4!J147,seed5!J147,seed6!J147),4)</f>
        <v>9.7179000000000002</v>
      </c>
      <c r="K147">
        <f>ROUND(AVERAGE(seed1!K147,seed2!K147,seed3!K147,seed4!K147,seed5!K147,seed6!K147),4)</f>
        <v>10.9589</v>
      </c>
      <c r="M147">
        <f>ROUND(AVERAGE(seed1!M147,seed2!M147,seed3!M147,seed4!M147,seed5!M147,seed6!M147),4)</f>
        <v>10.9749</v>
      </c>
      <c r="N147">
        <f>ROUND(AVERAGE(seed1!N147,seed2!N147,seed3!N147,seed4!N147,seed5!N147,seed6!N147),4)</f>
        <v>9.6448999999999998</v>
      </c>
      <c r="O147">
        <f>ROUND(AVERAGE(seed1!O147,seed2!O147,seed3!O147,seed4!O147,seed5!O147,seed6!O147),4)</f>
        <v>15.452999999999999</v>
      </c>
      <c r="Q147">
        <f>ROUND(AVERAGE(seed1!Q147,seed2!Q147,seed3!Q147,seed4!Q147,seed5!Q147,seed6!Q147),4)</f>
        <v>9.2423999999999999</v>
      </c>
      <c r="R147">
        <f>ROUND(AVERAGE(seed1!R147,seed2!R147,seed3!R147,seed4!R147,seed5!R147,seed6!R147),4)</f>
        <v>9.0490999999999993</v>
      </c>
      <c r="S147">
        <f>ROUND(AVERAGE(seed1!S147,seed2!S147,seed3!S147,seed4!S147,seed5!S147,seed6!S147),4)</f>
        <v>9.9154</v>
      </c>
      <c r="U147">
        <f>ROUND(AVERAGE(seed1!U147,seed2!U147,seed3!U147,seed4!U147,seed5!U147,seed6!U147),4)</f>
        <v>10.162699999999999</v>
      </c>
      <c r="V147">
        <f>ROUND(AVERAGE(seed1!V147,seed2!V147,seed3!V147,seed4!V147,seed5!V147,seed6!V147),4)</f>
        <v>8.4863</v>
      </c>
      <c r="W147">
        <f>ROUND(AVERAGE(seed1!W147,seed2!W147,seed3!W147,seed4!W147,seed5!W147,seed6!W147),4)</f>
        <v>16.660699999999999</v>
      </c>
      <c r="Y147">
        <f>ROUND(AVERAGE(seed1!Y147,seed2!Y147,seed3!Y147,seed4!Y147,seed5!Y147,seed6!Y147),4)</f>
        <v>11.260300000000001</v>
      </c>
      <c r="Z147">
        <f>ROUND(AVERAGE(seed1!Z147,seed2!Z147,seed3!Z147,seed4!Z147,seed5!Z147,seed6!Z147),4)</f>
        <v>9.9476999999999993</v>
      </c>
      <c r="AA147">
        <f>ROUND(AVERAGE(seed1!AA147,seed2!AA147,seed3!AA147,seed4!AA147,seed5!AA147,seed6!AA147),4)</f>
        <v>15.762700000000001</v>
      </c>
      <c r="AC147">
        <f>ROUND(AVERAGE(seed1!AC147,seed2!AC147,seed3!AC147,seed4!AC147,seed5!AC147,seed6!AC147),4)</f>
        <v>9.0106000000000002</v>
      </c>
      <c r="AD147">
        <f>ROUND(AVERAGE(seed1!AD147,seed2!AD147,seed3!AD147,seed4!AD147,seed5!AD147,seed6!AD147),4)</f>
        <v>8.1152999999999995</v>
      </c>
      <c r="AE147">
        <f>ROUND(AVERAGE(seed1!AE147,seed2!AE147,seed3!AE147,seed4!AE147,seed5!AE147,seed6!AE147),4)</f>
        <v>11.424300000000001</v>
      </c>
      <c r="AG147">
        <f t="shared" ref="AG147" si="35">E147</f>
        <v>10.0547</v>
      </c>
      <c r="AH147">
        <f t="shared" ref="AH147" si="36">I147</f>
        <v>10.062900000000001</v>
      </c>
      <c r="AI147">
        <f t="shared" ref="AI147" si="37">AC147</f>
        <v>9.0106000000000002</v>
      </c>
      <c r="AJ147">
        <f t="shared" ref="AJ147" si="38">M147</f>
        <v>10.9749</v>
      </c>
      <c r="AK147">
        <f t="shared" ref="AK147" si="39">Q147</f>
        <v>9.2423999999999999</v>
      </c>
      <c r="AL147">
        <f t="shared" ref="AL147" si="40">U147</f>
        <v>10.162699999999999</v>
      </c>
      <c r="AM147">
        <f t="shared" ref="AM147" si="41">Y147</f>
        <v>11.260300000000001</v>
      </c>
    </row>
    <row r="149" spans="1:39">
      <c r="B149">
        <v>1200</v>
      </c>
      <c r="C149">
        <v>1200</v>
      </c>
      <c r="E149">
        <f>ROUND(AVERAGE(seed1!E149,seed2!E149,seed3!E149,seed4!E149,seed5!E149,seed6!E149),4)</f>
        <v>8.8726000000000003</v>
      </c>
      <c r="F149">
        <f>ROUND(AVERAGE(seed1!F149,seed2!F149,seed3!F149,seed4!F149,seed5!F149,seed6!F149),4)</f>
        <v>6.7103000000000002</v>
      </c>
      <c r="G149">
        <f>ROUND(AVERAGE(seed1!G149,seed2!G149,seed3!G149,seed4!G149,seed5!G149,seed6!G149),4)</f>
        <v>11.9711</v>
      </c>
      <c r="I149">
        <f>ROUND(AVERAGE(seed1!I149,seed2!I149,seed3!I149,seed4!I149,seed5!I149,seed6!I149),4)</f>
        <v>8.8292000000000002</v>
      </c>
      <c r="J149">
        <f>ROUND(AVERAGE(seed1!J149,seed2!J149,seed3!J149,seed4!J149,seed5!J149,seed6!J149),4)</f>
        <v>6.6618000000000004</v>
      </c>
      <c r="K149">
        <f>ROUND(AVERAGE(seed1!K149,seed2!K149,seed3!K149,seed4!K149,seed5!K149,seed6!K149),4)</f>
        <v>11.8306</v>
      </c>
      <c r="M149">
        <f>ROUND(AVERAGE(seed1!M149,seed2!M149,seed3!M149,seed4!M149,seed5!M149,seed6!M149),4)</f>
        <v>8.8460000000000001</v>
      </c>
      <c r="N149">
        <f>ROUND(AVERAGE(seed1!N149,seed2!N149,seed3!N149,seed4!N149,seed5!N149,seed6!N149),4)</f>
        <v>5.0115999999999996</v>
      </c>
      <c r="O149">
        <f>ROUND(AVERAGE(seed1!O149,seed2!O149,seed3!O149,seed4!O149,seed5!O149,seed6!O149),4)</f>
        <v>16.4056</v>
      </c>
      <c r="Q149">
        <f>ROUND(AVERAGE(seed1!Q149,seed2!Q149,seed3!Q149,seed4!Q149,seed5!Q149,seed6!Q149),4)</f>
        <v>7.8734999999999999</v>
      </c>
      <c r="R149">
        <f>ROUND(AVERAGE(seed1!R149,seed2!R149,seed3!R149,seed4!R149,seed5!R149,seed6!R149),4)</f>
        <v>7.7316000000000003</v>
      </c>
      <c r="S149">
        <f>ROUND(AVERAGE(seed1!S149,seed2!S149,seed3!S149,seed4!S149,seed5!S149,seed6!S149),4)</f>
        <v>8.2628000000000004</v>
      </c>
      <c r="U149">
        <f>ROUND(AVERAGE(seed1!U149,seed2!U149,seed3!U149,seed4!U149,seed5!U149,seed6!U149),4)</f>
        <v>7.9862000000000002</v>
      </c>
      <c r="V149">
        <f>ROUND(AVERAGE(seed1!V149,seed2!V149,seed3!V149,seed4!V149,seed5!V149,seed6!V149),4)</f>
        <v>3.9493999999999998</v>
      </c>
      <c r="W149">
        <f>ROUND(AVERAGE(seed1!W149,seed2!W149,seed3!W149,seed4!W149,seed5!W149,seed6!W149),4)</f>
        <v>16.646899999999999</v>
      </c>
      <c r="Y149">
        <f>ROUND(AVERAGE(seed1!Y149,seed2!Y149,seed3!Y149,seed4!Y149,seed5!Y149,seed6!Y149),4)</f>
        <v>9.5350999999999999</v>
      </c>
      <c r="Z149">
        <f>ROUND(AVERAGE(seed1!Z149,seed2!Z149,seed3!Z149,seed4!Z149,seed5!Z149,seed6!Z149),4)</f>
        <v>5.9520999999999997</v>
      </c>
      <c r="AA149">
        <f>ROUND(AVERAGE(seed1!AA149,seed2!AA149,seed3!AA149,seed4!AA149,seed5!AA149,seed6!AA149),4)</f>
        <v>15.8582</v>
      </c>
      <c r="AC149">
        <f>ROUND(AVERAGE(seed1!AC149,seed2!AC149,seed3!AC149,seed4!AC149,seed5!AC149,seed6!AC149),4)</f>
        <v>8.7622</v>
      </c>
      <c r="AD149">
        <f>ROUND(AVERAGE(seed1!AD149,seed2!AD149,seed3!AD149,seed4!AD149,seed5!AD149,seed6!AD149),4)</f>
        <v>7.0316000000000001</v>
      </c>
      <c r="AE149">
        <f>ROUND(AVERAGE(seed1!AE149,seed2!AE149,seed3!AE149,seed4!AE149,seed5!AE149,seed6!AE149),4)</f>
        <v>11.0871</v>
      </c>
      <c r="AG149">
        <f t="shared" ref="AG149" si="42">E149</f>
        <v>8.8726000000000003</v>
      </c>
      <c r="AH149">
        <f t="shared" ref="AH149" si="43">I149</f>
        <v>8.8292000000000002</v>
      </c>
      <c r="AI149">
        <f t="shared" ref="AI149" si="44">AC149</f>
        <v>8.7622</v>
      </c>
      <c r="AJ149">
        <f t="shared" ref="AJ149" si="45">M149</f>
        <v>8.8460000000000001</v>
      </c>
      <c r="AK149">
        <f t="shared" ref="AK149" si="46">Q149</f>
        <v>7.8734999999999999</v>
      </c>
      <c r="AL149">
        <f t="shared" ref="AL149" si="47">U149</f>
        <v>7.9862000000000002</v>
      </c>
      <c r="AM149">
        <f t="shared" ref="AM149" si="48">Y149</f>
        <v>9.5350999999999999</v>
      </c>
    </row>
    <row r="152" spans="1:39">
      <c r="A152" t="s">
        <v>20</v>
      </c>
      <c r="B152">
        <v>600</v>
      </c>
      <c r="C152">
        <v>1400</v>
      </c>
      <c r="E152">
        <f>ROUND(AVERAGE(seed1!E152,seed2!E152,seed3!E152,seed4!E152,seed5!E152,seed6!E152),4)</f>
        <v>12.126200000000001</v>
      </c>
      <c r="F152">
        <f>ROUND(AVERAGE(seed1!F152,seed2!F152,seed3!F152,seed4!F152,seed5!F152,seed6!F152),4)</f>
        <v>7.7946</v>
      </c>
      <c r="G152">
        <f>ROUND(AVERAGE(seed1!G152,seed2!G152,seed3!G152,seed4!G152,seed5!G152,seed6!G152),4)</f>
        <v>15.295</v>
      </c>
      <c r="I152">
        <f>ROUND(AVERAGE(seed1!I152,seed2!I152,seed3!I152,seed4!I152,seed5!I152,seed6!I152),4)</f>
        <v>12.0693</v>
      </c>
      <c r="J152">
        <f>ROUND(AVERAGE(seed1!J152,seed2!J152,seed3!J152,seed4!J152,seed5!J152,seed6!J152),4)</f>
        <v>7.8512000000000004</v>
      </c>
      <c r="K152">
        <f>ROUND(AVERAGE(seed1!K152,seed2!K152,seed3!K152,seed4!K152,seed5!K152,seed6!K152),4)</f>
        <v>15.0695</v>
      </c>
      <c r="M152">
        <f>ROUND(AVERAGE(seed1!M152,seed2!M152,seed3!M152,seed4!M152,seed5!M152,seed6!M152),4)</f>
        <v>11.6813</v>
      </c>
      <c r="N152">
        <f>ROUND(AVERAGE(seed1!N152,seed2!N152,seed3!N152,seed4!N152,seed5!N152,seed6!N152),4)</f>
        <v>6.3120000000000003</v>
      </c>
      <c r="O152">
        <f>ROUND(AVERAGE(seed1!O152,seed2!O152,seed3!O152,seed4!O152,seed5!O152,seed6!O152),4)</f>
        <v>16.5182</v>
      </c>
      <c r="Q152">
        <f>ROUND(AVERAGE(seed1!Q152,seed2!Q152,seed3!Q152,seed4!Q152,seed5!Q152,seed6!Q152),4)</f>
        <v>10.8186</v>
      </c>
      <c r="R152">
        <f>ROUND(AVERAGE(seed1!R152,seed2!R152,seed3!R152,seed4!R152,seed5!R152,seed6!R152),4)</f>
        <v>12.4268</v>
      </c>
      <c r="S152">
        <f>ROUND(AVERAGE(seed1!S152,seed2!S152,seed3!S152,seed4!S152,seed5!S152,seed6!S152),4)</f>
        <v>10.3209</v>
      </c>
      <c r="U152">
        <f>ROUND(AVERAGE(seed1!U152,seed2!U152,seed3!U152,seed4!U152,seed5!U152,seed6!U152),4)</f>
        <v>10.350899999999999</v>
      </c>
      <c r="V152">
        <f>ROUND(AVERAGE(seed1!V152,seed2!V152,seed3!V152,seed4!V152,seed5!V152,seed6!V152),4)</f>
        <v>4.4569000000000001</v>
      </c>
      <c r="W152">
        <f>ROUND(AVERAGE(seed1!W152,seed2!W152,seed3!W152,seed4!W152,seed5!W152,seed6!W152),4)</f>
        <v>16.654800000000002</v>
      </c>
      <c r="Y152">
        <f>ROUND(AVERAGE(seed1!Y152,seed2!Y152,seed3!Y152,seed4!Y152,seed5!Y152,seed6!Y152),4)</f>
        <v>12.4223</v>
      </c>
      <c r="Z152">
        <f>ROUND(AVERAGE(seed1!Z152,seed2!Z152,seed3!Z152,seed4!Z152,seed5!Z152,seed6!Z152),4)</f>
        <v>8.1621000000000006</v>
      </c>
      <c r="AA152">
        <f>ROUND(AVERAGE(seed1!AA152,seed2!AA152,seed3!AA152,seed4!AA152,seed5!AA152,seed6!AA152),4)</f>
        <v>15.6248</v>
      </c>
      <c r="AC152">
        <f>ROUND(AVERAGE(seed1!AC152,seed2!AC152,seed3!AC152,seed4!AC152,seed5!AC152,seed6!AC152),4)</f>
        <v>11.8338</v>
      </c>
      <c r="AD152">
        <f>ROUND(AVERAGE(seed1!AD152,seed2!AD152,seed3!AD152,seed4!AD152,seed5!AD152,seed6!AD152),4)</f>
        <v>7.9332000000000003</v>
      </c>
      <c r="AE152">
        <f>ROUND(AVERAGE(seed1!AE152,seed2!AE152,seed3!AE152,seed4!AE152,seed5!AE152,seed6!AE152),4)</f>
        <v>14.6601</v>
      </c>
    </row>
    <row r="154" spans="1:39">
      <c r="B154">
        <v>1000</v>
      </c>
      <c r="C154">
        <v>1000</v>
      </c>
      <c r="E154">
        <f>ROUND(AVERAGE(seed1!E154,seed2!E154,seed3!E154,seed4!E154,seed5!E154,seed6!E154),4)</f>
        <v>10.354699999999999</v>
      </c>
      <c r="F154">
        <f>ROUND(AVERAGE(seed1!F154,seed2!F154,seed3!F154,seed4!F154,seed5!F154,seed6!F154),4)</f>
        <v>7.8375000000000004</v>
      </c>
      <c r="G154">
        <f>ROUND(AVERAGE(seed1!G154,seed2!G154,seed3!G154,seed4!G154,seed5!G154,seed6!G154),4)</f>
        <v>14.377000000000001</v>
      </c>
      <c r="I154">
        <f>ROUND(AVERAGE(seed1!I154,seed2!I154,seed3!I154,seed4!I154,seed5!I154,seed6!I154),4)</f>
        <v>10.316800000000001</v>
      </c>
      <c r="J154">
        <f>ROUND(AVERAGE(seed1!J154,seed2!J154,seed3!J154,seed4!J154,seed5!J154,seed6!J154),4)</f>
        <v>8.3984000000000005</v>
      </c>
      <c r="K154">
        <f>ROUND(AVERAGE(seed1!K154,seed2!K154,seed3!K154,seed4!K154,seed5!K154,seed6!K154),4)</f>
        <v>13.356199999999999</v>
      </c>
      <c r="M154">
        <f>ROUND(AVERAGE(seed1!M154,seed2!M154,seed3!M154,seed4!M154,seed5!M154,seed6!M154),4)</f>
        <v>10.509499999999999</v>
      </c>
      <c r="N154">
        <f>ROUND(AVERAGE(seed1!N154,seed2!N154,seed3!N154,seed4!N154,seed5!N154,seed6!N154),4)</f>
        <v>7.5872000000000002</v>
      </c>
      <c r="O154">
        <f>ROUND(AVERAGE(seed1!O154,seed2!O154,seed3!O154,seed4!O154,seed5!O154,seed6!O154),4)</f>
        <v>15.5168</v>
      </c>
      <c r="Q154">
        <f>ROUND(AVERAGE(seed1!Q154,seed2!Q154,seed3!Q154,seed4!Q154,seed5!Q154,seed6!Q154),4)</f>
        <v>8.2128999999999994</v>
      </c>
      <c r="R154">
        <f>ROUND(AVERAGE(seed1!R154,seed2!R154,seed3!R154,seed4!R154,seed5!R154,seed6!R154),4)</f>
        <v>7.7690999999999999</v>
      </c>
      <c r="S154">
        <f>ROUND(AVERAGE(seed1!S154,seed2!S154,seed3!S154,seed4!S154,seed5!S154,seed6!S154),4)</f>
        <v>8.7975999999999992</v>
      </c>
      <c r="U154">
        <f>ROUND(AVERAGE(seed1!U154,seed2!U154,seed3!U154,seed4!U154,seed5!U154,seed6!U154),4)</f>
        <v>9.2182999999999993</v>
      </c>
      <c r="V154">
        <f>ROUND(AVERAGE(seed1!V154,seed2!V154,seed3!V154,seed4!V154,seed5!V154,seed6!V154),4)</f>
        <v>5.4989999999999997</v>
      </c>
      <c r="W154">
        <f>ROUND(AVERAGE(seed1!W154,seed2!W154,seed3!W154,seed4!W154,seed5!W154,seed6!W154),4)</f>
        <v>16.668399999999998</v>
      </c>
      <c r="Y154">
        <f>ROUND(AVERAGE(seed1!Y154,seed2!Y154,seed3!Y154,seed4!Y154,seed5!Y154,seed6!Y154),4)</f>
        <v>11.2242</v>
      </c>
      <c r="Z154">
        <f>ROUND(AVERAGE(seed1!Z154,seed2!Z154,seed3!Z154,seed4!Z154,seed5!Z154,seed6!Z154),4)</f>
        <v>8.4727999999999994</v>
      </c>
      <c r="AA154">
        <f>ROUND(AVERAGE(seed1!AA154,seed2!AA154,seed3!AA154,seed4!AA154,seed5!AA154,seed6!AA154),4)</f>
        <v>16.169</v>
      </c>
      <c r="AC154">
        <f>ROUND(AVERAGE(seed1!AC154,seed2!AC154,seed3!AC154,seed4!AC154,seed5!AC154,seed6!AC154),4)</f>
        <v>10.2463</v>
      </c>
      <c r="AD154">
        <f>ROUND(AVERAGE(seed1!AD154,seed2!AD154,seed3!AD154,seed4!AD154,seed5!AD154,seed6!AD154),4)</f>
        <v>7.5621999999999998</v>
      </c>
      <c r="AE154">
        <f>ROUND(AVERAGE(seed1!AE154,seed2!AE154,seed3!AE154,seed4!AE154,seed5!AE154,seed6!AE154),4)</f>
        <v>14.7393</v>
      </c>
    </row>
    <row r="156" spans="1:39">
      <c r="B156">
        <v>1400</v>
      </c>
      <c r="C156">
        <v>600</v>
      </c>
      <c r="E156">
        <f>ROUND(AVERAGE(seed1!E156,seed2!E156,seed3!E156,seed4!E156,seed5!E156,seed6!E156),4)</f>
        <v>8.7571999999999992</v>
      </c>
      <c r="F156">
        <f>ROUND(AVERAGE(seed1!F156,seed2!F156,seed3!F156,seed4!F156,seed5!F156,seed6!F156),4)</f>
        <v>7.9715999999999996</v>
      </c>
      <c r="G156">
        <f>ROUND(AVERAGE(seed1!G156,seed2!G156,seed3!G156,seed4!G156,seed5!G156,seed6!G156),4)</f>
        <v>11.5101</v>
      </c>
      <c r="I156">
        <f>ROUND(AVERAGE(seed1!I156,seed2!I156,seed3!I156,seed4!I156,seed5!I156,seed6!I156),4)</f>
        <v>8.6671999999999993</v>
      </c>
      <c r="J156">
        <f>ROUND(AVERAGE(seed1!J156,seed2!J156,seed3!J156,seed4!J156,seed5!J156,seed6!J156),4)</f>
        <v>8.0609999999999999</v>
      </c>
      <c r="K156">
        <f>ROUND(AVERAGE(seed1!K156,seed2!K156,seed3!K156,seed4!K156,seed5!K156,seed6!K156),4)</f>
        <v>10.5357</v>
      </c>
      <c r="M156">
        <f>ROUND(AVERAGE(seed1!M156,seed2!M156,seed3!M156,seed4!M156,seed5!M156,seed6!M156),4)</f>
        <v>9.5266000000000002</v>
      </c>
      <c r="N156">
        <f>ROUND(AVERAGE(seed1!N156,seed2!N156,seed3!N156,seed4!N156,seed5!N156,seed6!N156),4)</f>
        <v>7.9314999999999998</v>
      </c>
      <c r="O156">
        <f>ROUND(AVERAGE(seed1!O156,seed2!O156,seed3!O156,seed4!O156,seed5!O156,seed6!O156),4)</f>
        <v>15.895300000000001</v>
      </c>
      <c r="Q156">
        <f>ROUND(AVERAGE(seed1!Q156,seed2!Q156,seed3!Q156,seed4!Q156,seed5!Q156,seed6!Q156),4)</f>
        <v>7.8026</v>
      </c>
      <c r="R156">
        <f>ROUND(AVERAGE(seed1!R156,seed2!R156,seed3!R156,seed4!R156,seed5!R156,seed6!R156),4)</f>
        <v>6.9997999999999996</v>
      </c>
      <c r="S156">
        <f>ROUND(AVERAGE(seed1!S156,seed2!S156,seed3!S156,seed4!S156,seed5!S156,seed6!S156),4)</f>
        <v>10.055999999999999</v>
      </c>
      <c r="U156">
        <f>ROUND(AVERAGE(seed1!U156,seed2!U156,seed3!U156,seed4!U156,seed5!U156,seed6!U156),4)</f>
        <v>8.6980000000000004</v>
      </c>
      <c r="V156">
        <f>ROUND(AVERAGE(seed1!V156,seed2!V156,seed3!V156,seed4!V156,seed5!V156,seed6!V156),4)</f>
        <v>6.9511000000000003</v>
      </c>
      <c r="W156">
        <f>ROUND(AVERAGE(seed1!W156,seed2!W156,seed3!W156,seed4!W156,seed5!W156,seed6!W156),4)</f>
        <v>16.6477</v>
      </c>
      <c r="Y156">
        <f>ROUND(AVERAGE(seed1!Y156,seed2!Y156,seed3!Y156,seed4!Y156,seed5!Y156,seed6!Y156),4)</f>
        <v>9.9515999999999991</v>
      </c>
      <c r="Z156">
        <f>ROUND(AVERAGE(seed1!Z156,seed2!Z156,seed3!Z156,seed4!Z156,seed5!Z156,seed6!Z156),4)</f>
        <v>8.4937000000000005</v>
      </c>
      <c r="AA156">
        <f>ROUND(AVERAGE(seed1!AA156,seed2!AA156,seed3!AA156,seed4!AA156,seed5!AA156,seed6!AA156),4)</f>
        <v>16.0502</v>
      </c>
      <c r="AC156">
        <f>ROUND(AVERAGE(seed1!AC156,seed2!AC156,seed3!AC156,seed4!AC156,seed5!AC156,seed6!AC156),4)</f>
        <v>7.5871000000000004</v>
      </c>
      <c r="AD156">
        <f>ROUND(AVERAGE(seed1!AD156,seed2!AD156,seed3!AD156,seed4!AD156,seed5!AD156,seed6!AD156),4)</f>
        <v>6.4318999999999997</v>
      </c>
      <c r="AE156">
        <f>ROUND(AVERAGE(seed1!AE156,seed2!AE156,seed3!AE156,seed4!AE156,seed5!AE156,seed6!AE156),4)</f>
        <v>11.111700000000001</v>
      </c>
    </row>
    <row r="158" spans="1:39">
      <c r="B158">
        <v>1200</v>
      </c>
      <c r="C158">
        <v>1200</v>
      </c>
      <c r="E158">
        <f>ROUND(AVERAGE(seed1!E158,seed2!E158,seed3!E158,seed4!E158,seed5!E158,seed6!E158),4)</f>
        <v>7.5336999999999996</v>
      </c>
      <c r="F158">
        <f>ROUND(AVERAGE(seed1!F158,seed2!F158,seed3!F158,seed4!F158,seed5!F158,seed6!F158),4)</f>
        <v>5.2335000000000003</v>
      </c>
      <c r="G158">
        <f>ROUND(AVERAGE(seed1!G158,seed2!G158,seed3!G158,seed4!G158,seed5!G158,seed6!G158),4)</f>
        <v>11.370200000000001</v>
      </c>
      <c r="I158">
        <f>ROUND(AVERAGE(seed1!I158,seed2!I158,seed3!I158,seed4!I158,seed5!I158,seed6!I158),4)</f>
        <v>7.5910000000000002</v>
      </c>
      <c r="J158">
        <f>ROUND(AVERAGE(seed1!J158,seed2!J158,seed3!J158,seed4!J158,seed5!J158,seed6!J158),4)</f>
        <v>5.1653000000000002</v>
      </c>
      <c r="K158">
        <f>ROUND(AVERAGE(seed1!K158,seed2!K158,seed3!K158,seed4!K158,seed5!K158,seed6!K158),4)</f>
        <v>11.5855</v>
      </c>
      <c r="M158">
        <f>ROUND(AVERAGE(seed1!M158,seed2!M158,seed3!M158,seed4!M158,seed5!M158,seed6!M158),4)</f>
        <v>7.0521000000000003</v>
      </c>
      <c r="N158">
        <f>ROUND(AVERAGE(seed1!N158,seed2!N158,seed3!N158,seed4!N158,seed5!N158,seed6!N158),4)</f>
        <v>3.3020999999999998</v>
      </c>
      <c r="O158">
        <f>ROUND(AVERAGE(seed1!O158,seed2!O158,seed3!O158,seed4!O158,seed5!O158,seed6!O158),4)</f>
        <v>16.5791</v>
      </c>
      <c r="Q158">
        <f>ROUND(AVERAGE(seed1!Q158,seed2!Q158,seed3!Q158,seed4!Q158,seed5!Q158,seed6!Q158),4)</f>
        <v>6.8814000000000002</v>
      </c>
      <c r="R158">
        <f>ROUND(AVERAGE(seed1!R158,seed2!R158,seed3!R158,seed4!R158,seed5!R158,seed6!R158),4)</f>
        <v>5.9626000000000001</v>
      </c>
      <c r="S158">
        <f>ROUND(AVERAGE(seed1!S158,seed2!S158,seed3!S158,seed4!S158,seed5!S158,seed6!S158),4)</f>
        <v>8.0061999999999998</v>
      </c>
      <c r="U158">
        <f>ROUND(AVERAGE(seed1!U158,seed2!U158,seed3!U158,seed4!U158,seed5!U158,seed6!U158),4)</f>
        <v>6.0890000000000004</v>
      </c>
      <c r="V158">
        <f>ROUND(AVERAGE(seed1!V158,seed2!V158,seed3!V158,seed4!V158,seed5!V158,seed6!V158),4)</f>
        <v>2.2694000000000001</v>
      </c>
      <c r="W158">
        <f>ROUND(AVERAGE(seed1!W158,seed2!W158,seed3!W158,seed4!W158,seed5!W158,seed6!W158),4)</f>
        <v>16.624199999999998</v>
      </c>
      <c r="Y158">
        <f>ROUND(AVERAGE(seed1!Y158,seed2!Y158,seed3!Y158,seed4!Y158,seed5!Y158,seed6!Y158),4)</f>
        <v>7.8872</v>
      </c>
      <c r="Z158">
        <f>ROUND(AVERAGE(seed1!Z158,seed2!Z158,seed3!Z158,seed4!Z158,seed5!Z158,seed6!Z158),4)</f>
        <v>4.0545999999999998</v>
      </c>
      <c r="AA158">
        <f>ROUND(AVERAGE(seed1!AA158,seed2!AA158,seed3!AA158,seed4!AA158,seed5!AA158,seed6!AA158),4)</f>
        <v>16.4377</v>
      </c>
      <c r="AC158">
        <f>ROUND(AVERAGE(seed1!AC158,seed2!AC158,seed3!AC158,seed4!AC158,seed5!AC158,seed6!AC158),4)</f>
        <v>7.3188000000000004</v>
      </c>
      <c r="AD158">
        <f>ROUND(AVERAGE(seed1!AD158,seed2!AD158,seed3!AD158,seed4!AD158,seed5!AD158,seed6!AD158),4)</f>
        <v>5.569</v>
      </c>
      <c r="AE158">
        <f>ROUND(AVERAGE(seed1!AE158,seed2!AE158,seed3!AE158,seed4!AE158,seed5!AE158,seed6!AE158),4)</f>
        <v>9.7276000000000007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CF06B-D0A4-024A-AE45-6A6CB1B5911C}">
  <dimension ref="A2:AA158"/>
  <sheetViews>
    <sheetView workbookViewId="0">
      <pane xSplit="3" ySplit="3" topLeftCell="D117" activePane="bottomRight" state="frozen"/>
      <selection pane="topRight" activeCell="D1" sqref="D1"/>
      <selection pane="bottomLeft" activeCell="A4" sqref="A4"/>
      <selection pane="bottomRight" activeCell="A131" sqref="A131:XFD159"/>
    </sheetView>
  </sheetViews>
  <sheetFormatPr baseColWidth="10" defaultRowHeight="20"/>
  <cols>
    <col min="4" max="4" width="3" customWidth="1"/>
    <col min="5" max="7" width="9.85546875" customWidth="1"/>
    <col min="8" max="8" width="3.140625" customWidth="1"/>
    <col min="9" max="11" width="10" customWidth="1"/>
    <col min="12" max="12" width="3.140625" customWidth="1"/>
    <col min="13" max="15" width="9.85546875" customWidth="1"/>
    <col min="16" max="16" width="3.140625" customWidth="1"/>
    <col min="17" max="19" width="10" customWidth="1"/>
    <col min="20" max="20" width="3.140625" customWidth="1"/>
    <col min="21" max="23" width="9.85546875" customWidth="1"/>
    <col min="24" max="24" width="3.5703125" customWidth="1"/>
    <col min="25" max="27" width="10" customWidth="1"/>
  </cols>
  <sheetData>
    <row r="2" spans="1:27">
      <c r="B2" t="s">
        <v>0</v>
      </c>
      <c r="C2" t="s">
        <v>1</v>
      </c>
      <c r="E2" t="s">
        <v>3</v>
      </c>
      <c r="F2" t="s">
        <v>4</v>
      </c>
      <c r="I2" t="s">
        <v>3</v>
      </c>
      <c r="J2" t="s">
        <v>8</v>
      </c>
      <c r="M2" t="s">
        <v>9</v>
      </c>
      <c r="Q2" t="s">
        <v>11</v>
      </c>
      <c r="U2" t="s">
        <v>12</v>
      </c>
      <c r="Y2" t="s">
        <v>13</v>
      </c>
    </row>
    <row r="3" spans="1:27">
      <c r="B3" t="s">
        <v>2</v>
      </c>
      <c r="C3" t="s">
        <v>2</v>
      </c>
      <c r="E3" s="1" t="s">
        <v>5</v>
      </c>
      <c r="F3" s="1" t="s">
        <v>6</v>
      </c>
      <c r="G3" s="1" t="s">
        <v>7</v>
      </c>
      <c r="I3" s="1" t="s">
        <v>5</v>
      </c>
      <c r="J3" s="1" t="s">
        <v>6</v>
      </c>
      <c r="K3" s="1" t="s">
        <v>7</v>
      </c>
      <c r="M3" s="1" t="s">
        <v>10</v>
      </c>
      <c r="N3" s="1" t="s">
        <v>6</v>
      </c>
      <c r="O3" s="1" t="s">
        <v>7</v>
      </c>
      <c r="Q3" s="1" t="s">
        <v>10</v>
      </c>
      <c r="R3" s="1" t="s">
        <v>6</v>
      </c>
      <c r="S3" s="1" t="s">
        <v>7</v>
      </c>
      <c r="U3" s="1" t="s">
        <v>10</v>
      </c>
      <c r="V3" s="1" t="s">
        <v>6</v>
      </c>
      <c r="W3" s="1" t="s">
        <v>7</v>
      </c>
      <c r="Y3" s="1" t="s">
        <v>10</v>
      </c>
      <c r="Z3" s="1" t="s">
        <v>6</v>
      </c>
      <c r="AA3" s="1" t="s">
        <v>7</v>
      </c>
    </row>
    <row r="5" spans="1:27">
      <c r="A5" t="s">
        <v>14</v>
      </c>
      <c r="B5">
        <v>500</v>
      </c>
      <c r="C5">
        <v>1500</v>
      </c>
    </row>
    <row r="6" spans="1:27">
      <c r="A6" t="s">
        <v>15</v>
      </c>
      <c r="B6">
        <v>600</v>
      </c>
      <c r="C6">
        <v>1400</v>
      </c>
    </row>
    <row r="7" spans="1:27">
      <c r="A7" t="s">
        <v>16</v>
      </c>
      <c r="B7">
        <v>700</v>
      </c>
      <c r="C7">
        <v>1300</v>
      </c>
    </row>
    <row r="8" spans="1:27">
      <c r="A8" t="s">
        <v>17</v>
      </c>
      <c r="B8">
        <v>800</v>
      </c>
      <c r="C8">
        <v>1200</v>
      </c>
    </row>
    <row r="9" spans="1:27">
      <c r="B9">
        <v>900</v>
      </c>
      <c r="C9">
        <v>1100</v>
      </c>
    </row>
    <row r="10" spans="1:27">
      <c r="B10">
        <v>1000</v>
      </c>
      <c r="C10">
        <v>1000</v>
      </c>
    </row>
    <row r="11" spans="1:27">
      <c r="B11">
        <v>1100</v>
      </c>
      <c r="C11">
        <v>900</v>
      </c>
    </row>
    <row r="12" spans="1:27">
      <c r="B12">
        <v>1200</v>
      </c>
      <c r="C12">
        <v>800</v>
      </c>
    </row>
    <row r="13" spans="1:27" ht="18" customHeight="1">
      <c r="B13">
        <v>1300</v>
      </c>
      <c r="C13">
        <v>700</v>
      </c>
    </row>
    <row r="14" spans="1:27">
      <c r="B14">
        <v>1400</v>
      </c>
      <c r="C14">
        <v>600</v>
      </c>
    </row>
    <row r="15" spans="1:27">
      <c r="B15">
        <v>1500</v>
      </c>
      <c r="C15">
        <v>500</v>
      </c>
    </row>
    <row r="17" spans="1:3">
      <c r="B17">
        <v>1000</v>
      </c>
      <c r="C17">
        <v>1400</v>
      </c>
    </row>
    <row r="18" spans="1:3">
      <c r="B18">
        <v>1200</v>
      </c>
      <c r="C18">
        <v>1200</v>
      </c>
    </row>
    <row r="19" spans="1:3">
      <c r="B19">
        <v>1400</v>
      </c>
      <c r="C19">
        <v>1000</v>
      </c>
    </row>
    <row r="20" spans="1:3">
      <c r="B20">
        <v>800</v>
      </c>
      <c r="C20">
        <v>800</v>
      </c>
    </row>
    <row r="22" spans="1:3">
      <c r="B22">
        <v>500</v>
      </c>
      <c r="C22">
        <v>1500</v>
      </c>
    </row>
    <row r="23" spans="1:3">
      <c r="A23" t="s">
        <v>18</v>
      </c>
      <c r="B23">
        <v>600</v>
      </c>
      <c r="C23">
        <v>1400</v>
      </c>
    </row>
    <row r="24" spans="1:3">
      <c r="B24">
        <v>700</v>
      </c>
      <c r="C24">
        <v>1300</v>
      </c>
    </row>
    <row r="25" spans="1:3">
      <c r="B25">
        <v>800</v>
      </c>
      <c r="C25">
        <v>1200</v>
      </c>
    </row>
    <row r="26" spans="1:3">
      <c r="B26">
        <v>900</v>
      </c>
      <c r="C26">
        <v>1100</v>
      </c>
    </row>
    <row r="27" spans="1:3">
      <c r="B27">
        <v>1000</v>
      </c>
      <c r="C27">
        <v>1000</v>
      </c>
    </row>
    <row r="28" spans="1:3">
      <c r="B28">
        <v>1100</v>
      </c>
      <c r="C28">
        <v>900</v>
      </c>
    </row>
    <row r="29" spans="1:3">
      <c r="B29">
        <v>1200</v>
      </c>
      <c r="C29">
        <v>800</v>
      </c>
    </row>
    <row r="30" spans="1:3">
      <c r="B30">
        <v>1300</v>
      </c>
      <c r="C30">
        <v>700</v>
      </c>
    </row>
    <row r="31" spans="1:3">
      <c r="B31">
        <v>1400</v>
      </c>
      <c r="C31">
        <v>600</v>
      </c>
    </row>
    <row r="32" spans="1:3">
      <c r="B32">
        <v>1500</v>
      </c>
      <c r="C32">
        <v>500</v>
      </c>
    </row>
    <row r="34" spans="1:3">
      <c r="B34">
        <v>1000</v>
      </c>
      <c r="C34">
        <v>1400</v>
      </c>
    </row>
    <row r="35" spans="1:3">
      <c r="B35">
        <v>1200</v>
      </c>
      <c r="C35">
        <v>1200</v>
      </c>
    </row>
    <row r="36" spans="1:3">
      <c r="B36">
        <v>1400</v>
      </c>
      <c r="C36">
        <v>1000</v>
      </c>
    </row>
    <row r="37" spans="1:3" s="2" customFormat="1">
      <c r="B37" s="2">
        <v>800</v>
      </c>
      <c r="C37" s="2">
        <v>800</v>
      </c>
    </row>
    <row r="39" spans="1:3">
      <c r="A39" t="s">
        <v>14</v>
      </c>
      <c r="B39">
        <v>500</v>
      </c>
      <c r="C39">
        <v>1500</v>
      </c>
    </row>
    <row r="40" spans="1:3">
      <c r="A40" t="s">
        <v>19</v>
      </c>
      <c r="B40">
        <v>600</v>
      </c>
      <c r="C40">
        <v>1400</v>
      </c>
    </row>
    <row r="41" spans="1:3">
      <c r="A41" t="s">
        <v>16</v>
      </c>
      <c r="B41">
        <v>700</v>
      </c>
      <c r="C41">
        <v>1300</v>
      </c>
    </row>
    <row r="42" spans="1:3">
      <c r="A42" t="s">
        <v>17</v>
      </c>
      <c r="B42">
        <v>800</v>
      </c>
      <c r="C42">
        <v>1200</v>
      </c>
    </row>
    <row r="43" spans="1:3">
      <c r="B43">
        <v>900</v>
      </c>
      <c r="C43">
        <v>1100</v>
      </c>
    </row>
    <row r="44" spans="1:3">
      <c r="B44">
        <v>1000</v>
      </c>
      <c r="C44">
        <v>1000</v>
      </c>
    </row>
    <row r="45" spans="1:3">
      <c r="B45">
        <v>1100</v>
      </c>
      <c r="C45">
        <v>900</v>
      </c>
    </row>
    <row r="46" spans="1:3">
      <c r="B46">
        <v>1200</v>
      </c>
      <c r="C46">
        <v>800</v>
      </c>
    </row>
    <row r="47" spans="1:3">
      <c r="B47">
        <v>1300</v>
      </c>
      <c r="C47">
        <v>700</v>
      </c>
    </row>
    <row r="48" spans="1:3">
      <c r="B48">
        <v>1400</v>
      </c>
      <c r="C48">
        <v>600</v>
      </c>
    </row>
    <row r="49" spans="1:3">
      <c r="B49">
        <v>1500</v>
      </c>
      <c r="C49">
        <v>500</v>
      </c>
    </row>
    <row r="51" spans="1:3">
      <c r="B51">
        <v>1000</v>
      </c>
      <c r="C51">
        <v>1400</v>
      </c>
    </row>
    <row r="52" spans="1:3">
      <c r="B52">
        <v>1200</v>
      </c>
      <c r="C52">
        <v>1200</v>
      </c>
    </row>
    <row r="53" spans="1:3">
      <c r="B53">
        <v>1400</v>
      </c>
      <c r="C53">
        <v>1000</v>
      </c>
    </row>
    <row r="54" spans="1:3">
      <c r="B54">
        <v>800</v>
      </c>
      <c r="C54">
        <v>800</v>
      </c>
    </row>
    <row r="56" spans="1:3">
      <c r="B56">
        <v>500</v>
      </c>
      <c r="C56">
        <v>1500</v>
      </c>
    </row>
    <row r="57" spans="1:3">
      <c r="A57" t="s">
        <v>18</v>
      </c>
      <c r="B57">
        <v>600</v>
      </c>
      <c r="C57">
        <v>1400</v>
      </c>
    </row>
    <row r="58" spans="1:3">
      <c r="B58">
        <v>700</v>
      </c>
      <c r="C58">
        <v>1300</v>
      </c>
    </row>
    <row r="59" spans="1:3">
      <c r="B59">
        <v>800</v>
      </c>
      <c r="C59">
        <v>1200</v>
      </c>
    </row>
    <row r="60" spans="1:3">
      <c r="B60">
        <v>900</v>
      </c>
      <c r="C60">
        <v>1100</v>
      </c>
    </row>
    <row r="61" spans="1:3">
      <c r="B61">
        <v>1000</v>
      </c>
      <c r="C61">
        <v>1000</v>
      </c>
    </row>
    <row r="62" spans="1:3">
      <c r="B62">
        <v>1100</v>
      </c>
      <c r="C62">
        <v>900</v>
      </c>
    </row>
    <row r="63" spans="1:3">
      <c r="B63">
        <v>1200</v>
      </c>
      <c r="C63">
        <v>800</v>
      </c>
    </row>
    <row r="64" spans="1:3">
      <c r="B64">
        <v>1300</v>
      </c>
      <c r="C64">
        <v>700</v>
      </c>
    </row>
    <row r="65" spans="1:3">
      <c r="B65">
        <v>1400</v>
      </c>
      <c r="C65">
        <v>600</v>
      </c>
    </row>
    <row r="66" spans="1:3">
      <c r="B66">
        <v>1500</v>
      </c>
      <c r="C66">
        <v>500</v>
      </c>
    </row>
    <row r="68" spans="1:3">
      <c r="B68">
        <v>1000</v>
      </c>
      <c r="C68">
        <v>1400</v>
      </c>
    </row>
    <row r="69" spans="1:3">
      <c r="B69">
        <v>1200</v>
      </c>
      <c r="C69">
        <v>1200</v>
      </c>
    </row>
    <row r="70" spans="1:3">
      <c r="B70">
        <v>1400</v>
      </c>
      <c r="C70">
        <v>1000</v>
      </c>
    </row>
    <row r="71" spans="1:3">
      <c r="B71">
        <v>800</v>
      </c>
      <c r="C71">
        <v>800</v>
      </c>
    </row>
    <row r="73" spans="1:3">
      <c r="B73">
        <v>500</v>
      </c>
      <c r="C73">
        <v>1500</v>
      </c>
    </row>
    <row r="74" spans="1:3">
      <c r="A74" t="s">
        <v>20</v>
      </c>
      <c r="B74">
        <v>600</v>
      </c>
      <c r="C74">
        <v>1400</v>
      </c>
    </row>
    <row r="75" spans="1:3">
      <c r="B75">
        <v>700</v>
      </c>
      <c r="C75">
        <v>1300</v>
      </c>
    </row>
    <row r="76" spans="1:3">
      <c r="B76">
        <v>800</v>
      </c>
      <c r="C76">
        <v>1200</v>
      </c>
    </row>
    <row r="77" spans="1:3">
      <c r="B77">
        <v>900</v>
      </c>
      <c r="C77">
        <v>1100</v>
      </c>
    </row>
    <row r="78" spans="1:3">
      <c r="B78">
        <v>1000</v>
      </c>
      <c r="C78">
        <v>1000</v>
      </c>
    </row>
    <row r="79" spans="1:3">
      <c r="B79">
        <v>1100</v>
      </c>
      <c r="C79">
        <v>900</v>
      </c>
    </row>
    <row r="80" spans="1:3">
      <c r="B80">
        <v>1200</v>
      </c>
      <c r="C80">
        <v>800</v>
      </c>
    </row>
    <row r="81" spans="1:3">
      <c r="B81">
        <v>1300</v>
      </c>
      <c r="C81">
        <v>700</v>
      </c>
    </row>
    <row r="82" spans="1:3">
      <c r="B82">
        <v>1400</v>
      </c>
      <c r="C82">
        <v>600</v>
      </c>
    </row>
    <row r="83" spans="1:3">
      <c r="B83">
        <v>1500</v>
      </c>
      <c r="C83">
        <v>500</v>
      </c>
    </row>
    <row r="85" spans="1:3">
      <c r="B85">
        <v>1000</v>
      </c>
      <c r="C85">
        <v>1400</v>
      </c>
    </row>
    <row r="86" spans="1:3">
      <c r="B86">
        <v>1200</v>
      </c>
      <c r="C86">
        <v>1200</v>
      </c>
    </row>
    <row r="87" spans="1:3">
      <c r="B87">
        <v>1400</v>
      </c>
      <c r="C87">
        <v>1000</v>
      </c>
    </row>
    <row r="88" spans="1:3" s="2" customFormat="1">
      <c r="B88" s="2">
        <v>800</v>
      </c>
      <c r="C88" s="2">
        <v>800</v>
      </c>
    </row>
    <row r="90" spans="1:3">
      <c r="A90" t="s">
        <v>14</v>
      </c>
      <c r="B90">
        <v>500</v>
      </c>
      <c r="C90">
        <v>1500</v>
      </c>
    </row>
    <row r="91" spans="1:3">
      <c r="A91" t="s">
        <v>21</v>
      </c>
      <c r="B91">
        <v>600</v>
      </c>
      <c r="C91">
        <v>1400</v>
      </c>
    </row>
    <row r="92" spans="1:3">
      <c r="A92" t="s">
        <v>16</v>
      </c>
      <c r="B92">
        <v>700</v>
      </c>
      <c r="C92">
        <v>1300</v>
      </c>
    </row>
    <row r="93" spans="1:3">
      <c r="A93" t="s">
        <v>17</v>
      </c>
      <c r="B93">
        <v>800</v>
      </c>
      <c r="C93">
        <v>1200</v>
      </c>
    </row>
    <row r="94" spans="1:3">
      <c r="B94">
        <v>900</v>
      </c>
      <c r="C94">
        <v>1100</v>
      </c>
    </row>
    <row r="95" spans="1:3">
      <c r="B95">
        <v>1000</v>
      </c>
      <c r="C95">
        <v>1000</v>
      </c>
    </row>
    <row r="96" spans="1:3">
      <c r="B96">
        <v>1100</v>
      </c>
      <c r="C96">
        <v>900</v>
      </c>
    </row>
    <row r="97" spans="1:3">
      <c r="B97">
        <v>1200</v>
      </c>
      <c r="C97">
        <v>800</v>
      </c>
    </row>
    <row r="98" spans="1:3">
      <c r="B98">
        <v>1300</v>
      </c>
      <c r="C98">
        <v>700</v>
      </c>
    </row>
    <row r="99" spans="1:3">
      <c r="B99">
        <v>1400</v>
      </c>
      <c r="C99">
        <v>600</v>
      </c>
    </row>
    <row r="100" spans="1:3">
      <c r="B100">
        <v>1500</v>
      </c>
      <c r="C100">
        <v>500</v>
      </c>
    </row>
    <row r="102" spans="1:3">
      <c r="B102">
        <v>1200</v>
      </c>
      <c r="C102">
        <v>1200</v>
      </c>
    </row>
    <row r="104" spans="1:3">
      <c r="B104">
        <v>500</v>
      </c>
      <c r="C104">
        <v>1500</v>
      </c>
    </row>
    <row r="105" spans="1:3">
      <c r="A105" t="s">
        <v>18</v>
      </c>
      <c r="B105">
        <v>600</v>
      </c>
      <c r="C105">
        <v>1400</v>
      </c>
    </row>
    <row r="106" spans="1:3">
      <c r="B106">
        <v>700</v>
      </c>
      <c r="C106">
        <v>1300</v>
      </c>
    </row>
    <row r="107" spans="1:3">
      <c r="B107">
        <v>800</v>
      </c>
      <c r="C107">
        <v>1200</v>
      </c>
    </row>
    <row r="108" spans="1:3">
      <c r="B108">
        <v>900</v>
      </c>
      <c r="C108">
        <v>1100</v>
      </c>
    </row>
    <row r="109" spans="1:3">
      <c r="B109">
        <v>1000</v>
      </c>
      <c r="C109">
        <v>1000</v>
      </c>
    </row>
    <row r="110" spans="1:3">
      <c r="B110">
        <v>1100</v>
      </c>
      <c r="C110">
        <v>900</v>
      </c>
    </row>
    <row r="111" spans="1:3">
      <c r="B111">
        <v>1200</v>
      </c>
      <c r="C111">
        <v>800</v>
      </c>
    </row>
    <row r="112" spans="1:3">
      <c r="B112">
        <v>1300</v>
      </c>
      <c r="C112">
        <v>700</v>
      </c>
    </row>
    <row r="113" spans="1:3">
      <c r="B113">
        <v>1400</v>
      </c>
      <c r="C113">
        <v>600</v>
      </c>
    </row>
    <row r="114" spans="1:3">
      <c r="B114">
        <v>1500</v>
      </c>
      <c r="C114">
        <v>500</v>
      </c>
    </row>
    <row r="116" spans="1:3">
      <c r="B116">
        <v>1200</v>
      </c>
      <c r="C116">
        <v>1200</v>
      </c>
    </row>
    <row r="118" spans="1:3">
      <c r="B118">
        <v>500</v>
      </c>
      <c r="C118">
        <v>1500</v>
      </c>
    </row>
    <row r="119" spans="1:3">
      <c r="A119" t="s">
        <v>20</v>
      </c>
      <c r="B119">
        <v>600</v>
      </c>
      <c r="C119">
        <v>1400</v>
      </c>
    </row>
    <row r="120" spans="1:3">
      <c r="B120">
        <v>700</v>
      </c>
      <c r="C120">
        <v>1300</v>
      </c>
    </row>
    <row r="121" spans="1:3">
      <c r="B121">
        <v>800</v>
      </c>
      <c r="C121">
        <v>1200</v>
      </c>
    </row>
    <row r="122" spans="1:3">
      <c r="B122">
        <v>900</v>
      </c>
      <c r="C122">
        <v>1100</v>
      </c>
    </row>
    <row r="123" spans="1:3">
      <c r="B123">
        <v>1000</v>
      </c>
      <c r="C123">
        <v>1000</v>
      </c>
    </row>
    <row r="124" spans="1:3">
      <c r="B124">
        <v>1100</v>
      </c>
      <c r="C124">
        <v>900</v>
      </c>
    </row>
    <row r="125" spans="1:3">
      <c r="B125">
        <v>1200</v>
      </c>
      <c r="C125">
        <v>800</v>
      </c>
    </row>
    <row r="126" spans="1:3">
      <c r="B126">
        <v>1300</v>
      </c>
      <c r="C126">
        <v>700</v>
      </c>
    </row>
    <row r="127" spans="1:3">
      <c r="B127">
        <v>1400</v>
      </c>
      <c r="C127">
        <v>600</v>
      </c>
    </row>
    <row r="128" spans="1:3">
      <c r="B128">
        <v>1500</v>
      </c>
      <c r="C128">
        <v>500</v>
      </c>
    </row>
    <row r="130" spans="1:3">
      <c r="B130">
        <v>1200</v>
      </c>
      <c r="C130">
        <v>1200</v>
      </c>
    </row>
    <row r="131" spans="1:3" s="2" customFormat="1"/>
    <row r="134" spans="1:3">
      <c r="A134" t="s">
        <v>14</v>
      </c>
      <c r="B134">
        <v>600</v>
      </c>
      <c r="C134">
        <v>1400</v>
      </c>
    </row>
    <row r="135" spans="1:3">
      <c r="A135" t="s">
        <v>52</v>
      </c>
    </row>
    <row r="136" spans="1:3">
      <c r="A136" t="s">
        <v>16</v>
      </c>
      <c r="B136">
        <v>1000</v>
      </c>
      <c r="C136">
        <v>1000</v>
      </c>
    </row>
    <row r="137" spans="1:3">
      <c r="A137" t="s">
        <v>17</v>
      </c>
    </row>
    <row r="138" spans="1:3">
      <c r="B138">
        <v>1400</v>
      </c>
      <c r="C138">
        <v>600</v>
      </c>
    </row>
    <row r="140" spans="1:3">
      <c r="B140">
        <v>1200</v>
      </c>
      <c r="C140">
        <v>1200</v>
      </c>
    </row>
    <row r="143" spans="1:3">
      <c r="A143" t="s">
        <v>18</v>
      </c>
      <c r="B143">
        <v>600</v>
      </c>
      <c r="C143">
        <v>1400</v>
      </c>
    </row>
    <row r="145" spans="1:3">
      <c r="B145">
        <v>1000</v>
      </c>
      <c r="C145">
        <v>1000</v>
      </c>
    </row>
    <row r="147" spans="1:3">
      <c r="B147">
        <v>1400</v>
      </c>
      <c r="C147">
        <v>600</v>
      </c>
    </row>
    <row r="149" spans="1:3">
      <c r="B149">
        <v>1200</v>
      </c>
      <c r="C149">
        <v>1200</v>
      </c>
    </row>
    <row r="152" spans="1:3">
      <c r="A152" t="s">
        <v>20</v>
      </c>
      <c r="B152">
        <v>600</v>
      </c>
      <c r="C152">
        <v>1400</v>
      </c>
    </row>
    <row r="154" spans="1:3">
      <c r="B154">
        <v>1000</v>
      </c>
      <c r="C154">
        <v>1000</v>
      </c>
    </row>
    <row r="156" spans="1:3">
      <c r="B156">
        <v>1400</v>
      </c>
      <c r="C156">
        <v>600</v>
      </c>
    </row>
    <row r="158" spans="1:3">
      <c r="B158">
        <v>1200</v>
      </c>
      <c r="C158">
        <v>1200</v>
      </c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EA1EF-F93C-2048-925B-7831AA334FB2}">
  <dimension ref="B3:J19"/>
  <sheetViews>
    <sheetView workbookViewId="0">
      <selection activeCell="B3" sqref="B3:E8"/>
    </sheetView>
  </sheetViews>
  <sheetFormatPr baseColWidth="10" defaultRowHeight="20"/>
  <sheetData>
    <row r="3" spans="2:10"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</row>
    <row r="4" spans="2:10">
      <c r="B4">
        <v>1</v>
      </c>
      <c r="C4">
        <v>13.495900000000001</v>
      </c>
      <c r="D4">
        <v>13.307499999999999</v>
      </c>
      <c r="E4">
        <v>13.3492</v>
      </c>
      <c r="F4">
        <v>12.0641</v>
      </c>
      <c r="G4">
        <v>12.5297</v>
      </c>
      <c r="H4">
        <v>11.726699999999999</v>
      </c>
      <c r="I4">
        <v>13.4322</v>
      </c>
    </row>
    <row r="5" spans="2:10">
      <c r="B5">
        <v>2</v>
      </c>
      <c r="C5">
        <v>12.071999999999999</v>
      </c>
      <c r="D5">
        <v>11.9626</v>
      </c>
      <c r="E5">
        <v>12.017200000000001</v>
      </c>
      <c r="F5">
        <v>11.556100000000001</v>
      </c>
      <c r="G5">
        <v>11.746600000000001</v>
      </c>
      <c r="H5">
        <v>10.013</v>
      </c>
      <c r="I5">
        <v>11.4915</v>
      </c>
    </row>
    <row r="6" spans="2:10">
      <c r="B6">
        <v>3</v>
      </c>
      <c r="C6">
        <v>11.3432</v>
      </c>
      <c r="D6">
        <v>11.4078</v>
      </c>
      <c r="E6">
        <v>11.267799999999999</v>
      </c>
      <c r="F6">
        <v>10.0128</v>
      </c>
      <c r="G6">
        <v>10.948499999999999</v>
      </c>
      <c r="H6">
        <v>8.8713999999999995</v>
      </c>
      <c r="I6">
        <v>10.4533</v>
      </c>
    </row>
    <row r="7" spans="2:10">
      <c r="B7">
        <v>4</v>
      </c>
      <c r="C7">
        <v>9.2585999999999995</v>
      </c>
      <c r="D7">
        <v>9.3597999999999999</v>
      </c>
      <c r="E7">
        <v>9.8650000000000002</v>
      </c>
      <c r="F7">
        <v>8.6357999999999997</v>
      </c>
      <c r="G7">
        <v>9.4963999999999995</v>
      </c>
      <c r="H7">
        <v>7.6787000000000001</v>
      </c>
      <c r="I7">
        <v>8.8222000000000005</v>
      </c>
    </row>
    <row r="8" spans="2:10">
      <c r="B8">
        <v>5</v>
      </c>
      <c r="C8">
        <v>9.5658999999999992</v>
      </c>
      <c r="D8">
        <v>9.3904999999999994</v>
      </c>
      <c r="E8">
        <v>9.4822000000000006</v>
      </c>
      <c r="F8">
        <v>8.7871000000000006</v>
      </c>
      <c r="G8">
        <v>9.4487000000000005</v>
      </c>
      <c r="H8">
        <v>7.8413000000000004</v>
      </c>
      <c r="I8">
        <v>8.6913</v>
      </c>
    </row>
    <row r="12" spans="2:10">
      <c r="F12">
        <v>1</v>
      </c>
      <c r="G12">
        <v>2</v>
      </c>
      <c r="H12">
        <v>3</v>
      </c>
      <c r="I12">
        <v>4</v>
      </c>
      <c r="J12">
        <v>5</v>
      </c>
    </row>
    <row r="13" spans="2:10">
      <c r="E13" t="s">
        <v>30</v>
      </c>
      <c r="F13">
        <v>13.495900000000001</v>
      </c>
      <c r="G13">
        <v>12.071999999999999</v>
      </c>
      <c r="H13">
        <v>11.3432</v>
      </c>
      <c r="I13">
        <v>9.2585999999999995</v>
      </c>
      <c r="J13">
        <v>9.5658999999999992</v>
      </c>
    </row>
    <row r="14" spans="2:10">
      <c r="E14" t="s">
        <v>31</v>
      </c>
      <c r="F14">
        <v>13.307499999999999</v>
      </c>
      <c r="G14">
        <v>11.9626</v>
      </c>
      <c r="H14">
        <v>11.4078</v>
      </c>
      <c r="I14">
        <v>9.3597999999999999</v>
      </c>
      <c r="J14">
        <v>9.3904999999999994</v>
      </c>
    </row>
    <row r="15" spans="2:10">
      <c r="E15" t="s">
        <v>32</v>
      </c>
      <c r="F15">
        <v>13.3492</v>
      </c>
      <c r="G15">
        <v>12.017200000000001</v>
      </c>
      <c r="H15">
        <v>11.267799999999999</v>
      </c>
      <c r="I15">
        <v>9.8650000000000002</v>
      </c>
      <c r="J15">
        <v>9.4822000000000006</v>
      </c>
    </row>
    <row r="16" spans="2:10">
      <c r="E16" t="s">
        <v>33</v>
      </c>
      <c r="F16">
        <v>12.0641</v>
      </c>
      <c r="G16">
        <v>11.556100000000001</v>
      </c>
      <c r="H16">
        <v>10.0128</v>
      </c>
      <c r="I16">
        <v>8.6357999999999997</v>
      </c>
      <c r="J16">
        <v>8.7871000000000006</v>
      </c>
    </row>
    <row r="17" spans="5:10">
      <c r="E17" t="s">
        <v>34</v>
      </c>
      <c r="F17">
        <v>12.5297</v>
      </c>
      <c r="G17">
        <v>11.746600000000001</v>
      </c>
      <c r="H17">
        <v>10.948499999999999</v>
      </c>
      <c r="I17">
        <v>9.4963999999999995</v>
      </c>
      <c r="J17">
        <v>9.4487000000000005</v>
      </c>
    </row>
    <row r="18" spans="5:10">
      <c r="E18" t="s">
        <v>35</v>
      </c>
      <c r="F18">
        <v>11.726699999999999</v>
      </c>
      <c r="G18">
        <v>10.013</v>
      </c>
      <c r="H18">
        <v>8.8713999999999995</v>
      </c>
      <c r="I18">
        <v>7.6787000000000001</v>
      </c>
      <c r="J18">
        <v>7.8413000000000004</v>
      </c>
    </row>
    <row r="19" spans="5:10">
      <c r="E19" t="s">
        <v>36</v>
      </c>
      <c r="F19">
        <v>13.4322</v>
      </c>
      <c r="G19">
        <v>11.4915</v>
      </c>
      <c r="H19">
        <v>10.4533</v>
      </c>
      <c r="I19">
        <v>8.8222000000000005</v>
      </c>
      <c r="J19">
        <v>8.6913</v>
      </c>
    </row>
  </sheetData>
  <phoneticPr fontId="2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3716-5E1F-B244-823D-96AEAF37103D}">
  <dimension ref="B3:K15"/>
  <sheetViews>
    <sheetView topLeftCell="A9" zoomScale="125" workbookViewId="0">
      <selection activeCell="I4" sqref="I4"/>
    </sheetView>
  </sheetViews>
  <sheetFormatPr baseColWidth="10" defaultRowHeight="20"/>
  <sheetData>
    <row r="3" spans="2:11">
      <c r="B3" s="5"/>
      <c r="C3" s="5" t="s">
        <v>37</v>
      </c>
      <c r="D3" t="s">
        <v>23</v>
      </c>
      <c r="E3" t="s">
        <v>24</v>
      </c>
      <c r="F3" t="s">
        <v>25</v>
      </c>
      <c r="G3" t="s">
        <v>55</v>
      </c>
      <c r="H3" t="s">
        <v>27</v>
      </c>
      <c r="I3" s="6" t="s">
        <v>56</v>
      </c>
    </row>
    <row r="4" spans="2:11">
      <c r="B4">
        <v>1400</v>
      </c>
      <c r="C4">
        <v>600</v>
      </c>
      <c r="D4">
        <v>12.912800000000001</v>
      </c>
      <c r="E4">
        <v>12.724399999999999</v>
      </c>
      <c r="F4">
        <v>12.733700000000001</v>
      </c>
      <c r="G4">
        <v>11.181900000000001</v>
      </c>
      <c r="H4">
        <v>11.8209</v>
      </c>
      <c r="I4">
        <v>12.799799999999999</v>
      </c>
      <c r="K4">
        <f>12.7244/11.8209</f>
        <v>1.0764324205432749</v>
      </c>
    </row>
    <row r="5" spans="2:11">
      <c r="B5">
        <v>1200</v>
      </c>
      <c r="C5">
        <v>800</v>
      </c>
      <c r="D5">
        <v>11.358499999999999</v>
      </c>
      <c r="E5">
        <v>11.226900000000001</v>
      </c>
      <c r="F5">
        <v>11.2896</v>
      </c>
      <c r="G5">
        <v>10.7149</v>
      </c>
      <c r="H5">
        <v>11.021100000000001</v>
      </c>
      <c r="I5">
        <v>10.6028</v>
      </c>
    </row>
    <row r="6" spans="2:11">
      <c r="B6">
        <v>1000</v>
      </c>
      <c r="C6">
        <v>1000</v>
      </c>
      <c r="D6">
        <v>10.545199999999999</v>
      </c>
      <c r="E6">
        <v>10.587</v>
      </c>
      <c r="F6">
        <v>10.4581</v>
      </c>
      <c r="G6">
        <v>8.9238</v>
      </c>
      <c r="H6">
        <v>10.0997</v>
      </c>
      <c r="I6">
        <v>9.3973999999999993</v>
      </c>
    </row>
    <row r="7" spans="2:11">
      <c r="B7">
        <v>800</v>
      </c>
      <c r="C7">
        <v>1200</v>
      </c>
      <c r="D7">
        <v>8.1353000000000009</v>
      </c>
      <c r="E7">
        <v>8.2608999999999995</v>
      </c>
      <c r="F7">
        <v>8.8178000000000001</v>
      </c>
      <c r="G7">
        <v>7.3045999999999998</v>
      </c>
      <c r="H7">
        <v>8.4210999999999991</v>
      </c>
      <c r="I7">
        <v>7.5075000000000003</v>
      </c>
    </row>
    <row r="8" spans="2:11">
      <c r="B8">
        <v>600</v>
      </c>
      <c r="C8">
        <v>1400</v>
      </c>
      <c r="D8">
        <v>8.6292000000000009</v>
      </c>
      <c r="E8">
        <v>8.4261999999999997</v>
      </c>
      <c r="F8">
        <v>8.5376999999999992</v>
      </c>
      <c r="G8">
        <v>7.6439000000000004</v>
      </c>
      <c r="H8">
        <v>8.5114999999999998</v>
      </c>
      <c r="I8">
        <v>7.5193000000000003</v>
      </c>
      <c r="K8">
        <f>8.4262/7.6439</f>
        <v>1.1023430447808056</v>
      </c>
    </row>
    <row r="10" spans="2:11">
      <c r="D10">
        <f>AVERAGE(D4:D8)</f>
        <v>10.3162</v>
      </c>
      <c r="E10">
        <f t="shared" ref="E10:I10" si="0">AVERAGE(E4:E8)</f>
        <v>10.24508</v>
      </c>
      <c r="F10">
        <f t="shared" si="0"/>
        <v>10.367380000000001</v>
      </c>
      <c r="G10">
        <f t="shared" si="0"/>
        <v>9.1538199999999996</v>
      </c>
      <c r="H10">
        <f t="shared" si="0"/>
        <v>9.9748599999999978</v>
      </c>
      <c r="I10">
        <f t="shared" si="0"/>
        <v>9.5653600000000001</v>
      </c>
    </row>
    <row r="14" spans="2:11">
      <c r="D14" t="s">
        <v>48</v>
      </c>
      <c r="E14">
        <f>10.36738/9.97486</f>
        <v>1.0393509282335793</v>
      </c>
    </row>
    <row r="15" spans="2:11">
      <c r="D15" t="s">
        <v>49</v>
      </c>
      <c r="E15">
        <f>10.36738/9.15382</f>
        <v>1.1325741602959203</v>
      </c>
    </row>
  </sheetData>
  <phoneticPr fontId="2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9817-5E5D-DD48-8C61-4CBACEA75F8F}">
  <dimension ref="B3:L6"/>
  <sheetViews>
    <sheetView topLeftCell="B1" zoomScale="117" zoomScaleNormal="150" workbookViewId="0">
      <selection activeCell="I4" sqref="I4"/>
    </sheetView>
  </sheetViews>
  <sheetFormatPr baseColWidth="10" defaultRowHeight="20"/>
  <sheetData>
    <row r="3" spans="2:12">
      <c r="B3" s="5"/>
      <c r="C3" s="5" t="s">
        <v>37</v>
      </c>
      <c r="D3" t="s">
        <v>23</v>
      </c>
      <c r="E3" t="s">
        <v>24</v>
      </c>
      <c r="F3" t="s">
        <v>25</v>
      </c>
      <c r="G3" t="s">
        <v>55</v>
      </c>
      <c r="H3" t="s">
        <v>27</v>
      </c>
      <c r="I3" s="6" t="s">
        <v>56</v>
      </c>
    </row>
    <row r="4" spans="2:12">
      <c r="C4">
        <v>800</v>
      </c>
      <c r="D4">
        <v>12.771000000000001</v>
      </c>
      <c r="E4">
        <v>12.900499999999999</v>
      </c>
      <c r="F4">
        <v>12.830399999999999</v>
      </c>
      <c r="G4">
        <v>12.1412</v>
      </c>
      <c r="H4">
        <v>12.797599999999999</v>
      </c>
      <c r="I4">
        <v>13.027900000000001</v>
      </c>
      <c r="L4">
        <f>12.771/12.1412</f>
        <v>1.0518729614865088</v>
      </c>
    </row>
    <row r="5" spans="2:12">
      <c r="C5">
        <v>1000</v>
      </c>
      <c r="D5">
        <v>10.545199999999999</v>
      </c>
      <c r="E5">
        <v>10.587</v>
      </c>
      <c r="F5">
        <v>10.4581</v>
      </c>
      <c r="G5">
        <v>8.9238</v>
      </c>
      <c r="H5">
        <v>10.0997</v>
      </c>
      <c r="I5">
        <v>9.3973999999999993</v>
      </c>
      <c r="L5">
        <f>10.4581/10.0997</f>
        <v>1.0354862025604721</v>
      </c>
    </row>
    <row r="6" spans="2:12">
      <c r="C6">
        <v>1200</v>
      </c>
      <c r="D6">
        <v>8.2982999999999993</v>
      </c>
      <c r="E6">
        <v>8.2182999999999993</v>
      </c>
      <c r="F6">
        <v>8.3038000000000007</v>
      </c>
      <c r="G6">
        <v>7.4180999999999999</v>
      </c>
      <c r="H6">
        <v>8.2623999999999995</v>
      </c>
      <c r="I6">
        <v>7.6138000000000003</v>
      </c>
      <c r="L6">
        <f>8.2183/7.6138</f>
        <v>1.0793953085187422</v>
      </c>
    </row>
  </sheetData>
  <phoneticPr fontId="2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A4B07-FCC4-BB41-8EA0-70289EFCBE68}">
  <dimension ref="B2:G66"/>
  <sheetViews>
    <sheetView topLeftCell="B2" workbookViewId="0">
      <selection activeCell="G4" sqref="G4"/>
    </sheetView>
  </sheetViews>
  <sheetFormatPr baseColWidth="10" defaultRowHeight="20"/>
  <sheetData>
    <row r="2" spans="2:7">
      <c r="B2" t="s">
        <v>40</v>
      </c>
    </row>
    <row r="3" spans="2:7">
      <c r="C3" s="5"/>
      <c r="D3" t="s">
        <v>23</v>
      </c>
      <c r="E3" t="s">
        <v>55</v>
      </c>
      <c r="F3" t="s">
        <v>27</v>
      </c>
      <c r="G3" s="6" t="s">
        <v>56</v>
      </c>
    </row>
    <row r="4" spans="2:7">
      <c r="C4">
        <v>50</v>
      </c>
      <c r="D4">
        <v>10.8058</v>
      </c>
      <c r="E4">
        <v>10.071300000000001</v>
      </c>
      <c r="F4">
        <v>9.9295000000000009</v>
      </c>
      <c r="G4">
        <v>10.071300000000001</v>
      </c>
    </row>
    <row r="5" spans="2:7">
      <c r="C5">
        <v>100</v>
      </c>
      <c r="D5">
        <v>12.912800000000001</v>
      </c>
      <c r="E5">
        <v>11.181900000000001</v>
      </c>
      <c r="F5">
        <v>11.8209</v>
      </c>
      <c r="G5">
        <v>12.799799999999999</v>
      </c>
    </row>
    <row r="6" spans="2:7">
      <c r="C6">
        <v>200</v>
      </c>
      <c r="D6">
        <v>13.3619</v>
      </c>
      <c r="E6">
        <v>12.814399999999999</v>
      </c>
      <c r="F6">
        <v>12.117900000000001</v>
      </c>
      <c r="G6">
        <v>13.8566</v>
      </c>
    </row>
    <row r="9" spans="2:7">
      <c r="B9" t="s">
        <v>41</v>
      </c>
    </row>
    <row r="10" spans="2:7">
      <c r="C10" s="5"/>
      <c r="D10" t="s">
        <v>23</v>
      </c>
      <c r="E10" t="s">
        <v>55</v>
      </c>
      <c r="F10" t="s">
        <v>27</v>
      </c>
      <c r="G10" s="6" t="s">
        <v>56</v>
      </c>
    </row>
    <row r="11" spans="2:7">
      <c r="C11">
        <v>50</v>
      </c>
      <c r="D11">
        <v>9.2523999999999997</v>
      </c>
      <c r="E11">
        <v>7.1645000000000003</v>
      </c>
      <c r="F11">
        <v>9.5365000000000002</v>
      </c>
      <c r="G11">
        <v>7.1645000000000003</v>
      </c>
    </row>
    <row r="12" spans="2:7">
      <c r="C12">
        <v>100</v>
      </c>
      <c r="D12">
        <v>10.545199999999999</v>
      </c>
      <c r="E12">
        <v>8.9238</v>
      </c>
      <c r="F12">
        <v>10.0997</v>
      </c>
      <c r="G12">
        <v>9.3973999999999993</v>
      </c>
    </row>
    <row r="13" spans="2:7">
      <c r="C13">
        <v>200</v>
      </c>
      <c r="D13">
        <v>12.153600000000001</v>
      </c>
      <c r="E13">
        <v>12.3886</v>
      </c>
      <c r="F13">
        <v>10.0823</v>
      </c>
      <c r="G13">
        <v>12.736800000000001</v>
      </c>
    </row>
    <row r="16" spans="2:7">
      <c r="B16" t="s">
        <v>42</v>
      </c>
    </row>
    <row r="17" spans="2:7">
      <c r="C17" s="5"/>
      <c r="D17" t="s">
        <v>23</v>
      </c>
      <c r="E17" t="s">
        <v>55</v>
      </c>
      <c r="F17" t="s">
        <v>27</v>
      </c>
      <c r="G17" s="6" t="s">
        <v>56</v>
      </c>
    </row>
    <row r="18" spans="2:7">
      <c r="C18">
        <v>50</v>
      </c>
      <c r="D18">
        <v>7.8380000000000001</v>
      </c>
      <c r="E18">
        <v>5.8512000000000004</v>
      </c>
      <c r="F18">
        <v>7.6917999999999997</v>
      </c>
      <c r="G18">
        <v>5.4938000000000002</v>
      </c>
    </row>
    <row r="19" spans="2:7">
      <c r="C19">
        <v>100</v>
      </c>
      <c r="D19">
        <v>8.6292000000000009</v>
      </c>
      <c r="E19">
        <v>7.6439000000000004</v>
      </c>
      <c r="F19">
        <v>8.5114999999999998</v>
      </c>
      <c r="G19">
        <v>7.5193000000000003</v>
      </c>
    </row>
    <row r="20" spans="2:7">
      <c r="C20">
        <v>200</v>
      </c>
      <c r="D20">
        <v>11.6881</v>
      </c>
      <c r="E20">
        <v>12.202999999999999</v>
      </c>
      <c r="F20">
        <v>10.7783</v>
      </c>
      <c r="G20">
        <v>11.864100000000001</v>
      </c>
    </row>
    <row r="24" spans="2:7">
      <c r="B24" t="s">
        <v>43</v>
      </c>
      <c r="C24" s="5"/>
      <c r="D24" t="s">
        <v>23</v>
      </c>
      <c r="E24" t="s">
        <v>55</v>
      </c>
      <c r="F24" t="s">
        <v>27</v>
      </c>
      <c r="G24" s="6" t="s">
        <v>56</v>
      </c>
    </row>
    <row r="25" spans="2:7">
      <c r="C25">
        <v>50</v>
      </c>
      <c r="D25">
        <v>7.4074</v>
      </c>
      <c r="E25">
        <v>6.3771000000000004</v>
      </c>
      <c r="F25">
        <v>7.8362999999999996</v>
      </c>
      <c r="G25">
        <v>6.3771000000000004</v>
      </c>
    </row>
    <row r="26" spans="2:7">
      <c r="C26">
        <v>100</v>
      </c>
      <c r="D26">
        <v>8.2982999999999993</v>
      </c>
      <c r="E26">
        <v>7.4180999999999999</v>
      </c>
      <c r="F26">
        <v>8.2623999999999995</v>
      </c>
      <c r="G26">
        <v>7.6138000000000003</v>
      </c>
    </row>
    <row r="27" spans="2:7">
      <c r="C27">
        <v>200</v>
      </c>
      <c r="D27">
        <v>9.8841999999999999</v>
      </c>
      <c r="E27">
        <v>9.8204999999999991</v>
      </c>
      <c r="F27">
        <v>8.4916</v>
      </c>
      <c r="G27">
        <v>10.667400000000001</v>
      </c>
    </row>
    <row r="34" spans="2:7" s="2" customFormat="1"/>
    <row r="37" spans="2:7">
      <c r="B37" t="s">
        <v>40</v>
      </c>
    </row>
    <row r="38" spans="2:7">
      <c r="C38" s="5"/>
      <c r="D38" t="s">
        <v>23</v>
      </c>
      <c r="E38" t="s">
        <v>26</v>
      </c>
      <c r="F38" t="s">
        <v>27</v>
      </c>
      <c r="G38" s="6" t="s">
        <v>39</v>
      </c>
    </row>
    <row r="39" spans="2:7">
      <c r="C39">
        <v>50</v>
      </c>
      <c r="D39">
        <v>10.8058</v>
      </c>
      <c r="E39">
        <v>10.071300000000001</v>
      </c>
      <c r="F39">
        <v>9.9295000000000009</v>
      </c>
      <c r="G39">
        <v>10.071300000000001</v>
      </c>
    </row>
    <row r="40" spans="2:7">
      <c r="C40">
        <v>100</v>
      </c>
      <c r="D40">
        <v>12.912800000000001</v>
      </c>
      <c r="E40">
        <v>11.181900000000001</v>
      </c>
      <c r="F40">
        <v>11.8209</v>
      </c>
      <c r="G40">
        <v>12.799799999999999</v>
      </c>
    </row>
    <row r="41" spans="2:7">
      <c r="C41">
        <v>150</v>
      </c>
      <c r="D41">
        <v>12.9968</v>
      </c>
      <c r="E41">
        <v>12.584199999999999</v>
      </c>
      <c r="F41">
        <v>11.684200000000001</v>
      </c>
      <c r="G41">
        <v>13.0936</v>
      </c>
    </row>
    <row r="42" spans="2:7">
      <c r="C42">
        <v>200</v>
      </c>
      <c r="D42">
        <v>13.3619</v>
      </c>
      <c r="E42">
        <v>12.814399999999999</v>
      </c>
      <c r="F42">
        <v>12.117900000000001</v>
      </c>
      <c r="G42">
        <v>13.8566</v>
      </c>
    </row>
    <row r="45" spans="2:7">
      <c r="B45" t="s">
        <v>41</v>
      </c>
    </row>
    <row r="46" spans="2:7">
      <c r="C46" s="5"/>
      <c r="D46" t="s">
        <v>23</v>
      </c>
      <c r="E46" t="s">
        <v>26</v>
      </c>
      <c r="F46" t="s">
        <v>27</v>
      </c>
      <c r="G46" s="6" t="s">
        <v>39</v>
      </c>
    </row>
    <row r="47" spans="2:7">
      <c r="C47">
        <v>50</v>
      </c>
      <c r="D47">
        <v>9.2523999999999997</v>
      </c>
      <c r="E47">
        <v>7.1645000000000003</v>
      </c>
      <c r="F47">
        <v>9.5365000000000002</v>
      </c>
      <c r="G47">
        <v>7.1645000000000003</v>
      </c>
    </row>
    <row r="48" spans="2:7">
      <c r="C48">
        <v>100</v>
      </c>
      <c r="D48">
        <v>10.545199999999999</v>
      </c>
      <c r="E48">
        <v>8.9238</v>
      </c>
      <c r="F48">
        <v>10.0997</v>
      </c>
      <c r="G48">
        <v>9.3973999999999993</v>
      </c>
    </row>
    <row r="49" spans="2:7">
      <c r="C49">
        <v>150</v>
      </c>
      <c r="D49">
        <v>11.448399999999999</v>
      </c>
      <c r="E49">
        <v>11.614599999999999</v>
      </c>
      <c r="F49">
        <v>9.7111000000000001</v>
      </c>
      <c r="G49">
        <v>12.181100000000001</v>
      </c>
    </row>
    <row r="50" spans="2:7">
      <c r="C50">
        <v>200</v>
      </c>
      <c r="D50">
        <v>12.153600000000001</v>
      </c>
      <c r="E50">
        <v>12.3886</v>
      </c>
      <c r="F50">
        <v>10.0823</v>
      </c>
      <c r="G50">
        <v>12.736800000000001</v>
      </c>
    </row>
    <row r="53" spans="2:7">
      <c r="B53" t="s">
        <v>42</v>
      </c>
    </row>
    <row r="54" spans="2:7">
      <c r="C54" s="5"/>
      <c r="D54" t="s">
        <v>23</v>
      </c>
      <c r="E54" t="s">
        <v>26</v>
      </c>
      <c r="F54" t="s">
        <v>27</v>
      </c>
      <c r="G54" s="6" t="s">
        <v>39</v>
      </c>
    </row>
    <row r="55" spans="2:7">
      <c r="C55">
        <v>50</v>
      </c>
      <c r="D55">
        <v>7.8380000000000001</v>
      </c>
      <c r="E55">
        <v>5.8512000000000004</v>
      </c>
      <c r="F55">
        <v>7.6917999999999997</v>
      </c>
      <c r="G55">
        <v>5.4938000000000002</v>
      </c>
    </row>
    <row r="56" spans="2:7">
      <c r="C56">
        <v>100</v>
      </c>
      <c r="D56">
        <v>8.6292000000000009</v>
      </c>
      <c r="E56">
        <v>7.6439000000000004</v>
      </c>
      <c r="F56">
        <v>8.5114999999999998</v>
      </c>
      <c r="G56">
        <v>7.5193000000000003</v>
      </c>
    </row>
    <row r="57" spans="2:7">
      <c r="C57">
        <v>150</v>
      </c>
      <c r="D57">
        <v>10.0547</v>
      </c>
      <c r="E57">
        <v>10.9749</v>
      </c>
      <c r="F57">
        <v>9.2423999999999999</v>
      </c>
      <c r="G57">
        <v>11.260300000000001</v>
      </c>
    </row>
    <row r="58" spans="2:7">
      <c r="C58">
        <v>200</v>
      </c>
      <c r="D58">
        <v>11.6881</v>
      </c>
      <c r="E58">
        <v>12.202999999999999</v>
      </c>
      <c r="F58">
        <v>10.7783</v>
      </c>
      <c r="G58">
        <v>11.864100000000001</v>
      </c>
    </row>
    <row r="62" spans="2:7">
      <c r="B62" t="s">
        <v>43</v>
      </c>
      <c r="C62" s="5"/>
      <c r="D62" t="s">
        <v>23</v>
      </c>
      <c r="E62" t="s">
        <v>26</v>
      </c>
      <c r="F62" t="s">
        <v>27</v>
      </c>
      <c r="G62" s="6" t="s">
        <v>39</v>
      </c>
    </row>
    <row r="63" spans="2:7">
      <c r="C63">
        <v>50</v>
      </c>
      <c r="D63">
        <v>7.4074</v>
      </c>
      <c r="E63">
        <v>6.3771000000000004</v>
      </c>
      <c r="F63">
        <v>7.8362999999999996</v>
      </c>
      <c r="G63">
        <v>6.3771000000000004</v>
      </c>
    </row>
    <row r="64" spans="2:7">
      <c r="C64">
        <v>100</v>
      </c>
      <c r="D64">
        <v>8.2982999999999993</v>
      </c>
      <c r="E64">
        <v>7.4180999999999999</v>
      </c>
      <c r="F64">
        <v>8.2623999999999995</v>
      </c>
      <c r="G64">
        <v>7.6138000000000003</v>
      </c>
    </row>
    <row r="65" spans="3:7">
      <c r="C65">
        <v>150</v>
      </c>
      <c r="D65">
        <v>8.8726000000000003</v>
      </c>
      <c r="E65">
        <v>8.8460000000000001</v>
      </c>
      <c r="F65">
        <v>7.8734999999999999</v>
      </c>
      <c r="G65">
        <v>9.5350999999999999</v>
      </c>
    </row>
    <row r="66" spans="3:7">
      <c r="C66">
        <v>200</v>
      </c>
      <c r="D66">
        <v>9.8841999999999999</v>
      </c>
      <c r="E66">
        <v>9.8204999999999991</v>
      </c>
      <c r="F66">
        <v>8.4916</v>
      </c>
      <c r="G66">
        <v>10.667400000000001</v>
      </c>
    </row>
  </sheetData>
  <phoneticPr fontId="2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249F7-20E0-804F-A196-33ACFA0735A5}">
  <dimension ref="B2:F19"/>
  <sheetViews>
    <sheetView workbookViewId="0">
      <selection activeCell="B12" sqref="B12:C19"/>
    </sheetView>
  </sheetViews>
  <sheetFormatPr baseColWidth="10" defaultRowHeight="20"/>
  <sheetData>
    <row r="2" spans="2:6">
      <c r="B2" t="s">
        <v>40</v>
      </c>
      <c r="C2" t="s">
        <v>15</v>
      </c>
    </row>
    <row r="3" spans="2:6">
      <c r="B3" t="s">
        <v>47</v>
      </c>
      <c r="D3" t="s">
        <v>46</v>
      </c>
      <c r="E3" t="s">
        <v>37</v>
      </c>
      <c r="F3" t="s">
        <v>38</v>
      </c>
    </row>
    <row r="4" spans="2:6">
      <c r="C4" t="s">
        <v>22</v>
      </c>
      <c r="D4">
        <v>13.495900000000001</v>
      </c>
      <c r="E4">
        <v>9.9887999999999995</v>
      </c>
      <c r="F4">
        <v>15.5192</v>
      </c>
    </row>
    <row r="5" spans="2:6">
      <c r="C5" t="s">
        <v>44</v>
      </c>
      <c r="D5">
        <v>13.307499999999999</v>
      </c>
      <c r="E5">
        <v>10.248699999999999</v>
      </c>
      <c r="F5">
        <v>15.0106</v>
      </c>
    </row>
    <row r="6" spans="2:6">
      <c r="C6" t="s">
        <v>45</v>
      </c>
      <c r="D6">
        <v>13.3492</v>
      </c>
      <c r="E6">
        <v>9.3947000000000003</v>
      </c>
      <c r="F6">
        <v>15.7217</v>
      </c>
    </row>
    <row r="7" spans="2:6">
      <c r="C7" t="s">
        <v>26</v>
      </c>
      <c r="D7">
        <v>12.0641</v>
      </c>
      <c r="E7">
        <v>6.3091999999999997</v>
      </c>
      <c r="F7">
        <v>16.642499999999998</v>
      </c>
    </row>
    <row r="8" spans="2:6">
      <c r="C8" t="s">
        <v>27</v>
      </c>
      <c r="D8">
        <v>12.5297</v>
      </c>
      <c r="E8">
        <v>13.440899999999999</v>
      </c>
      <c r="F8">
        <v>12.2111</v>
      </c>
    </row>
    <row r="9" spans="2:6">
      <c r="C9" t="s">
        <v>39</v>
      </c>
      <c r="D9">
        <v>13.4322</v>
      </c>
      <c r="E9">
        <v>9.0548999999999999</v>
      </c>
      <c r="F9">
        <v>16.3779</v>
      </c>
    </row>
    <row r="12" spans="2:6">
      <c r="B12" t="s">
        <v>42</v>
      </c>
      <c r="C12" t="s">
        <v>15</v>
      </c>
    </row>
    <row r="13" spans="2:6">
      <c r="D13" t="s">
        <v>46</v>
      </c>
      <c r="E13" t="s">
        <v>37</v>
      </c>
      <c r="F13" t="s">
        <v>38</v>
      </c>
    </row>
    <row r="14" spans="2:6">
      <c r="C14" t="s">
        <v>22</v>
      </c>
      <c r="D14">
        <v>8.6292000000000009</v>
      </c>
      <c r="E14">
        <v>7.5397999999999996</v>
      </c>
      <c r="F14">
        <v>12.082100000000001</v>
      </c>
    </row>
    <row r="15" spans="2:6">
      <c r="C15" t="s">
        <v>44</v>
      </c>
      <c r="D15">
        <v>8.4261999999999997</v>
      </c>
      <c r="E15">
        <v>7.3287000000000004</v>
      </c>
      <c r="F15">
        <v>11.880599999999999</v>
      </c>
    </row>
    <row r="16" spans="2:6">
      <c r="C16" t="s">
        <v>45</v>
      </c>
      <c r="D16">
        <v>8.5376999999999992</v>
      </c>
      <c r="E16">
        <v>7.5339</v>
      </c>
      <c r="F16">
        <v>11.6151</v>
      </c>
    </row>
    <row r="17" spans="3:6">
      <c r="C17" t="s">
        <v>26</v>
      </c>
      <c r="D17">
        <v>7.6439000000000004</v>
      </c>
      <c r="E17">
        <v>5.6840000000000002</v>
      </c>
      <c r="F17">
        <v>16.212</v>
      </c>
    </row>
    <row r="18" spans="3:6">
      <c r="C18" t="s">
        <v>27</v>
      </c>
      <c r="D18">
        <v>8.5114999999999998</v>
      </c>
      <c r="E18">
        <v>7.6250999999999998</v>
      </c>
      <c r="F18">
        <v>11.277799999999999</v>
      </c>
    </row>
    <row r="19" spans="3:6">
      <c r="C19" t="s">
        <v>39</v>
      </c>
      <c r="D19">
        <v>7.5193000000000003</v>
      </c>
      <c r="E19">
        <v>5.5015000000000001</v>
      </c>
      <c r="F19">
        <v>16.43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5C972-E085-694F-9ACF-744977A9ACFE}">
  <dimension ref="A3:FU145"/>
  <sheetViews>
    <sheetView topLeftCell="B14" zoomScale="110" workbookViewId="0">
      <selection activeCell="I32" sqref="I32"/>
    </sheetView>
  </sheetViews>
  <sheetFormatPr baseColWidth="10" defaultRowHeight="20"/>
  <sheetData>
    <row r="3" spans="2:177">
      <c r="B3" t="s">
        <v>42</v>
      </c>
      <c r="C3" t="s">
        <v>15</v>
      </c>
    </row>
    <row r="4" spans="2:177">
      <c r="J4">
        <v>0</v>
      </c>
      <c r="K4">
        <v>0.1</v>
      </c>
      <c r="L4">
        <v>0.2</v>
      </c>
      <c r="M4">
        <v>0.3</v>
      </c>
      <c r="N4">
        <v>0.4</v>
      </c>
      <c r="O4">
        <v>0.5</v>
      </c>
      <c r="P4">
        <v>0.6</v>
      </c>
      <c r="Q4">
        <v>0.7</v>
      </c>
      <c r="R4">
        <v>0.8</v>
      </c>
      <c r="S4">
        <v>0.9</v>
      </c>
      <c r="T4">
        <v>1</v>
      </c>
      <c r="U4">
        <v>1.1000000000000001</v>
      </c>
      <c r="V4">
        <v>1.2</v>
      </c>
      <c r="W4">
        <v>1.3</v>
      </c>
      <c r="X4">
        <v>1.4</v>
      </c>
      <c r="Y4">
        <v>1.5</v>
      </c>
      <c r="Z4">
        <v>1.6</v>
      </c>
      <c r="AA4">
        <v>1.7</v>
      </c>
      <c r="AB4">
        <v>1.8</v>
      </c>
      <c r="AC4">
        <v>1.9</v>
      </c>
      <c r="AD4">
        <v>2</v>
      </c>
      <c r="AE4">
        <v>2.1</v>
      </c>
      <c r="AF4">
        <v>2.2000000000000002</v>
      </c>
      <c r="AG4">
        <v>2.2999999999999998</v>
      </c>
      <c r="AH4">
        <v>2.4</v>
      </c>
      <c r="AI4">
        <v>2.5</v>
      </c>
      <c r="AJ4">
        <v>2.6</v>
      </c>
      <c r="AK4">
        <v>2.7</v>
      </c>
      <c r="AL4">
        <v>2.8</v>
      </c>
      <c r="AM4">
        <v>2.9</v>
      </c>
      <c r="AN4">
        <v>3</v>
      </c>
      <c r="AO4">
        <v>3.1</v>
      </c>
      <c r="AP4">
        <v>3.2</v>
      </c>
      <c r="AQ4">
        <v>3.3</v>
      </c>
      <c r="AR4">
        <v>3.4</v>
      </c>
      <c r="AS4">
        <v>3.5</v>
      </c>
      <c r="AT4">
        <v>3.6</v>
      </c>
      <c r="AU4">
        <v>3.7</v>
      </c>
      <c r="AV4">
        <v>3.8</v>
      </c>
      <c r="AW4">
        <v>3.9</v>
      </c>
      <c r="AX4">
        <v>4</v>
      </c>
      <c r="AY4">
        <v>4.0999999999999996</v>
      </c>
      <c r="AZ4">
        <v>4.2</v>
      </c>
      <c r="BA4">
        <v>4.3</v>
      </c>
      <c r="BB4">
        <v>4.4000000000000004</v>
      </c>
      <c r="BC4">
        <v>4.5</v>
      </c>
      <c r="BD4">
        <v>4.5999999999999996</v>
      </c>
      <c r="BE4">
        <v>4.7</v>
      </c>
      <c r="BF4">
        <v>4.8</v>
      </c>
      <c r="BG4">
        <v>4.9000000000000004</v>
      </c>
      <c r="BH4">
        <v>5</v>
      </c>
      <c r="BI4">
        <v>5.0999999999999996</v>
      </c>
      <c r="BJ4">
        <v>5.2</v>
      </c>
      <c r="BK4">
        <v>5.3</v>
      </c>
      <c r="BL4">
        <v>5.4</v>
      </c>
      <c r="BM4">
        <v>5.5</v>
      </c>
      <c r="BN4">
        <v>5.6</v>
      </c>
      <c r="BO4">
        <v>5.7</v>
      </c>
      <c r="BP4">
        <v>5.8</v>
      </c>
      <c r="BQ4">
        <v>5.9</v>
      </c>
      <c r="BR4">
        <v>6</v>
      </c>
      <c r="BS4">
        <v>6.1</v>
      </c>
      <c r="BT4">
        <v>6.2</v>
      </c>
      <c r="BU4">
        <v>6.3</v>
      </c>
      <c r="BV4">
        <v>6.4</v>
      </c>
      <c r="BW4">
        <v>6.5</v>
      </c>
      <c r="BX4">
        <v>6.6</v>
      </c>
      <c r="BY4">
        <v>6.7</v>
      </c>
      <c r="BZ4">
        <v>6.8</v>
      </c>
      <c r="CA4">
        <v>6.9</v>
      </c>
      <c r="CB4">
        <v>7</v>
      </c>
      <c r="CC4">
        <v>7.1</v>
      </c>
      <c r="CD4">
        <v>7.2</v>
      </c>
      <c r="CE4">
        <v>7.3</v>
      </c>
      <c r="CF4">
        <v>7.4</v>
      </c>
      <c r="CG4">
        <v>7.5</v>
      </c>
      <c r="CH4">
        <v>7.6</v>
      </c>
      <c r="CI4">
        <v>7.7</v>
      </c>
      <c r="CJ4">
        <v>7.8</v>
      </c>
      <c r="CK4">
        <v>7.9</v>
      </c>
      <c r="CL4">
        <v>8</v>
      </c>
      <c r="CM4">
        <v>8.1</v>
      </c>
      <c r="CN4">
        <v>8.1999999999999993</v>
      </c>
      <c r="CO4">
        <v>8.3000000000000007</v>
      </c>
      <c r="CP4">
        <v>8.4</v>
      </c>
      <c r="CQ4">
        <v>8.5</v>
      </c>
      <c r="CR4">
        <v>8.6</v>
      </c>
      <c r="CS4">
        <v>8.6999999999999993</v>
      </c>
      <c r="CT4">
        <v>8.8000000000000007</v>
      </c>
      <c r="CU4">
        <v>8.9</v>
      </c>
      <c r="CV4">
        <v>9</v>
      </c>
      <c r="CW4">
        <v>9.1</v>
      </c>
      <c r="CX4">
        <v>9.1999999999999993</v>
      </c>
      <c r="CY4">
        <v>9.3000000000000007</v>
      </c>
      <c r="CZ4">
        <v>9.4</v>
      </c>
      <c r="DA4">
        <v>9.5</v>
      </c>
      <c r="DB4">
        <v>9.6</v>
      </c>
      <c r="DC4">
        <v>9.6999999999999993</v>
      </c>
      <c r="DD4">
        <v>9.8000000000000007</v>
      </c>
      <c r="DE4">
        <v>9.9</v>
      </c>
      <c r="DF4">
        <v>10</v>
      </c>
      <c r="DG4">
        <v>10.1</v>
      </c>
      <c r="DH4">
        <v>10.199999999999999</v>
      </c>
      <c r="DI4">
        <v>10.3</v>
      </c>
      <c r="DJ4">
        <v>10.4</v>
      </c>
      <c r="DK4">
        <v>10.5</v>
      </c>
      <c r="DL4">
        <v>10.6</v>
      </c>
      <c r="DM4">
        <v>10.7</v>
      </c>
      <c r="DN4">
        <v>10.8</v>
      </c>
      <c r="DO4">
        <v>10.9</v>
      </c>
      <c r="DP4">
        <v>11</v>
      </c>
      <c r="DQ4">
        <v>11.1</v>
      </c>
      <c r="DR4">
        <v>11.2</v>
      </c>
      <c r="DS4">
        <v>11.3</v>
      </c>
      <c r="DT4">
        <v>11.4</v>
      </c>
      <c r="DU4">
        <v>11.5</v>
      </c>
      <c r="DV4">
        <v>11.6</v>
      </c>
      <c r="DW4">
        <v>11.7</v>
      </c>
      <c r="DX4">
        <v>11.8</v>
      </c>
      <c r="DY4">
        <v>11.9</v>
      </c>
      <c r="DZ4">
        <v>12</v>
      </c>
      <c r="EA4">
        <v>12.1</v>
      </c>
      <c r="EB4">
        <v>12.2</v>
      </c>
      <c r="EC4">
        <v>12.3</v>
      </c>
      <c r="ED4">
        <v>12.4</v>
      </c>
      <c r="EE4">
        <v>12.5</v>
      </c>
      <c r="EF4">
        <v>12.6</v>
      </c>
      <c r="EG4">
        <v>12.7</v>
      </c>
      <c r="EH4">
        <v>12.8</v>
      </c>
      <c r="EI4">
        <v>12.9</v>
      </c>
      <c r="EJ4">
        <v>13</v>
      </c>
      <c r="EK4">
        <v>13.1</v>
      </c>
      <c r="EL4">
        <v>13.2</v>
      </c>
      <c r="EM4">
        <v>13.3</v>
      </c>
      <c r="EN4">
        <v>13.4</v>
      </c>
      <c r="EO4">
        <v>13.5</v>
      </c>
      <c r="EP4">
        <v>13.6</v>
      </c>
      <c r="EQ4">
        <v>13.7</v>
      </c>
      <c r="ER4">
        <v>13.8</v>
      </c>
      <c r="ES4">
        <v>13.9</v>
      </c>
      <c r="ET4">
        <v>14</v>
      </c>
      <c r="EU4">
        <v>14.1</v>
      </c>
      <c r="EV4">
        <v>14.2</v>
      </c>
      <c r="EW4">
        <v>14.3</v>
      </c>
      <c r="EX4">
        <v>14.4</v>
      </c>
      <c r="EY4">
        <v>14.5</v>
      </c>
      <c r="EZ4">
        <v>14.6</v>
      </c>
      <c r="FA4">
        <v>14.7</v>
      </c>
      <c r="FB4">
        <v>14.8</v>
      </c>
      <c r="FC4">
        <v>14.9</v>
      </c>
      <c r="FD4">
        <v>15</v>
      </c>
      <c r="FE4">
        <v>15.1</v>
      </c>
      <c r="FF4">
        <v>15.2</v>
      </c>
      <c r="FG4">
        <v>15.3</v>
      </c>
      <c r="FH4">
        <v>15.4</v>
      </c>
      <c r="FI4">
        <v>15.5</v>
      </c>
      <c r="FJ4">
        <v>15.6</v>
      </c>
      <c r="FK4">
        <v>15.7</v>
      </c>
      <c r="FL4">
        <v>15.8</v>
      </c>
      <c r="FM4">
        <v>15.9</v>
      </c>
      <c r="FN4">
        <v>16</v>
      </c>
      <c r="FO4">
        <v>16.100000000000001</v>
      </c>
      <c r="FP4">
        <v>16.2</v>
      </c>
      <c r="FQ4">
        <v>16.3</v>
      </c>
      <c r="FR4">
        <v>16.399999999999999</v>
      </c>
      <c r="FS4">
        <v>16.5</v>
      </c>
      <c r="FT4">
        <v>16.600000000000001</v>
      </c>
      <c r="FU4">
        <v>16.7</v>
      </c>
    </row>
    <row r="5" spans="2:177">
      <c r="H5" t="s">
        <v>46</v>
      </c>
      <c r="I5" t="s">
        <v>22</v>
      </c>
      <c r="J5">
        <f>J55+J54</f>
        <v>619</v>
      </c>
      <c r="K5">
        <f t="shared" ref="K5:BV5" si="0">K55+K54</f>
        <v>243</v>
      </c>
      <c r="L5">
        <f t="shared" si="0"/>
        <v>200</v>
      </c>
      <c r="M5">
        <f t="shared" si="0"/>
        <v>225</v>
      </c>
      <c r="N5">
        <f t="shared" si="0"/>
        <v>224</v>
      </c>
      <c r="O5">
        <f t="shared" si="0"/>
        <v>246</v>
      </c>
      <c r="P5">
        <f t="shared" si="0"/>
        <v>224</v>
      </c>
      <c r="Q5">
        <f t="shared" si="0"/>
        <v>196</v>
      </c>
      <c r="R5">
        <f t="shared" si="0"/>
        <v>228</v>
      </c>
      <c r="S5">
        <f t="shared" si="0"/>
        <v>263</v>
      </c>
      <c r="T5">
        <f t="shared" si="0"/>
        <v>256</v>
      </c>
      <c r="U5">
        <f t="shared" si="0"/>
        <v>273</v>
      </c>
      <c r="V5">
        <f t="shared" si="0"/>
        <v>327</v>
      </c>
      <c r="W5">
        <f t="shared" si="0"/>
        <v>274</v>
      </c>
      <c r="X5">
        <f t="shared" si="0"/>
        <v>310</v>
      </c>
      <c r="Y5">
        <f t="shared" si="0"/>
        <v>379</v>
      </c>
      <c r="Z5">
        <f t="shared" si="0"/>
        <v>389</v>
      </c>
      <c r="AA5">
        <f t="shared" si="0"/>
        <v>441</v>
      </c>
      <c r="AB5">
        <f t="shared" si="0"/>
        <v>436</v>
      </c>
      <c r="AC5">
        <f t="shared" si="0"/>
        <v>441</v>
      </c>
      <c r="AD5">
        <f t="shared" si="0"/>
        <v>526</v>
      </c>
      <c r="AE5">
        <f t="shared" si="0"/>
        <v>575</v>
      </c>
      <c r="AF5">
        <f t="shared" si="0"/>
        <v>534</v>
      </c>
      <c r="AG5">
        <f t="shared" si="0"/>
        <v>614</v>
      </c>
      <c r="AH5">
        <f t="shared" si="0"/>
        <v>523</v>
      </c>
      <c r="AI5">
        <f t="shared" si="0"/>
        <v>588</v>
      </c>
      <c r="AJ5">
        <f t="shared" si="0"/>
        <v>422</v>
      </c>
      <c r="AK5">
        <f t="shared" si="0"/>
        <v>367</v>
      </c>
      <c r="AL5">
        <f t="shared" si="0"/>
        <v>403</v>
      </c>
      <c r="AM5">
        <f t="shared" si="0"/>
        <v>353</v>
      </c>
      <c r="AN5">
        <f t="shared" si="0"/>
        <v>330</v>
      </c>
      <c r="AO5">
        <f t="shared" si="0"/>
        <v>383</v>
      </c>
      <c r="AP5">
        <f t="shared" si="0"/>
        <v>304</v>
      </c>
      <c r="AQ5">
        <f t="shared" si="0"/>
        <v>498</v>
      </c>
      <c r="AR5">
        <f t="shared" si="0"/>
        <v>448</v>
      </c>
      <c r="AS5">
        <f t="shared" si="0"/>
        <v>322</v>
      </c>
      <c r="AT5">
        <f t="shared" si="0"/>
        <v>348</v>
      </c>
      <c r="AU5">
        <f t="shared" si="0"/>
        <v>312</v>
      </c>
      <c r="AV5">
        <f t="shared" si="0"/>
        <v>359</v>
      </c>
      <c r="AW5">
        <f t="shared" si="0"/>
        <v>299</v>
      </c>
      <c r="AX5">
        <f t="shared" si="0"/>
        <v>276</v>
      </c>
      <c r="AY5">
        <f t="shared" si="0"/>
        <v>289</v>
      </c>
      <c r="AZ5">
        <f t="shared" si="0"/>
        <v>245</v>
      </c>
      <c r="BA5">
        <f t="shared" si="0"/>
        <v>229</v>
      </c>
      <c r="BB5">
        <f t="shared" si="0"/>
        <v>286</v>
      </c>
      <c r="BC5">
        <f t="shared" si="0"/>
        <v>219</v>
      </c>
      <c r="BD5">
        <f t="shared" si="0"/>
        <v>263</v>
      </c>
      <c r="BE5">
        <f t="shared" si="0"/>
        <v>288</v>
      </c>
      <c r="BF5">
        <f t="shared" si="0"/>
        <v>233</v>
      </c>
      <c r="BG5">
        <f t="shared" si="0"/>
        <v>236</v>
      </c>
      <c r="BH5">
        <f t="shared" si="0"/>
        <v>252</v>
      </c>
      <c r="BI5">
        <f t="shared" si="0"/>
        <v>270</v>
      </c>
      <c r="BJ5">
        <f t="shared" si="0"/>
        <v>284</v>
      </c>
      <c r="BK5">
        <f t="shared" si="0"/>
        <v>293</v>
      </c>
      <c r="BL5">
        <f t="shared" si="0"/>
        <v>293</v>
      </c>
      <c r="BM5">
        <f t="shared" si="0"/>
        <v>298</v>
      </c>
      <c r="BN5">
        <f t="shared" si="0"/>
        <v>298</v>
      </c>
      <c r="BO5">
        <f t="shared" si="0"/>
        <v>368</v>
      </c>
      <c r="BP5">
        <f t="shared" si="0"/>
        <v>352</v>
      </c>
      <c r="BQ5">
        <f t="shared" si="0"/>
        <v>398</v>
      </c>
      <c r="BR5">
        <f t="shared" si="0"/>
        <v>379</v>
      </c>
      <c r="BS5">
        <f t="shared" si="0"/>
        <v>461</v>
      </c>
      <c r="BT5">
        <f t="shared" si="0"/>
        <v>495</v>
      </c>
      <c r="BU5">
        <f t="shared" si="0"/>
        <v>451</v>
      </c>
      <c r="BV5">
        <f t="shared" si="0"/>
        <v>463</v>
      </c>
      <c r="BW5">
        <f t="shared" ref="BW5:EH5" si="1">BW55+BW54</f>
        <v>493</v>
      </c>
      <c r="BX5">
        <f t="shared" si="1"/>
        <v>821</v>
      </c>
      <c r="BY5">
        <f t="shared" si="1"/>
        <v>1044</v>
      </c>
      <c r="BZ5">
        <f t="shared" si="1"/>
        <v>594</v>
      </c>
      <c r="CA5">
        <f t="shared" si="1"/>
        <v>598</v>
      </c>
      <c r="CB5">
        <f t="shared" si="1"/>
        <v>562</v>
      </c>
      <c r="CC5">
        <f t="shared" si="1"/>
        <v>522</v>
      </c>
      <c r="CD5">
        <f t="shared" si="1"/>
        <v>613</v>
      </c>
      <c r="CE5">
        <f t="shared" si="1"/>
        <v>564</v>
      </c>
      <c r="CF5">
        <f t="shared" si="1"/>
        <v>523</v>
      </c>
      <c r="CG5">
        <f t="shared" si="1"/>
        <v>631</v>
      </c>
      <c r="CH5">
        <f t="shared" si="1"/>
        <v>542</v>
      </c>
      <c r="CI5">
        <f t="shared" si="1"/>
        <v>678</v>
      </c>
      <c r="CJ5">
        <f t="shared" si="1"/>
        <v>619</v>
      </c>
      <c r="CK5">
        <f t="shared" si="1"/>
        <v>620</v>
      </c>
      <c r="CL5">
        <f t="shared" si="1"/>
        <v>567</v>
      </c>
      <c r="CM5">
        <f t="shared" si="1"/>
        <v>550</v>
      </c>
      <c r="CN5">
        <f t="shared" si="1"/>
        <v>484</v>
      </c>
      <c r="CO5">
        <f t="shared" si="1"/>
        <v>538</v>
      </c>
      <c r="CP5">
        <f t="shared" si="1"/>
        <v>534</v>
      </c>
      <c r="CQ5">
        <f t="shared" si="1"/>
        <v>525</v>
      </c>
      <c r="CR5">
        <f t="shared" si="1"/>
        <v>470</v>
      </c>
      <c r="CS5">
        <f t="shared" si="1"/>
        <v>448</v>
      </c>
      <c r="CT5">
        <f t="shared" si="1"/>
        <v>540</v>
      </c>
      <c r="CU5">
        <f t="shared" si="1"/>
        <v>450</v>
      </c>
      <c r="CV5">
        <f t="shared" si="1"/>
        <v>460</v>
      </c>
      <c r="CW5">
        <f t="shared" si="1"/>
        <v>418</v>
      </c>
      <c r="CX5">
        <f t="shared" si="1"/>
        <v>404</v>
      </c>
      <c r="CY5">
        <f t="shared" si="1"/>
        <v>423</v>
      </c>
      <c r="CZ5">
        <f t="shared" si="1"/>
        <v>431</v>
      </c>
      <c r="DA5">
        <f t="shared" si="1"/>
        <v>383</v>
      </c>
      <c r="DB5">
        <f t="shared" si="1"/>
        <v>405</v>
      </c>
      <c r="DC5">
        <f t="shared" si="1"/>
        <v>414</v>
      </c>
      <c r="DD5">
        <f t="shared" si="1"/>
        <v>351</v>
      </c>
      <c r="DE5">
        <f t="shared" si="1"/>
        <v>333</v>
      </c>
      <c r="DF5">
        <f t="shared" si="1"/>
        <v>476</v>
      </c>
      <c r="DG5">
        <f t="shared" si="1"/>
        <v>357</v>
      </c>
      <c r="DH5">
        <f t="shared" si="1"/>
        <v>308</v>
      </c>
      <c r="DI5">
        <f t="shared" si="1"/>
        <v>320</v>
      </c>
      <c r="DJ5">
        <f t="shared" si="1"/>
        <v>361</v>
      </c>
      <c r="DK5">
        <f t="shared" si="1"/>
        <v>271</v>
      </c>
      <c r="DL5">
        <f t="shared" si="1"/>
        <v>262</v>
      </c>
      <c r="DM5">
        <f t="shared" si="1"/>
        <v>265</v>
      </c>
      <c r="DN5">
        <f t="shared" si="1"/>
        <v>290</v>
      </c>
      <c r="DO5">
        <f t="shared" si="1"/>
        <v>252</v>
      </c>
      <c r="DP5">
        <f t="shared" si="1"/>
        <v>253</v>
      </c>
      <c r="DQ5">
        <f t="shared" si="1"/>
        <v>233</v>
      </c>
      <c r="DR5">
        <f t="shared" si="1"/>
        <v>257</v>
      </c>
      <c r="DS5">
        <f t="shared" si="1"/>
        <v>240</v>
      </c>
      <c r="DT5">
        <f t="shared" si="1"/>
        <v>251</v>
      </c>
      <c r="DU5">
        <f t="shared" si="1"/>
        <v>183</v>
      </c>
      <c r="DV5">
        <f t="shared" si="1"/>
        <v>183</v>
      </c>
      <c r="DW5">
        <f t="shared" si="1"/>
        <v>205</v>
      </c>
      <c r="DX5">
        <f t="shared" si="1"/>
        <v>181</v>
      </c>
      <c r="DY5">
        <f t="shared" si="1"/>
        <v>208</v>
      </c>
      <c r="DZ5">
        <f t="shared" si="1"/>
        <v>187</v>
      </c>
      <c r="EA5">
        <f t="shared" si="1"/>
        <v>175</v>
      </c>
      <c r="EB5">
        <f t="shared" si="1"/>
        <v>179</v>
      </c>
      <c r="EC5">
        <f t="shared" si="1"/>
        <v>182</v>
      </c>
      <c r="ED5">
        <f t="shared" si="1"/>
        <v>201</v>
      </c>
      <c r="EE5">
        <f t="shared" si="1"/>
        <v>195</v>
      </c>
      <c r="EF5">
        <f t="shared" si="1"/>
        <v>186</v>
      </c>
      <c r="EG5">
        <f t="shared" si="1"/>
        <v>199</v>
      </c>
      <c r="EH5">
        <f t="shared" si="1"/>
        <v>178</v>
      </c>
      <c r="EI5">
        <f t="shared" ref="EI5:FU5" si="2">EI55+EI54</f>
        <v>188</v>
      </c>
      <c r="EJ5">
        <f t="shared" si="2"/>
        <v>171</v>
      </c>
      <c r="EK5">
        <f t="shared" si="2"/>
        <v>242</v>
      </c>
      <c r="EL5">
        <f t="shared" si="2"/>
        <v>188</v>
      </c>
      <c r="EM5">
        <f t="shared" si="2"/>
        <v>174</v>
      </c>
      <c r="EN5">
        <f t="shared" si="2"/>
        <v>184</v>
      </c>
      <c r="EO5">
        <f t="shared" si="2"/>
        <v>167</v>
      </c>
      <c r="EP5">
        <f t="shared" si="2"/>
        <v>165</v>
      </c>
      <c r="EQ5">
        <f t="shared" si="2"/>
        <v>207</v>
      </c>
      <c r="ER5">
        <f t="shared" si="2"/>
        <v>200</v>
      </c>
      <c r="ES5">
        <f t="shared" si="2"/>
        <v>178</v>
      </c>
      <c r="ET5">
        <f t="shared" si="2"/>
        <v>199</v>
      </c>
      <c r="EU5">
        <f t="shared" si="2"/>
        <v>198</v>
      </c>
      <c r="EV5">
        <f t="shared" si="2"/>
        <v>180</v>
      </c>
      <c r="EW5">
        <f t="shared" si="2"/>
        <v>182</v>
      </c>
      <c r="EX5">
        <f t="shared" si="2"/>
        <v>188</v>
      </c>
      <c r="EY5">
        <f t="shared" si="2"/>
        <v>187</v>
      </c>
      <c r="EZ5">
        <f t="shared" si="2"/>
        <v>168</v>
      </c>
      <c r="FA5">
        <f t="shared" si="2"/>
        <v>205</v>
      </c>
      <c r="FB5">
        <f t="shared" si="2"/>
        <v>217</v>
      </c>
      <c r="FC5">
        <f t="shared" si="2"/>
        <v>210</v>
      </c>
      <c r="FD5">
        <f t="shared" si="2"/>
        <v>193</v>
      </c>
      <c r="FE5">
        <f t="shared" si="2"/>
        <v>236</v>
      </c>
      <c r="FF5">
        <f t="shared" si="2"/>
        <v>198</v>
      </c>
      <c r="FG5">
        <f t="shared" si="2"/>
        <v>213</v>
      </c>
      <c r="FH5">
        <f t="shared" si="2"/>
        <v>217</v>
      </c>
      <c r="FI5">
        <f t="shared" si="2"/>
        <v>228</v>
      </c>
      <c r="FJ5">
        <f t="shared" si="2"/>
        <v>272</v>
      </c>
      <c r="FK5">
        <f t="shared" si="2"/>
        <v>264</v>
      </c>
      <c r="FL5">
        <f t="shared" si="2"/>
        <v>317</v>
      </c>
      <c r="FM5">
        <f t="shared" si="2"/>
        <v>341</v>
      </c>
      <c r="FN5">
        <f t="shared" si="2"/>
        <v>351</v>
      </c>
      <c r="FO5">
        <f t="shared" si="2"/>
        <v>448</v>
      </c>
      <c r="FP5">
        <f t="shared" si="2"/>
        <v>518</v>
      </c>
      <c r="FQ5">
        <f t="shared" si="2"/>
        <v>414</v>
      </c>
      <c r="FR5">
        <f t="shared" si="2"/>
        <v>526</v>
      </c>
      <c r="FS5">
        <f t="shared" si="2"/>
        <v>545</v>
      </c>
      <c r="FT5">
        <f t="shared" si="2"/>
        <v>874</v>
      </c>
      <c r="FU5">
        <f t="shared" si="2"/>
        <v>4587</v>
      </c>
    </row>
    <row r="6" spans="2:177">
      <c r="I6" t="s">
        <v>26</v>
      </c>
      <c r="J6">
        <f>J108+J109</f>
        <v>11260</v>
      </c>
      <c r="K6">
        <f t="shared" ref="K6:BV6" si="3">K108+K109</f>
        <v>1152</v>
      </c>
      <c r="L6">
        <f t="shared" si="3"/>
        <v>607</v>
      </c>
      <c r="M6">
        <f t="shared" si="3"/>
        <v>601</v>
      </c>
      <c r="N6">
        <f t="shared" si="3"/>
        <v>659</v>
      </c>
      <c r="O6">
        <f t="shared" si="3"/>
        <v>584</v>
      </c>
      <c r="P6">
        <f t="shared" si="3"/>
        <v>512</v>
      </c>
      <c r="Q6">
        <f t="shared" si="3"/>
        <v>457</v>
      </c>
      <c r="R6">
        <f t="shared" si="3"/>
        <v>510</v>
      </c>
      <c r="S6">
        <f t="shared" si="3"/>
        <v>676</v>
      </c>
      <c r="T6">
        <f t="shared" si="3"/>
        <v>515</v>
      </c>
      <c r="U6">
        <f t="shared" si="3"/>
        <v>518</v>
      </c>
      <c r="V6">
        <f t="shared" si="3"/>
        <v>686</v>
      </c>
      <c r="W6">
        <f t="shared" si="3"/>
        <v>521</v>
      </c>
      <c r="X6">
        <f t="shared" si="3"/>
        <v>530</v>
      </c>
      <c r="Y6">
        <f t="shared" si="3"/>
        <v>736</v>
      </c>
      <c r="Z6">
        <f t="shared" si="3"/>
        <v>833</v>
      </c>
      <c r="AA6">
        <f t="shared" si="3"/>
        <v>689</v>
      </c>
      <c r="AB6">
        <f t="shared" si="3"/>
        <v>701</v>
      </c>
      <c r="AC6">
        <f t="shared" si="3"/>
        <v>369</v>
      </c>
      <c r="AD6">
        <f t="shared" si="3"/>
        <v>363</v>
      </c>
      <c r="AE6">
        <f t="shared" si="3"/>
        <v>348</v>
      </c>
      <c r="AF6">
        <f t="shared" si="3"/>
        <v>324</v>
      </c>
      <c r="AG6">
        <f t="shared" si="3"/>
        <v>366</v>
      </c>
      <c r="AH6">
        <f t="shared" si="3"/>
        <v>418</v>
      </c>
      <c r="AI6">
        <f t="shared" si="3"/>
        <v>464</v>
      </c>
      <c r="AJ6">
        <f t="shared" si="3"/>
        <v>459</v>
      </c>
      <c r="AK6">
        <f t="shared" si="3"/>
        <v>255</v>
      </c>
      <c r="AL6">
        <f t="shared" si="3"/>
        <v>182</v>
      </c>
      <c r="AM6">
        <f t="shared" si="3"/>
        <v>235</v>
      </c>
      <c r="AN6">
        <f t="shared" si="3"/>
        <v>178</v>
      </c>
      <c r="AO6">
        <f t="shared" si="3"/>
        <v>233</v>
      </c>
      <c r="AP6">
        <f t="shared" si="3"/>
        <v>165</v>
      </c>
      <c r="AQ6">
        <f t="shared" si="3"/>
        <v>150</v>
      </c>
      <c r="AR6">
        <f t="shared" si="3"/>
        <v>148</v>
      </c>
      <c r="AS6">
        <f t="shared" si="3"/>
        <v>157</v>
      </c>
      <c r="AT6">
        <f t="shared" si="3"/>
        <v>171</v>
      </c>
      <c r="AU6">
        <f t="shared" si="3"/>
        <v>159</v>
      </c>
      <c r="AV6">
        <f t="shared" si="3"/>
        <v>121</v>
      </c>
      <c r="AW6">
        <f t="shared" si="3"/>
        <v>93</v>
      </c>
      <c r="AX6">
        <f t="shared" si="3"/>
        <v>103</v>
      </c>
      <c r="AY6">
        <f t="shared" si="3"/>
        <v>102</v>
      </c>
      <c r="AZ6">
        <f t="shared" si="3"/>
        <v>99</v>
      </c>
      <c r="BA6">
        <f t="shared" si="3"/>
        <v>125</v>
      </c>
      <c r="BB6">
        <f t="shared" si="3"/>
        <v>102</v>
      </c>
      <c r="BC6">
        <f t="shared" si="3"/>
        <v>107</v>
      </c>
      <c r="BD6">
        <f t="shared" si="3"/>
        <v>106</v>
      </c>
      <c r="BE6">
        <f t="shared" si="3"/>
        <v>99</v>
      </c>
      <c r="BF6">
        <f t="shared" si="3"/>
        <v>105</v>
      </c>
      <c r="BG6">
        <f t="shared" si="3"/>
        <v>104</v>
      </c>
      <c r="BH6">
        <f t="shared" si="3"/>
        <v>117</v>
      </c>
      <c r="BI6">
        <f t="shared" si="3"/>
        <v>106</v>
      </c>
      <c r="BJ6">
        <f t="shared" si="3"/>
        <v>113</v>
      </c>
      <c r="BK6">
        <f t="shared" si="3"/>
        <v>114</v>
      </c>
      <c r="BL6">
        <f t="shared" si="3"/>
        <v>117</v>
      </c>
      <c r="BM6">
        <f t="shared" si="3"/>
        <v>117</v>
      </c>
      <c r="BN6">
        <f t="shared" si="3"/>
        <v>132</v>
      </c>
      <c r="BO6">
        <f t="shared" si="3"/>
        <v>126</v>
      </c>
      <c r="BP6">
        <f t="shared" si="3"/>
        <v>144</v>
      </c>
      <c r="BQ6">
        <f t="shared" si="3"/>
        <v>135</v>
      </c>
      <c r="BR6">
        <f t="shared" si="3"/>
        <v>161</v>
      </c>
      <c r="BS6">
        <f t="shared" si="3"/>
        <v>186</v>
      </c>
      <c r="BT6">
        <f t="shared" si="3"/>
        <v>178</v>
      </c>
      <c r="BU6">
        <f t="shared" si="3"/>
        <v>167</v>
      </c>
      <c r="BV6">
        <f t="shared" si="3"/>
        <v>193</v>
      </c>
      <c r="BW6">
        <f t="shared" ref="BW6:EH6" si="4">BW108+BW109</f>
        <v>219</v>
      </c>
      <c r="BX6">
        <f t="shared" si="4"/>
        <v>372</v>
      </c>
      <c r="BY6">
        <f t="shared" si="4"/>
        <v>499</v>
      </c>
      <c r="BZ6">
        <f t="shared" si="4"/>
        <v>301</v>
      </c>
      <c r="CA6">
        <f t="shared" si="4"/>
        <v>333</v>
      </c>
      <c r="CB6">
        <f t="shared" si="4"/>
        <v>319</v>
      </c>
      <c r="CC6">
        <f t="shared" si="4"/>
        <v>341</v>
      </c>
      <c r="CD6">
        <f t="shared" si="4"/>
        <v>383</v>
      </c>
      <c r="CE6">
        <f t="shared" si="4"/>
        <v>398</v>
      </c>
      <c r="CF6">
        <f t="shared" si="4"/>
        <v>418</v>
      </c>
      <c r="CG6">
        <f t="shared" si="4"/>
        <v>496</v>
      </c>
      <c r="CH6">
        <f t="shared" si="4"/>
        <v>360</v>
      </c>
      <c r="CI6">
        <f t="shared" si="4"/>
        <v>332</v>
      </c>
      <c r="CJ6">
        <f t="shared" si="4"/>
        <v>364</v>
      </c>
      <c r="CK6">
        <f t="shared" si="4"/>
        <v>291</v>
      </c>
      <c r="CL6">
        <f t="shared" si="4"/>
        <v>322</v>
      </c>
      <c r="CM6">
        <f t="shared" si="4"/>
        <v>340</v>
      </c>
      <c r="CN6">
        <f t="shared" si="4"/>
        <v>295</v>
      </c>
      <c r="CO6">
        <f t="shared" si="4"/>
        <v>359</v>
      </c>
      <c r="CP6">
        <f t="shared" si="4"/>
        <v>310</v>
      </c>
      <c r="CQ6">
        <f t="shared" si="4"/>
        <v>290</v>
      </c>
      <c r="CR6">
        <f t="shared" si="4"/>
        <v>304</v>
      </c>
      <c r="CS6">
        <f t="shared" si="4"/>
        <v>264</v>
      </c>
      <c r="CT6">
        <f t="shared" si="4"/>
        <v>312</v>
      </c>
      <c r="CU6">
        <f t="shared" si="4"/>
        <v>274</v>
      </c>
      <c r="CV6">
        <f t="shared" si="4"/>
        <v>231</v>
      </c>
      <c r="CW6">
        <f t="shared" si="4"/>
        <v>260</v>
      </c>
      <c r="CX6">
        <f t="shared" si="4"/>
        <v>299</v>
      </c>
      <c r="CY6">
        <f t="shared" si="4"/>
        <v>289</v>
      </c>
      <c r="CZ6">
        <f t="shared" si="4"/>
        <v>330</v>
      </c>
      <c r="DA6">
        <f t="shared" si="4"/>
        <v>268</v>
      </c>
      <c r="DB6">
        <f t="shared" si="4"/>
        <v>238</v>
      </c>
      <c r="DC6">
        <f t="shared" si="4"/>
        <v>285</v>
      </c>
      <c r="DD6">
        <f t="shared" si="4"/>
        <v>207</v>
      </c>
      <c r="DE6">
        <f t="shared" si="4"/>
        <v>260</v>
      </c>
      <c r="DF6">
        <f t="shared" si="4"/>
        <v>296</v>
      </c>
      <c r="DG6">
        <f t="shared" si="4"/>
        <v>216</v>
      </c>
      <c r="DH6">
        <f t="shared" si="4"/>
        <v>188</v>
      </c>
      <c r="DI6">
        <f t="shared" si="4"/>
        <v>214</v>
      </c>
      <c r="DJ6">
        <f t="shared" si="4"/>
        <v>174</v>
      </c>
      <c r="DK6">
        <f t="shared" si="4"/>
        <v>186</v>
      </c>
      <c r="DL6">
        <f t="shared" si="4"/>
        <v>200</v>
      </c>
      <c r="DM6">
        <f t="shared" si="4"/>
        <v>183</v>
      </c>
      <c r="DN6">
        <f t="shared" si="4"/>
        <v>143</v>
      </c>
      <c r="DO6">
        <f t="shared" si="4"/>
        <v>143</v>
      </c>
      <c r="DP6">
        <f t="shared" si="4"/>
        <v>151</v>
      </c>
      <c r="DQ6">
        <f t="shared" si="4"/>
        <v>121</v>
      </c>
      <c r="DR6">
        <f t="shared" si="4"/>
        <v>150</v>
      </c>
      <c r="DS6">
        <f t="shared" si="4"/>
        <v>139</v>
      </c>
      <c r="DT6">
        <f t="shared" si="4"/>
        <v>148</v>
      </c>
      <c r="DU6">
        <f t="shared" si="4"/>
        <v>116</v>
      </c>
      <c r="DV6">
        <f t="shared" si="4"/>
        <v>138</v>
      </c>
      <c r="DW6">
        <f t="shared" si="4"/>
        <v>130</v>
      </c>
      <c r="DX6">
        <f t="shared" si="4"/>
        <v>115</v>
      </c>
      <c r="DY6">
        <f t="shared" si="4"/>
        <v>115</v>
      </c>
      <c r="DZ6">
        <f t="shared" si="4"/>
        <v>107</v>
      </c>
      <c r="EA6">
        <f t="shared" si="4"/>
        <v>110</v>
      </c>
      <c r="EB6">
        <f t="shared" si="4"/>
        <v>100</v>
      </c>
      <c r="EC6">
        <f t="shared" si="4"/>
        <v>109</v>
      </c>
      <c r="ED6">
        <f t="shared" si="4"/>
        <v>101</v>
      </c>
      <c r="EE6">
        <f t="shared" si="4"/>
        <v>99</v>
      </c>
      <c r="EF6">
        <f t="shared" si="4"/>
        <v>88</v>
      </c>
      <c r="EG6">
        <f t="shared" si="4"/>
        <v>97</v>
      </c>
      <c r="EH6">
        <f t="shared" si="4"/>
        <v>92</v>
      </c>
      <c r="EI6">
        <f t="shared" ref="EI6:FU6" si="5">EI108+EI109</f>
        <v>80</v>
      </c>
      <c r="EJ6">
        <f t="shared" si="5"/>
        <v>104</v>
      </c>
      <c r="EK6">
        <f t="shared" si="5"/>
        <v>100</v>
      </c>
      <c r="EL6">
        <f t="shared" si="5"/>
        <v>90</v>
      </c>
      <c r="EM6">
        <f t="shared" si="5"/>
        <v>143</v>
      </c>
      <c r="EN6">
        <f t="shared" si="5"/>
        <v>98</v>
      </c>
      <c r="EO6">
        <f t="shared" si="5"/>
        <v>80</v>
      </c>
      <c r="EP6">
        <f t="shared" si="5"/>
        <v>95</v>
      </c>
      <c r="EQ6">
        <f t="shared" si="5"/>
        <v>96</v>
      </c>
      <c r="ER6">
        <f t="shared" si="5"/>
        <v>89</v>
      </c>
      <c r="ES6">
        <f t="shared" si="5"/>
        <v>125</v>
      </c>
      <c r="ET6">
        <f t="shared" si="5"/>
        <v>112</v>
      </c>
      <c r="EU6">
        <f t="shared" si="5"/>
        <v>121</v>
      </c>
      <c r="EV6">
        <f t="shared" si="5"/>
        <v>113</v>
      </c>
      <c r="EW6">
        <f t="shared" si="5"/>
        <v>106</v>
      </c>
      <c r="EX6">
        <f t="shared" si="5"/>
        <v>109</v>
      </c>
      <c r="EY6">
        <f t="shared" si="5"/>
        <v>133</v>
      </c>
      <c r="EZ6">
        <f t="shared" si="5"/>
        <v>113</v>
      </c>
      <c r="FA6">
        <f t="shared" si="5"/>
        <v>165</v>
      </c>
      <c r="FB6">
        <f t="shared" si="5"/>
        <v>140</v>
      </c>
      <c r="FC6">
        <f t="shared" si="5"/>
        <v>134</v>
      </c>
      <c r="FD6">
        <f t="shared" si="5"/>
        <v>128</v>
      </c>
      <c r="FE6">
        <f t="shared" si="5"/>
        <v>131</v>
      </c>
      <c r="FF6">
        <f t="shared" si="5"/>
        <v>151</v>
      </c>
      <c r="FG6">
        <f t="shared" si="5"/>
        <v>128</v>
      </c>
      <c r="FH6">
        <f t="shared" si="5"/>
        <v>160</v>
      </c>
      <c r="FI6">
        <f t="shared" si="5"/>
        <v>141</v>
      </c>
      <c r="FJ6">
        <f t="shared" si="5"/>
        <v>141</v>
      </c>
      <c r="FK6">
        <f t="shared" si="5"/>
        <v>174</v>
      </c>
      <c r="FL6">
        <f t="shared" si="5"/>
        <v>157</v>
      </c>
      <c r="FM6">
        <f t="shared" si="5"/>
        <v>204</v>
      </c>
      <c r="FN6">
        <f t="shared" si="5"/>
        <v>197</v>
      </c>
      <c r="FO6">
        <f t="shared" si="5"/>
        <v>280</v>
      </c>
      <c r="FP6">
        <f t="shared" si="5"/>
        <v>307</v>
      </c>
      <c r="FQ6">
        <f t="shared" si="5"/>
        <v>281</v>
      </c>
      <c r="FR6">
        <f t="shared" si="5"/>
        <v>352</v>
      </c>
      <c r="FS6">
        <f t="shared" si="5"/>
        <v>371</v>
      </c>
      <c r="FT6">
        <f t="shared" si="5"/>
        <v>749</v>
      </c>
      <c r="FU6">
        <f t="shared" si="5"/>
        <v>11330</v>
      </c>
    </row>
    <row r="7" spans="2:177">
      <c r="J7">
        <v>0</v>
      </c>
      <c r="K7">
        <v>0.1</v>
      </c>
      <c r="L7">
        <v>0.2</v>
      </c>
      <c r="M7">
        <v>0.3</v>
      </c>
      <c r="N7">
        <v>0.4</v>
      </c>
      <c r="O7">
        <v>0.5</v>
      </c>
      <c r="P7">
        <v>0.6</v>
      </c>
      <c r="Q7">
        <v>0.7</v>
      </c>
      <c r="R7">
        <v>0.8</v>
      </c>
      <c r="S7">
        <v>0.9</v>
      </c>
      <c r="T7">
        <v>1</v>
      </c>
      <c r="U7">
        <v>1.1000000000000001</v>
      </c>
      <c r="V7">
        <v>1.2</v>
      </c>
      <c r="W7">
        <v>1.3</v>
      </c>
      <c r="X7">
        <v>1.4</v>
      </c>
      <c r="Y7">
        <v>1.5</v>
      </c>
      <c r="Z7">
        <v>1.6</v>
      </c>
      <c r="AA7">
        <v>1.7</v>
      </c>
      <c r="AB7">
        <v>1.8</v>
      </c>
      <c r="AC7">
        <v>1.9</v>
      </c>
      <c r="AD7">
        <v>2</v>
      </c>
      <c r="AE7">
        <v>2.1</v>
      </c>
      <c r="AF7">
        <v>2.2000000000000002</v>
      </c>
      <c r="AG7">
        <v>2.2999999999999998</v>
      </c>
      <c r="AH7">
        <v>2.4</v>
      </c>
      <c r="AI7">
        <v>2.5</v>
      </c>
      <c r="AJ7">
        <v>2.6</v>
      </c>
      <c r="AK7">
        <v>2.7</v>
      </c>
      <c r="AL7">
        <v>2.8</v>
      </c>
      <c r="AM7">
        <v>2.9</v>
      </c>
      <c r="AN7">
        <v>3</v>
      </c>
      <c r="AO7">
        <v>3.1</v>
      </c>
      <c r="AP7">
        <v>3.2</v>
      </c>
      <c r="AQ7">
        <v>3.3</v>
      </c>
      <c r="AR7">
        <v>3.4</v>
      </c>
      <c r="AS7">
        <v>3.5</v>
      </c>
      <c r="AT7">
        <v>3.6</v>
      </c>
      <c r="AU7">
        <v>3.7</v>
      </c>
      <c r="AV7">
        <v>3.8</v>
      </c>
      <c r="AW7">
        <v>3.9</v>
      </c>
      <c r="AX7">
        <v>4</v>
      </c>
      <c r="AY7">
        <v>4.0999999999999996</v>
      </c>
      <c r="AZ7">
        <v>4.2</v>
      </c>
      <c r="BA7">
        <v>4.3</v>
      </c>
      <c r="BB7">
        <v>4.4000000000000004</v>
      </c>
      <c r="BC7">
        <v>4.5</v>
      </c>
      <c r="BD7">
        <v>4.5999999999999996</v>
      </c>
      <c r="BE7">
        <v>4.7</v>
      </c>
      <c r="BF7">
        <v>4.8</v>
      </c>
      <c r="BG7">
        <v>4.9000000000000004</v>
      </c>
      <c r="BH7">
        <v>5</v>
      </c>
      <c r="BI7">
        <v>5.0999999999999996</v>
      </c>
      <c r="BJ7">
        <v>5.2</v>
      </c>
      <c r="BK7">
        <v>5.3</v>
      </c>
      <c r="BL7">
        <v>5.4</v>
      </c>
      <c r="BM7">
        <v>5.5</v>
      </c>
      <c r="BN7">
        <v>5.6</v>
      </c>
      <c r="BO7">
        <v>5.7</v>
      </c>
      <c r="BP7">
        <v>5.8</v>
      </c>
      <c r="BQ7">
        <v>5.9</v>
      </c>
      <c r="BR7">
        <v>6</v>
      </c>
      <c r="BS7">
        <v>6.1</v>
      </c>
      <c r="BT7">
        <v>6.2</v>
      </c>
      <c r="BU7">
        <v>6.3</v>
      </c>
      <c r="BV7">
        <v>6.4</v>
      </c>
      <c r="BW7">
        <v>6.5</v>
      </c>
      <c r="BX7">
        <v>6.6</v>
      </c>
      <c r="BY7">
        <v>6.7</v>
      </c>
      <c r="BZ7">
        <v>6.8</v>
      </c>
      <c r="CA7">
        <v>6.9</v>
      </c>
      <c r="CB7">
        <v>7</v>
      </c>
      <c r="CC7">
        <v>7.1</v>
      </c>
      <c r="CD7">
        <v>7.2</v>
      </c>
      <c r="CE7">
        <v>7.3</v>
      </c>
      <c r="CF7">
        <v>7.4</v>
      </c>
      <c r="CG7">
        <v>7.5</v>
      </c>
      <c r="CH7">
        <v>7.6</v>
      </c>
      <c r="CI7">
        <v>7.7</v>
      </c>
      <c r="CJ7">
        <v>7.8</v>
      </c>
      <c r="CK7">
        <v>7.9</v>
      </c>
      <c r="CL7">
        <v>8</v>
      </c>
      <c r="CM7">
        <v>8.1</v>
      </c>
      <c r="CN7">
        <v>8.1999999999999993</v>
      </c>
      <c r="CO7">
        <v>8.3000000000000007</v>
      </c>
      <c r="CP7">
        <v>8.4</v>
      </c>
      <c r="CQ7">
        <v>8.5</v>
      </c>
      <c r="CR7">
        <v>8.6</v>
      </c>
      <c r="CS7">
        <v>8.6999999999999993</v>
      </c>
      <c r="CT7">
        <v>8.8000000000000007</v>
      </c>
      <c r="CU7">
        <v>8.9</v>
      </c>
      <c r="CV7">
        <v>9</v>
      </c>
      <c r="CW7">
        <v>9.1</v>
      </c>
      <c r="CX7">
        <v>9.1999999999999993</v>
      </c>
      <c r="CY7">
        <v>9.3000000000000007</v>
      </c>
      <c r="CZ7">
        <v>9.4</v>
      </c>
      <c r="DA7">
        <v>9.5</v>
      </c>
      <c r="DB7">
        <v>9.6</v>
      </c>
      <c r="DC7">
        <v>9.6999999999999993</v>
      </c>
      <c r="DD7">
        <v>9.8000000000000007</v>
      </c>
      <c r="DE7">
        <v>9.9</v>
      </c>
      <c r="DF7">
        <v>10</v>
      </c>
      <c r="DG7">
        <v>10.1</v>
      </c>
      <c r="DH7">
        <v>10.199999999999999</v>
      </c>
      <c r="DI7">
        <v>10.3</v>
      </c>
      <c r="DJ7">
        <v>10.4</v>
      </c>
      <c r="DK7">
        <v>10.5</v>
      </c>
      <c r="DL7">
        <v>10.6</v>
      </c>
      <c r="DM7">
        <v>10.7</v>
      </c>
      <c r="DN7">
        <v>10.8</v>
      </c>
      <c r="DO7">
        <v>10.9</v>
      </c>
      <c r="DP7">
        <v>11</v>
      </c>
      <c r="DQ7">
        <v>11.1</v>
      </c>
      <c r="DR7">
        <v>11.2</v>
      </c>
      <c r="DS7">
        <v>11.3</v>
      </c>
      <c r="DT7">
        <v>11.4</v>
      </c>
      <c r="DU7">
        <v>11.5</v>
      </c>
      <c r="DV7">
        <v>11.6</v>
      </c>
      <c r="DW7">
        <v>11.7</v>
      </c>
      <c r="DX7">
        <v>11.8</v>
      </c>
      <c r="DY7">
        <v>11.9</v>
      </c>
      <c r="DZ7">
        <v>12</v>
      </c>
      <c r="EA7">
        <v>12.1</v>
      </c>
      <c r="EB7">
        <v>12.2</v>
      </c>
      <c r="EC7">
        <v>12.3</v>
      </c>
      <c r="ED7">
        <v>12.4</v>
      </c>
      <c r="EE7">
        <v>12.5</v>
      </c>
      <c r="EF7">
        <v>12.6</v>
      </c>
      <c r="EG7">
        <v>12.7</v>
      </c>
      <c r="EH7">
        <v>12.8</v>
      </c>
      <c r="EI7">
        <v>12.9</v>
      </c>
      <c r="EJ7">
        <v>13</v>
      </c>
      <c r="EK7">
        <v>13.1</v>
      </c>
      <c r="EL7">
        <v>13.2</v>
      </c>
      <c r="EM7">
        <v>13.3</v>
      </c>
      <c r="EN7">
        <v>13.4</v>
      </c>
      <c r="EO7">
        <v>13.5</v>
      </c>
      <c r="EP7">
        <v>13.6</v>
      </c>
      <c r="EQ7">
        <v>13.7</v>
      </c>
      <c r="ER7">
        <v>13.8</v>
      </c>
      <c r="ES7">
        <v>13.9</v>
      </c>
      <c r="ET7">
        <v>14</v>
      </c>
      <c r="EU7">
        <v>14.1</v>
      </c>
      <c r="EV7">
        <v>14.2</v>
      </c>
      <c r="EW7">
        <v>14.3</v>
      </c>
      <c r="EX7">
        <v>14.4</v>
      </c>
      <c r="EY7">
        <v>14.5</v>
      </c>
      <c r="EZ7">
        <v>14.6</v>
      </c>
      <c r="FA7">
        <v>14.7</v>
      </c>
      <c r="FB7">
        <v>14.8</v>
      </c>
      <c r="FC7">
        <v>14.9</v>
      </c>
      <c r="FD7">
        <v>15</v>
      </c>
      <c r="FE7">
        <v>15.1</v>
      </c>
      <c r="FF7">
        <v>15.2</v>
      </c>
      <c r="FG7">
        <v>15.3</v>
      </c>
      <c r="FH7">
        <v>15.4</v>
      </c>
      <c r="FI7">
        <v>15.5</v>
      </c>
      <c r="FJ7">
        <v>15.6</v>
      </c>
      <c r="FK7">
        <v>15.7</v>
      </c>
      <c r="FL7">
        <v>15.8</v>
      </c>
      <c r="FM7">
        <v>15.9</v>
      </c>
      <c r="FN7">
        <v>16</v>
      </c>
      <c r="FO7">
        <v>16.100000000000001</v>
      </c>
      <c r="FP7">
        <v>16.2</v>
      </c>
      <c r="FQ7">
        <v>16.3</v>
      </c>
      <c r="FR7">
        <v>16.399999999999999</v>
      </c>
      <c r="FS7">
        <v>16.5</v>
      </c>
      <c r="FT7">
        <v>16.600000000000001</v>
      </c>
      <c r="FU7">
        <v>16.7</v>
      </c>
    </row>
    <row r="8" spans="2:177">
      <c r="H8" t="s">
        <v>37</v>
      </c>
      <c r="I8" t="s">
        <v>22</v>
      </c>
      <c r="J8">
        <f>J54</f>
        <v>597</v>
      </c>
      <c r="K8">
        <f t="shared" ref="K8:BV8" si="6">K54</f>
        <v>227</v>
      </c>
      <c r="L8">
        <f t="shared" si="6"/>
        <v>190</v>
      </c>
      <c r="M8">
        <f t="shared" si="6"/>
        <v>211</v>
      </c>
      <c r="N8">
        <f t="shared" si="6"/>
        <v>209</v>
      </c>
      <c r="O8">
        <f t="shared" si="6"/>
        <v>226</v>
      </c>
      <c r="P8">
        <f t="shared" si="6"/>
        <v>196</v>
      </c>
      <c r="Q8">
        <f t="shared" si="6"/>
        <v>174</v>
      </c>
      <c r="R8">
        <f t="shared" si="6"/>
        <v>211</v>
      </c>
      <c r="S8">
        <f t="shared" si="6"/>
        <v>250</v>
      </c>
      <c r="T8">
        <f t="shared" si="6"/>
        <v>241</v>
      </c>
      <c r="U8">
        <f t="shared" si="6"/>
        <v>253</v>
      </c>
      <c r="V8">
        <f t="shared" si="6"/>
        <v>306</v>
      </c>
      <c r="W8">
        <f t="shared" si="6"/>
        <v>257</v>
      </c>
      <c r="X8">
        <f t="shared" si="6"/>
        <v>290</v>
      </c>
      <c r="Y8">
        <f t="shared" si="6"/>
        <v>355</v>
      </c>
      <c r="Z8">
        <f t="shared" si="6"/>
        <v>350</v>
      </c>
      <c r="AA8">
        <f t="shared" si="6"/>
        <v>404</v>
      </c>
      <c r="AB8">
        <f t="shared" si="6"/>
        <v>397</v>
      </c>
      <c r="AC8">
        <f t="shared" si="6"/>
        <v>408</v>
      </c>
      <c r="AD8">
        <f t="shared" si="6"/>
        <v>501</v>
      </c>
      <c r="AE8">
        <f t="shared" si="6"/>
        <v>541</v>
      </c>
      <c r="AF8">
        <f t="shared" si="6"/>
        <v>501</v>
      </c>
      <c r="AG8">
        <f t="shared" si="6"/>
        <v>578</v>
      </c>
      <c r="AH8">
        <f t="shared" si="6"/>
        <v>497</v>
      </c>
      <c r="AI8">
        <f t="shared" si="6"/>
        <v>555</v>
      </c>
      <c r="AJ8">
        <f t="shared" si="6"/>
        <v>393</v>
      </c>
      <c r="AK8">
        <f t="shared" si="6"/>
        <v>340</v>
      </c>
      <c r="AL8">
        <f t="shared" si="6"/>
        <v>379</v>
      </c>
      <c r="AM8">
        <f t="shared" si="6"/>
        <v>333</v>
      </c>
      <c r="AN8">
        <f t="shared" si="6"/>
        <v>307</v>
      </c>
      <c r="AO8">
        <f t="shared" si="6"/>
        <v>347</v>
      </c>
      <c r="AP8">
        <f t="shared" si="6"/>
        <v>264</v>
      </c>
      <c r="AQ8">
        <f t="shared" si="6"/>
        <v>269</v>
      </c>
      <c r="AR8">
        <f t="shared" si="6"/>
        <v>324</v>
      </c>
      <c r="AS8">
        <f t="shared" si="6"/>
        <v>237</v>
      </c>
      <c r="AT8">
        <f t="shared" si="6"/>
        <v>265</v>
      </c>
      <c r="AU8">
        <f t="shared" si="6"/>
        <v>220</v>
      </c>
      <c r="AV8">
        <f t="shared" si="6"/>
        <v>283</v>
      </c>
      <c r="AW8">
        <f t="shared" si="6"/>
        <v>217</v>
      </c>
      <c r="AX8">
        <f t="shared" si="6"/>
        <v>222</v>
      </c>
      <c r="AY8">
        <f t="shared" si="6"/>
        <v>224</v>
      </c>
      <c r="AZ8">
        <f t="shared" si="6"/>
        <v>198</v>
      </c>
      <c r="BA8">
        <f t="shared" si="6"/>
        <v>169</v>
      </c>
      <c r="BB8">
        <f t="shared" si="6"/>
        <v>222</v>
      </c>
      <c r="BC8">
        <f t="shared" si="6"/>
        <v>166</v>
      </c>
      <c r="BD8">
        <f t="shared" si="6"/>
        <v>204</v>
      </c>
      <c r="BE8">
        <f t="shared" si="6"/>
        <v>226</v>
      </c>
      <c r="BF8">
        <f t="shared" si="6"/>
        <v>181</v>
      </c>
      <c r="BG8">
        <f t="shared" si="6"/>
        <v>190</v>
      </c>
      <c r="BH8">
        <f t="shared" si="6"/>
        <v>201</v>
      </c>
      <c r="BI8">
        <f t="shared" si="6"/>
        <v>211</v>
      </c>
      <c r="BJ8">
        <f t="shared" si="6"/>
        <v>232</v>
      </c>
      <c r="BK8">
        <f t="shared" si="6"/>
        <v>242</v>
      </c>
      <c r="BL8">
        <f t="shared" si="6"/>
        <v>238</v>
      </c>
      <c r="BM8">
        <f t="shared" si="6"/>
        <v>253</v>
      </c>
      <c r="BN8">
        <f t="shared" si="6"/>
        <v>238</v>
      </c>
      <c r="BO8">
        <f t="shared" si="6"/>
        <v>286</v>
      </c>
      <c r="BP8">
        <f t="shared" si="6"/>
        <v>282</v>
      </c>
      <c r="BQ8">
        <f t="shared" si="6"/>
        <v>309</v>
      </c>
      <c r="BR8">
        <f t="shared" si="6"/>
        <v>312</v>
      </c>
      <c r="BS8">
        <f t="shared" si="6"/>
        <v>381</v>
      </c>
      <c r="BT8">
        <f t="shared" si="6"/>
        <v>390</v>
      </c>
      <c r="BU8">
        <f t="shared" si="6"/>
        <v>371</v>
      </c>
      <c r="BV8">
        <f t="shared" si="6"/>
        <v>383</v>
      </c>
      <c r="BW8">
        <f t="shared" ref="BW8:EH8" si="7">BW54</f>
        <v>426</v>
      </c>
      <c r="BX8">
        <f t="shared" si="7"/>
        <v>715</v>
      </c>
      <c r="BY8">
        <f t="shared" si="7"/>
        <v>934</v>
      </c>
      <c r="BZ8">
        <f t="shared" si="7"/>
        <v>530</v>
      </c>
      <c r="CA8">
        <f t="shared" si="7"/>
        <v>517</v>
      </c>
      <c r="CB8">
        <f t="shared" si="7"/>
        <v>490</v>
      </c>
      <c r="CC8">
        <f t="shared" si="7"/>
        <v>445</v>
      </c>
      <c r="CD8">
        <f t="shared" si="7"/>
        <v>531</v>
      </c>
      <c r="CE8">
        <f t="shared" si="7"/>
        <v>490</v>
      </c>
      <c r="CF8">
        <f t="shared" si="7"/>
        <v>444</v>
      </c>
      <c r="CG8">
        <f t="shared" si="7"/>
        <v>525</v>
      </c>
      <c r="CH8">
        <f t="shared" si="7"/>
        <v>454</v>
      </c>
      <c r="CI8">
        <f t="shared" si="7"/>
        <v>594</v>
      </c>
      <c r="CJ8">
        <f t="shared" si="7"/>
        <v>524</v>
      </c>
      <c r="CK8">
        <f t="shared" si="7"/>
        <v>534</v>
      </c>
      <c r="CL8">
        <f t="shared" si="7"/>
        <v>497</v>
      </c>
      <c r="CM8">
        <f t="shared" si="7"/>
        <v>470</v>
      </c>
      <c r="CN8">
        <f t="shared" si="7"/>
        <v>404</v>
      </c>
      <c r="CO8">
        <f t="shared" si="7"/>
        <v>453</v>
      </c>
      <c r="CP8">
        <f t="shared" si="7"/>
        <v>452</v>
      </c>
      <c r="CQ8">
        <f t="shared" si="7"/>
        <v>452</v>
      </c>
      <c r="CR8">
        <f t="shared" si="7"/>
        <v>396</v>
      </c>
      <c r="CS8">
        <f t="shared" si="7"/>
        <v>367</v>
      </c>
      <c r="CT8">
        <f t="shared" si="7"/>
        <v>452</v>
      </c>
      <c r="CU8">
        <f t="shared" si="7"/>
        <v>386</v>
      </c>
      <c r="CV8">
        <f t="shared" si="7"/>
        <v>388</v>
      </c>
      <c r="CW8">
        <f t="shared" si="7"/>
        <v>357</v>
      </c>
      <c r="CX8">
        <f t="shared" si="7"/>
        <v>344</v>
      </c>
      <c r="CY8">
        <f t="shared" si="7"/>
        <v>349</v>
      </c>
      <c r="CZ8">
        <f t="shared" si="7"/>
        <v>372</v>
      </c>
      <c r="DA8">
        <f t="shared" si="7"/>
        <v>329</v>
      </c>
      <c r="DB8">
        <f t="shared" si="7"/>
        <v>350</v>
      </c>
      <c r="DC8">
        <f t="shared" si="7"/>
        <v>346</v>
      </c>
      <c r="DD8">
        <f t="shared" si="7"/>
        <v>288</v>
      </c>
      <c r="DE8">
        <f t="shared" si="7"/>
        <v>265</v>
      </c>
      <c r="DF8">
        <f t="shared" si="7"/>
        <v>399</v>
      </c>
      <c r="DG8">
        <f t="shared" si="7"/>
        <v>290</v>
      </c>
      <c r="DH8">
        <f t="shared" si="7"/>
        <v>232</v>
      </c>
      <c r="DI8">
        <f t="shared" si="7"/>
        <v>240</v>
      </c>
      <c r="DJ8">
        <f t="shared" si="7"/>
        <v>246</v>
      </c>
      <c r="DK8">
        <f t="shared" si="7"/>
        <v>173</v>
      </c>
      <c r="DL8">
        <f t="shared" si="7"/>
        <v>166</v>
      </c>
      <c r="DM8">
        <f t="shared" si="7"/>
        <v>174</v>
      </c>
      <c r="DN8">
        <f t="shared" si="7"/>
        <v>225</v>
      </c>
      <c r="DO8">
        <f t="shared" si="7"/>
        <v>173</v>
      </c>
      <c r="DP8">
        <f t="shared" si="7"/>
        <v>170</v>
      </c>
      <c r="DQ8">
        <f t="shared" si="7"/>
        <v>146</v>
      </c>
      <c r="DR8">
        <f t="shared" si="7"/>
        <v>174</v>
      </c>
      <c r="DS8">
        <f t="shared" si="7"/>
        <v>167</v>
      </c>
      <c r="DT8">
        <f t="shared" si="7"/>
        <v>163</v>
      </c>
      <c r="DU8">
        <f t="shared" si="7"/>
        <v>105</v>
      </c>
      <c r="DV8">
        <f t="shared" si="7"/>
        <v>115</v>
      </c>
      <c r="DW8">
        <f t="shared" si="7"/>
        <v>125</v>
      </c>
      <c r="DX8">
        <f t="shared" si="7"/>
        <v>87</v>
      </c>
      <c r="DY8">
        <f t="shared" si="7"/>
        <v>123</v>
      </c>
      <c r="DZ8">
        <f t="shared" si="7"/>
        <v>96</v>
      </c>
      <c r="EA8">
        <f t="shared" si="7"/>
        <v>101</v>
      </c>
      <c r="EB8">
        <f t="shared" si="7"/>
        <v>108</v>
      </c>
      <c r="EC8">
        <f t="shared" si="7"/>
        <v>110</v>
      </c>
      <c r="ED8">
        <f t="shared" si="7"/>
        <v>115</v>
      </c>
      <c r="EE8">
        <f t="shared" si="7"/>
        <v>105</v>
      </c>
      <c r="EF8">
        <f t="shared" si="7"/>
        <v>92</v>
      </c>
      <c r="EG8">
        <f t="shared" si="7"/>
        <v>101</v>
      </c>
      <c r="EH8">
        <f t="shared" si="7"/>
        <v>93</v>
      </c>
      <c r="EI8">
        <f t="shared" ref="EI8:FU8" si="8">EI54</f>
        <v>103</v>
      </c>
      <c r="EJ8">
        <f t="shared" si="8"/>
        <v>93</v>
      </c>
      <c r="EK8">
        <f t="shared" si="8"/>
        <v>113</v>
      </c>
      <c r="EL8">
        <f t="shared" si="8"/>
        <v>105</v>
      </c>
      <c r="EM8">
        <f t="shared" si="8"/>
        <v>93</v>
      </c>
      <c r="EN8">
        <f t="shared" si="8"/>
        <v>94</v>
      </c>
      <c r="EO8">
        <f t="shared" si="8"/>
        <v>90</v>
      </c>
      <c r="EP8">
        <f t="shared" si="8"/>
        <v>83</v>
      </c>
      <c r="EQ8">
        <f t="shared" si="8"/>
        <v>96</v>
      </c>
      <c r="ER8">
        <f t="shared" si="8"/>
        <v>93</v>
      </c>
      <c r="ES8">
        <f t="shared" si="8"/>
        <v>87</v>
      </c>
      <c r="ET8">
        <f t="shared" si="8"/>
        <v>101</v>
      </c>
      <c r="EU8">
        <f t="shared" si="8"/>
        <v>93</v>
      </c>
      <c r="EV8">
        <f t="shared" si="8"/>
        <v>101</v>
      </c>
      <c r="EW8">
        <f t="shared" si="8"/>
        <v>102</v>
      </c>
      <c r="EX8">
        <f t="shared" si="8"/>
        <v>96</v>
      </c>
      <c r="EY8">
        <f t="shared" si="8"/>
        <v>107</v>
      </c>
      <c r="EZ8">
        <f t="shared" si="8"/>
        <v>91</v>
      </c>
      <c r="FA8">
        <f t="shared" si="8"/>
        <v>111</v>
      </c>
      <c r="FB8">
        <f t="shared" si="8"/>
        <v>98</v>
      </c>
      <c r="FC8">
        <f t="shared" si="8"/>
        <v>113</v>
      </c>
      <c r="FD8">
        <f t="shared" si="8"/>
        <v>101</v>
      </c>
      <c r="FE8">
        <f t="shared" si="8"/>
        <v>122</v>
      </c>
      <c r="FF8">
        <f t="shared" si="8"/>
        <v>113</v>
      </c>
      <c r="FG8">
        <f t="shared" si="8"/>
        <v>115</v>
      </c>
      <c r="FH8">
        <f t="shared" si="8"/>
        <v>123</v>
      </c>
      <c r="FI8">
        <f t="shared" si="8"/>
        <v>115</v>
      </c>
      <c r="FJ8">
        <f t="shared" si="8"/>
        <v>143</v>
      </c>
      <c r="FK8">
        <f t="shared" si="8"/>
        <v>135</v>
      </c>
      <c r="FL8">
        <f t="shared" si="8"/>
        <v>129</v>
      </c>
      <c r="FM8">
        <f t="shared" si="8"/>
        <v>158</v>
      </c>
      <c r="FN8">
        <f t="shared" si="8"/>
        <v>155</v>
      </c>
      <c r="FO8">
        <f t="shared" si="8"/>
        <v>198</v>
      </c>
      <c r="FP8">
        <f t="shared" si="8"/>
        <v>241</v>
      </c>
      <c r="FQ8">
        <f t="shared" si="8"/>
        <v>218</v>
      </c>
      <c r="FR8">
        <f t="shared" si="8"/>
        <v>299</v>
      </c>
      <c r="FS8">
        <f t="shared" si="8"/>
        <v>343</v>
      </c>
      <c r="FT8">
        <f t="shared" si="8"/>
        <v>542</v>
      </c>
      <c r="FU8">
        <f t="shared" si="8"/>
        <v>1479</v>
      </c>
    </row>
    <row r="9" spans="2:177">
      <c r="I9" t="s">
        <v>26</v>
      </c>
      <c r="J9">
        <f>J108</f>
        <v>11260</v>
      </c>
      <c r="K9">
        <f t="shared" ref="K9:BV9" si="9">K108</f>
        <v>1152</v>
      </c>
      <c r="L9">
        <f t="shared" si="9"/>
        <v>607</v>
      </c>
      <c r="M9">
        <f t="shared" si="9"/>
        <v>601</v>
      </c>
      <c r="N9">
        <f t="shared" si="9"/>
        <v>659</v>
      </c>
      <c r="O9">
        <f t="shared" si="9"/>
        <v>584</v>
      </c>
      <c r="P9">
        <f t="shared" si="9"/>
        <v>512</v>
      </c>
      <c r="Q9">
        <f t="shared" si="9"/>
        <v>457</v>
      </c>
      <c r="R9">
        <f t="shared" si="9"/>
        <v>510</v>
      </c>
      <c r="S9">
        <f t="shared" si="9"/>
        <v>676</v>
      </c>
      <c r="T9">
        <f t="shared" si="9"/>
        <v>515</v>
      </c>
      <c r="U9">
        <f t="shared" si="9"/>
        <v>518</v>
      </c>
      <c r="V9">
        <f t="shared" si="9"/>
        <v>686</v>
      </c>
      <c r="W9">
        <f t="shared" si="9"/>
        <v>519</v>
      </c>
      <c r="X9">
        <f t="shared" si="9"/>
        <v>528</v>
      </c>
      <c r="Y9">
        <f t="shared" si="9"/>
        <v>735</v>
      </c>
      <c r="Z9">
        <f t="shared" si="9"/>
        <v>832</v>
      </c>
      <c r="AA9">
        <f t="shared" si="9"/>
        <v>688</v>
      </c>
      <c r="AB9">
        <f t="shared" si="9"/>
        <v>700</v>
      </c>
      <c r="AC9">
        <f t="shared" si="9"/>
        <v>368</v>
      </c>
      <c r="AD9">
        <f t="shared" si="9"/>
        <v>363</v>
      </c>
      <c r="AE9">
        <f t="shared" si="9"/>
        <v>347</v>
      </c>
      <c r="AF9">
        <f t="shared" si="9"/>
        <v>323</v>
      </c>
      <c r="AG9">
        <f t="shared" si="9"/>
        <v>366</v>
      </c>
      <c r="AH9">
        <f t="shared" si="9"/>
        <v>417</v>
      </c>
      <c r="AI9">
        <f t="shared" si="9"/>
        <v>463</v>
      </c>
      <c r="AJ9">
        <f t="shared" si="9"/>
        <v>459</v>
      </c>
      <c r="AK9">
        <f t="shared" si="9"/>
        <v>254</v>
      </c>
      <c r="AL9">
        <f t="shared" si="9"/>
        <v>182</v>
      </c>
      <c r="AM9">
        <f t="shared" si="9"/>
        <v>234</v>
      </c>
      <c r="AN9">
        <f t="shared" si="9"/>
        <v>177</v>
      </c>
      <c r="AO9">
        <f t="shared" si="9"/>
        <v>232</v>
      </c>
      <c r="AP9">
        <f t="shared" si="9"/>
        <v>165</v>
      </c>
      <c r="AQ9">
        <f t="shared" si="9"/>
        <v>149</v>
      </c>
      <c r="AR9">
        <f t="shared" si="9"/>
        <v>148</v>
      </c>
      <c r="AS9">
        <f t="shared" si="9"/>
        <v>156</v>
      </c>
      <c r="AT9">
        <f t="shared" si="9"/>
        <v>171</v>
      </c>
      <c r="AU9">
        <f t="shared" si="9"/>
        <v>158</v>
      </c>
      <c r="AV9">
        <f t="shared" si="9"/>
        <v>121</v>
      </c>
      <c r="AW9">
        <f t="shared" si="9"/>
        <v>92</v>
      </c>
      <c r="AX9">
        <f t="shared" si="9"/>
        <v>103</v>
      </c>
      <c r="AY9">
        <f t="shared" si="9"/>
        <v>102</v>
      </c>
      <c r="AZ9">
        <f t="shared" si="9"/>
        <v>98</v>
      </c>
      <c r="BA9">
        <f t="shared" si="9"/>
        <v>125</v>
      </c>
      <c r="BB9">
        <f t="shared" si="9"/>
        <v>101</v>
      </c>
      <c r="BC9">
        <f t="shared" si="9"/>
        <v>107</v>
      </c>
      <c r="BD9">
        <f t="shared" si="9"/>
        <v>105</v>
      </c>
      <c r="BE9">
        <f t="shared" si="9"/>
        <v>99</v>
      </c>
      <c r="BF9">
        <f t="shared" si="9"/>
        <v>104</v>
      </c>
      <c r="BG9">
        <f t="shared" si="9"/>
        <v>104</v>
      </c>
      <c r="BH9">
        <f t="shared" si="9"/>
        <v>110</v>
      </c>
      <c r="BI9">
        <f t="shared" si="9"/>
        <v>104</v>
      </c>
      <c r="BJ9">
        <f t="shared" si="9"/>
        <v>111</v>
      </c>
      <c r="BK9">
        <f t="shared" si="9"/>
        <v>112</v>
      </c>
      <c r="BL9">
        <f t="shared" si="9"/>
        <v>116</v>
      </c>
      <c r="BM9">
        <f t="shared" si="9"/>
        <v>115</v>
      </c>
      <c r="BN9">
        <f t="shared" si="9"/>
        <v>131</v>
      </c>
      <c r="BO9">
        <f t="shared" si="9"/>
        <v>125</v>
      </c>
      <c r="BP9">
        <f t="shared" si="9"/>
        <v>142</v>
      </c>
      <c r="BQ9">
        <f t="shared" si="9"/>
        <v>134</v>
      </c>
      <c r="BR9">
        <f t="shared" si="9"/>
        <v>159</v>
      </c>
      <c r="BS9">
        <f t="shared" si="9"/>
        <v>184</v>
      </c>
      <c r="BT9">
        <f t="shared" si="9"/>
        <v>176</v>
      </c>
      <c r="BU9">
        <f t="shared" si="9"/>
        <v>166</v>
      </c>
      <c r="BV9">
        <f t="shared" si="9"/>
        <v>192</v>
      </c>
      <c r="BW9">
        <f t="shared" ref="BW9:EH9" si="10">BW108</f>
        <v>218</v>
      </c>
      <c r="BX9">
        <f t="shared" si="10"/>
        <v>371</v>
      </c>
      <c r="BY9">
        <f t="shared" si="10"/>
        <v>498</v>
      </c>
      <c r="BZ9">
        <f t="shared" si="10"/>
        <v>300</v>
      </c>
      <c r="CA9">
        <f t="shared" si="10"/>
        <v>332</v>
      </c>
      <c r="CB9">
        <f t="shared" si="10"/>
        <v>319</v>
      </c>
      <c r="CC9">
        <f t="shared" si="10"/>
        <v>340</v>
      </c>
      <c r="CD9">
        <f t="shared" si="10"/>
        <v>382</v>
      </c>
      <c r="CE9">
        <f t="shared" si="10"/>
        <v>398</v>
      </c>
      <c r="CF9">
        <f t="shared" si="10"/>
        <v>417</v>
      </c>
      <c r="CG9">
        <f t="shared" si="10"/>
        <v>495</v>
      </c>
      <c r="CH9">
        <f t="shared" si="10"/>
        <v>360</v>
      </c>
      <c r="CI9">
        <f t="shared" si="10"/>
        <v>330</v>
      </c>
      <c r="CJ9">
        <f t="shared" si="10"/>
        <v>360</v>
      </c>
      <c r="CK9">
        <f t="shared" si="10"/>
        <v>288</v>
      </c>
      <c r="CL9">
        <f t="shared" si="10"/>
        <v>318</v>
      </c>
      <c r="CM9">
        <f t="shared" si="10"/>
        <v>336</v>
      </c>
      <c r="CN9">
        <f t="shared" si="10"/>
        <v>294</v>
      </c>
      <c r="CO9">
        <f t="shared" si="10"/>
        <v>356</v>
      </c>
      <c r="CP9">
        <f t="shared" si="10"/>
        <v>309</v>
      </c>
      <c r="CQ9">
        <f t="shared" si="10"/>
        <v>288</v>
      </c>
      <c r="CR9">
        <f t="shared" si="10"/>
        <v>303</v>
      </c>
      <c r="CS9">
        <f t="shared" si="10"/>
        <v>262</v>
      </c>
      <c r="CT9">
        <f t="shared" si="10"/>
        <v>311</v>
      </c>
      <c r="CU9">
        <f t="shared" si="10"/>
        <v>272</v>
      </c>
      <c r="CV9">
        <f t="shared" si="10"/>
        <v>230</v>
      </c>
      <c r="CW9">
        <f t="shared" si="10"/>
        <v>258</v>
      </c>
      <c r="CX9">
        <f t="shared" si="10"/>
        <v>297</v>
      </c>
      <c r="CY9">
        <f t="shared" si="10"/>
        <v>288</v>
      </c>
      <c r="CZ9">
        <f t="shared" si="10"/>
        <v>329</v>
      </c>
      <c r="DA9">
        <f t="shared" si="10"/>
        <v>266</v>
      </c>
      <c r="DB9">
        <f t="shared" si="10"/>
        <v>237</v>
      </c>
      <c r="DC9">
        <f t="shared" si="10"/>
        <v>283</v>
      </c>
      <c r="DD9">
        <f t="shared" si="10"/>
        <v>207</v>
      </c>
      <c r="DE9">
        <f t="shared" si="10"/>
        <v>258</v>
      </c>
      <c r="DF9">
        <f t="shared" si="10"/>
        <v>294</v>
      </c>
      <c r="DG9">
        <f t="shared" si="10"/>
        <v>215</v>
      </c>
      <c r="DH9">
        <f t="shared" si="10"/>
        <v>187</v>
      </c>
      <c r="DI9">
        <f t="shared" si="10"/>
        <v>213</v>
      </c>
      <c r="DJ9">
        <f t="shared" si="10"/>
        <v>172</v>
      </c>
      <c r="DK9">
        <f t="shared" si="10"/>
        <v>182</v>
      </c>
      <c r="DL9">
        <f t="shared" si="10"/>
        <v>193</v>
      </c>
      <c r="DM9">
        <f t="shared" si="10"/>
        <v>180</v>
      </c>
      <c r="DN9">
        <f t="shared" si="10"/>
        <v>138</v>
      </c>
      <c r="DO9">
        <f t="shared" si="10"/>
        <v>138</v>
      </c>
      <c r="DP9">
        <f t="shared" si="10"/>
        <v>149</v>
      </c>
      <c r="DQ9">
        <f t="shared" si="10"/>
        <v>118</v>
      </c>
      <c r="DR9">
        <f t="shared" si="10"/>
        <v>147</v>
      </c>
      <c r="DS9">
        <f t="shared" si="10"/>
        <v>136</v>
      </c>
      <c r="DT9">
        <f t="shared" si="10"/>
        <v>141</v>
      </c>
      <c r="DU9">
        <f t="shared" si="10"/>
        <v>112</v>
      </c>
      <c r="DV9">
        <f t="shared" si="10"/>
        <v>131</v>
      </c>
      <c r="DW9">
        <f t="shared" si="10"/>
        <v>126</v>
      </c>
      <c r="DX9">
        <f t="shared" si="10"/>
        <v>106</v>
      </c>
      <c r="DY9">
        <f t="shared" si="10"/>
        <v>108</v>
      </c>
      <c r="DZ9">
        <f t="shared" si="10"/>
        <v>101</v>
      </c>
      <c r="EA9">
        <f t="shared" si="10"/>
        <v>100</v>
      </c>
      <c r="EB9">
        <f t="shared" si="10"/>
        <v>90</v>
      </c>
      <c r="EC9">
        <f t="shared" si="10"/>
        <v>101</v>
      </c>
      <c r="ED9">
        <f t="shared" si="10"/>
        <v>90</v>
      </c>
      <c r="EE9">
        <f t="shared" si="10"/>
        <v>91</v>
      </c>
      <c r="EF9">
        <f t="shared" si="10"/>
        <v>83</v>
      </c>
      <c r="EG9">
        <f t="shared" si="10"/>
        <v>88</v>
      </c>
      <c r="EH9">
        <f t="shared" si="10"/>
        <v>83</v>
      </c>
      <c r="EI9">
        <f t="shared" ref="EI9:FU9" si="11">EI108</f>
        <v>76</v>
      </c>
      <c r="EJ9">
        <f t="shared" si="11"/>
        <v>96</v>
      </c>
      <c r="EK9">
        <f t="shared" si="11"/>
        <v>93</v>
      </c>
      <c r="EL9">
        <f t="shared" si="11"/>
        <v>81</v>
      </c>
      <c r="EM9">
        <f t="shared" si="11"/>
        <v>122</v>
      </c>
      <c r="EN9">
        <f t="shared" si="11"/>
        <v>92</v>
      </c>
      <c r="EO9">
        <f t="shared" si="11"/>
        <v>76</v>
      </c>
      <c r="EP9">
        <f t="shared" si="11"/>
        <v>91</v>
      </c>
      <c r="EQ9">
        <f t="shared" si="11"/>
        <v>87</v>
      </c>
      <c r="ER9">
        <f t="shared" si="11"/>
        <v>72</v>
      </c>
      <c r="ES9">
        <f t="shared" si="11"/>
        <v>86</v>
      </c>
      <c r="ET9">
        <f t="shared" si="11"/>
        <v>72</v>
      </c>
      <c r="EU9">
        <f t="shared" si="11"/>
        <v>81</v>
      </c>
      <c r="EV9">
        <f t="shared" si="11"/>
        <v>82</v>
      </c>
      <c r="EW9">
        <f t="shared" si="11"/>
        <v>81</v>
      </c>
      <c r="EX9">
        <f t="shared" si="11"/>
        <v>82</v>
      </c>
      <c r="EY9">
        <f t="shared" si="11"/>
        <v>92</v>
      </c>
      <c r="EZ9">
        <f t="shared" si="11"/>
        <v>75</v>
      </c>
      <c r="FA9">
        <f t="shared" si="11"/>
        <v>87</v>
      </c>
      <c r="FB9">
        <f t="shared" si="11"/>
        <v>99</v>
      </c>
      <c r="FC9">
        <f t="shared" si="11"/>
        <v>89</v>
      </c>
      <c r="FD9">
        <f t="shared" si="11"/>
        <v>85</v>
      </c>
      <c r="FE9">
        <f t="shared" si="11"/>
        <v>94</v>
      </c>
      <c r="FF9">
        <f t="shared" si="11"/>
        <v>106</v>
      </c>
      <c r="FG9">
        <f t="shared" si="11"/>
        <v>89</v>
      </c>
      <c r="FH9">
        <f t="shared" si="11"/>
        <v>116</v>
      </c>
      <c r="FI9">
        <f t="shared" si="11"/>
        <v>97</v>
      </c>
      <c r="FJ9">
        <f t="shared" si="11"/>
        <v>109</v>
      </c>
      <c r="FK9">
        <f t="shared" si="11"/>
        <v>122</v>
      </c>
      <c r="FL9">
        <f t="shared" si="11"/>
        <v>112</v>
      </c>
      <c r="FM9">
        <f t="shared" si="11"/>
        <v>141</v>
      </c>
      <c r="FN9">
        <f t="shared" si="11"/>
        <v>132</v>
      </c>
      <c r="FO9">
        <f t="shared" si="11"/>
        <v>167</v>
      </c>
      <c r="FP9">
        <f t="shared" si="11"/>
        <v>190</v>
      </c>
      <c r="FQ9">
        <f t="shared" si="11"/>
        <v>180</v>
      </c>
      <c r="FR9">
        <f t="shared" si="11"/>
        <v>228</v>
      </c>
      <c r="FS9">
        <f t="shared" si="11"/>
        <v>241</v>
      </c>
      <c r="FT9">
        <f t="shared" si="11"/>
        <v>517</v>
      </c>
      <c r="FU9">
        <f t="shared" si="11"/>
        <v>1877</v>
      </c>
    </row>
    <row r="10" spans="2:177">
      <c r="J10">
        <v>0</v>
      </c>
      <c r="K10">
        <v>0.1</v>
      </c>
      <c r="L10">
        <v>0.2</v>
      </c>
      <c r="M10">
        <v>0.3</v>
      </c>
      <c r="N10">
        <v>0.4</v>
      </c>
      <c r="O10">
        <v>0.5</v>
      </c>
      <c r="P10">
        <v>0.6</v>
      </c>
      <c r="Q10">
        <v>0.7</v>
      </c>
      <c r="R10">
        <v>0.8</v>
      </c>
      <c r="S10">
        <v>0.9</v>
      </c>
      <c r="T10">
        <v>1</v>
      </c>
      <c r="U10">
        <v>1.1000000000000001</v>
      </c>
      <c r="V10">
        <v>1.2</v>
      </c>
      <c r="W10">
        <v>1.3</v>
      </c>
      <c r="X10">
        <v>1.4</v>
      </c>
      <c r="Y10">
        <v>1.5</v>
      </c>
      <c r="Z10">
        <v>1.6</v>
      </c>
      <c r="AA10">
        <v>1.7</v>
      </c>
      <c r="AB10">
        <v>1.8</v>
      </c>
      <c r="AC10">
        <v>1.9</v>
      </c>
      <c r="AD10">
        <v>2</v>
      </c>
      <c r="AE10">
        <v>2.1</v>
      </c>
      <c r="AF10">
        <v>2.2000000000000002</v>
      </c>
      <c r="AG10">
        <v>2.2999999999999998</v>
      </c>
      <c r="AH10">
        <v>2.4</v>
      </c>
      <c r="AI10">
        <v>2.5</v>
      </c>
      <c r="AJ10">
        <v>2.6</v>
      </c>
      <c r="AK10">
        <v>2.7</v>
      </c>
      <c r="AL10">
        <v>2.8</v>
      </c>
      <c r="AM10">
        <v>2.9</v>
      </c>
      <c r="AN10">
        <v>3</v>
      </c>
      <c r="AO10">
        <v>3.1</v>
      </c>
      <c r="AP10">
        <v>3.2</v>
      </c>
      <c r="AQ10">
        <v>3.3</v>
      </c>
      <c r="AR10">
        <v>3.4</v>
      </c>
      <c r="AS10">
        <v>3.5</v>
      </c>
      <c r="AT10">
        <v>3.6</v>
      </c>
      <c r="AU10">
        <v>3.7</v>
      </c>
      <c r="AV10">
        <v>3.8</v>
      </c>
      <c r="AW10">
        <v>3.9</v>
      </c>
      <c r="AX10">
        <v>4</v>
      </c>
      <c r="AY10">
        <v>4.0999999999999996</v>
      </c>
      <c r="AZ10">
        <v>4.2</v>
      </c>
      <c r="BA10">
        <v>4.3</v>
      </c>
      <c r="BB10">
        <v>4.4000000000000004</v>
      </c>
      <c r="BC10">
        <v>4.5</v>
      </c>
      <c r="BD10">
        <v>4.5999999999999996</v>
      </c>
      <c r="BE10">
        <v>4.7</v>
      </c>
      <c r="BF10">
        <v>4.8</v>
      </c>
      <c r="BG10">
        <v>4.9000000000000004</v>
      </c>
      <c r="BH10">
        <v>5</v>
      </c>
      <c r="BI10">
        <v>5.0999999999999996</v>
      </c>
      <c r="BJ10">
        <v>5.2</v>
      </c>
      <c r="BK10">
        <v>5.3</v>
      </c>
      <c r="BL10">
        <v>5.4</v>
      </c>
      <c r="BM10">
        <v>5.5</v>
      </c>
      <c r="BN10">
        <v>5.6</v>
      </c>
      <c r="BO10">
        <v>5.7</v>
      </c>
      <c r="BP10">
        <v>5.8</v>
      </c>
      <c r="BQ10">
        <v>5.9</v>
      </c>
      <c r="BR10">
        <v>6</v>
      </c>
      <c r="BS10">
        <v>6.1</v>
      </c>
      <c r="BT10">
        <v>6.2</v>
      </c>
      <c r="BU10">
        <v>6.3</v>
      </c>
      <c r="BV10">
        <v>6.4</v>
      </c>
      <c r="BW10">
        <v>6.5</v>
      </c>
      <c r="BX10">
        <v>6.6</v>
      </c>
      <c r="BY10">
        <v>6.7</v>
      </c>
      <c r="BZ10">
        <v>6.8</v>
      </c>
      <c r="CA10">
        <v>6.9</v>
      </c>
      <c r="CB10">
        <v>7</v>
      </c>
      <c r="CC10">
        <v>7.1</v>
      </c>
      <c r="CD10">
        <v>7.2</v>
      </c>
      <c r="CE10">
        <v>7.3</v>
      </c>
      <c r="CF10">
        <v>7.4</v>
      </c>
      <c r="CG10">
        <v>7.5</v>
      </c>
      <c r="CH10">
        <v>7.6</v>
      </c>
      <c r="CI10">
        <v>7.7</v>
      </c>
      <c r="CJ10">
        <v>7.8</v>
      </c>
      <c r="CK10">
        <v>7.9</v>
      </c>
      <c r="CL10">
        <v>8</v>
      </c>
      <c r="CM10">
        <v>8.1</v>
      </c>
      <c r="CN10">
        <v>8.1999999999999993</v>
      </c>
      <c r="CO10">
        <v>8.3000000000000007</v>
      </c>
      <c r="CP10">
        <v>8.4</v>
      </c>
      <c r="CQ10">
        <v>8.5</v>
      </c>
      <c r="CR10">
        <v>8.6</v>
      </c>
      <c r="CS10">
        <v>8.6999999999999993</v>
      </c>
      <c r="CT10">
        <v>8.8000000000000007</v>
      </c>
      <c r="CU10">
        <v>8.9</v>
      </c>
      <c r="CV10">
        <v>9</v>
      </c>
      <c r="CW10">
        <v>9.1</v>
      </c>
      <c r="CX10">
        <v>9.1999999999999993</v>
      </c>
      <c r="CY10">
        <v>9.3000000000000007</v>
      </c>
      <c r="CZ10">
        <v>9.4</v>
      </c>
      <c r="DA10">
        <v>9.5</v>
      </c>
      <c r="DB10">
        <v>9.6</v>
      </c>
      <c r="DC10">
        <v>9.6999999999999993</v>
      </c>
      <c r="DD10">
        <v>9.8000000000000007</v>
      </c>
      <c r="DE10">
        <v>9.9</v>
      </c>
      <c r="DF10">
        <v>10</v>
      </c>
      <c r="DG10">
        <v>10.1</v>
      </c>
      <c r="DH10">
        <v>10.199999999999999</v>
      </c>
      <c r="DI10">
        <v>10.3</v>
      </c>
      <c r="DJ10">
        <v>10.4</v>
      </c>
      <c r="DK10">
        <v>10.5</v>
      </c>
      <c r="DL10">
        <v>10.6</v>
      </c>
      <c r="DM10">
        <v>10.7</v>
      </c>
      <c r="DN10">
        <v>10.8</v>
      </c>
      <c r="DO10">
        <v>10.9</v>
      </c>
      <c r="DP10">
        <v>11</v>
      </c>
      <c r="DQ10">
        <v>11.1</v>
      </c>
      <c r="DR10">
        <v>11.2</v>
      </c>
      <c r="DS10">
        <v>11.3</v>
      </c>
      <c r="DT10">
        <v>11.4</v>
      </c>
      <c r="DU10">
        <v>11.5</v>
      </c>
      <c r="DV10">
        <v>11.6</v>
      </c>
      <c r="DW10">
        <v>11.7</v>
      </c>
      <c r="DX10">
        <v>11.8</v>
      </c>
      <c r="DY10">
        <v>11.9</v>
      </c>
      <c r="DZ10">
        <v>12</v>
      </c>
      <c r="EA10">
        <v>12.1</v>
      </c>
      <c r="EB10">
        <v>12.2</v>
      </c>
      <c r="EC10">
        <v>12.3</v>
      </c>
      <c r="ED10">
        <v>12.4</v>
      </c>
      <c r="EE10">
        <v>12.5</v>
      </c>
      <c r="EF10">
        <v>12.6</v>
      </c>
      <c r="EG10">
        <v>12.7</v>
      </c>
      <c r="EH10">
        <v>12.8</v>
      </c>
      <c r="EI10">
        <v>12.9</v>
      </c>
      <c r="EJ10">
        <v>13</v>
      </c>
      <c r="EK10">
        <v>13.1</v>
      </c>
      <c r="EL10">
        <v>13.2</v>
      </c>
      <c r="EM10">
        <v>13.3</v>
      </c>
      <c r="EN10">
        <v>13.4</v>
      </c>
      <c r="EO10">
        <v>13.5</v>
      </c>
      <c r="EP10">
        <v>13.6</v>
      </c>
      <c r="EQ10">
        <v>13.7</v>
      </c>
      <c r="ER10">
        <v>13.8</v>
      </c>
      <c r="ES10">
        <v>13.9</v>
      </c>
      <c r="ET10">
        <v>14</v>
      </c>
      <c r="EU10">
        <v>14.1</v>
      </c>
      <c r="EV10">
        <v>14.2</v>
      </c>
      <c r="EW10">
        <v>14.3</v>
      </c>
      <c r="EX10">
        <v>14.4</v>
      </c>
      <c r="EY10">
        <v>14.5</v>
      </c>
      <c r="EZ10">
        <v>14.6</v>
      </c>
      <c r="FA10">
        <v>14.7</v>
      </c>
      <c r="FB10">
        <v>14.8</v>
      </c>
      <c r="FC10">
        <v>14.9</v>
      </c>
      <c r="FD10">
        <v>15</v>
      </c>
      <c r="FE10">
        <v>15.1</v>
      </c>
      <c r="FF10">
        <v>15.2</v>
      </c>
      <c r="FG10">
        <v>15.3</v>
      </c>
      <c r="FH10">
        <v>15.4</v>
      </c>
      <c r="FI10">
        <v>15.5</v>
      </c>
      <c r="FJ10">
        <v>15.6</v>
      </c>
      <c r="FK10">
        <v>15.7</v>
      </c>
      <c r="FL10">
        <v>15.8</v>
      </c>
      <c r="FM10">
        <v>15.9</v>
      </c>
      <c r="FN10">
        <v>16</v>
      </c>
      <c r="FO10">
        <v>16.100000000000001</v>
      </c>
      <c r="FP10">
        <v>16.2</v>
      </c>
      <c r="FQ10">
        <v>16.3</v>
      </c>
      <c r="FR10">
        <v>16.399999999999999</v>
      </c>
      <c r="FS10">
        <v>16.5</v>
      </c>
      <c r="FT10">
        <v>16.600000000000001</v>
      </c>
      <c r="FU10">
        <v>16.7</v>
      </c>
    </row>
    <row r="11" spans="2:177">
      <c r="H11" t="s">
        <v>38</v>
      </c>
      <c r="I11" t="s">
        <v>22</v>
      </c>
      <c r="J11">
        <f>J55</f>
        <v>22</v>
      </c>
      <c r="K11">
        <f t="shared" ref="K11:BV11" si="12">K55</f>
        <v>16</v>
      </c>
      <c r="L11">
        <f t="shared" si="12"/>
        <v>10</v>
      </c>
      <c r="M11">
        <f t="shared" si="12"/>
        <v>14</v>
      </c>
      <c r="N11">
        <f t="shared" si="12"/>
        <v>15</v>
      </c>
      <c r="O11">
        <f t="shared" si="12"/>
        <v>20</v>
      </c>
      <c r="P11">
        <f t="shared" si="12"/>
        <v>28</v>
      </c>
      <c r="Q11">
        <f t="shared" si="12"/>
        <v>22</v>
      </c>
      <c r="R11">
        <f t="shared" si="12"/>
        <v>17</v>
      </c>
      <c r="S11">
        <f t="shared" si="12"/>
        <v>13</v>
      </c>
      <c r="T11">
        <f t="shared" si="12"/>
        <v>15</v>
      </c>
      <c r="U11">
        <f t="shared" si="12"/>
        <v>20</v>
      </c>
      <c r="V11">
        <f t="shared" si="12"/>
        <v>21</v>
      </c>
      <c r="W11">
        <f t="shared" si="12"/>
        <v>17</v>
      </c>
      <c r="X11">
        <f t="shared" si="12"/>
        <v>20</v>
      </c>
      <c r="Y11">
        <f t="shared" si="12"/>
        <v>24</v>
      </c>
      <c r="Z11">
        <f t="shared" si="12"/>
        <v>39</v>
      </c>
      <c r="AA11">
        <f t="shared" si="12"/>
        <v>37</v>
      </c>
      <c r="AB11">
        <f t="shared" si="12"/>
        <v>39</v>
      </c>
      <c r="AC11">
        <f t="shared" si="12"/>
        <v>33</v>
      </c>
      <c r="AD11">
        <f t="shared" si="12"/>
        <v>25</v>
      </c>
      <c r="AE11">
        <f t="shared" si="12"/>
        <v>34</v>
      </c>
      <c r="AF11">
        <f t="shared" si="12"/>
        <v>33</v>
      </c>
      <c r="AG11">
        <f t="shared" si="12"/>
        <v>36</v>
      </c>
      <c r="AH11">
        <f t="shared" si="12"/>
        <v>26</v>
      </c>
      <c r="AI11">
        <f t="shared" si="12"/>
        <v>33</v>
      </c>
      <c r="AJ11">
        <f t="shared" si="12"/>
        <v>29</v>
      </c>
      <c r="AK11">
        <f t="shared" si="12"/>
        <v>27</v>
      </c>
      <c r="AL11">
        <f t="shared" si="12"/>
        <v>24</v>
      </c>
      <c r="AM11">
        <f t="shared" si="12"/>
        <v>20</v>
      </c>
      <c r="AN11">
        <f t="shared" si="12"/>
        <v>23</v>
      </c>
      <c r="AO11">
        <f t="shared" si="12"/>
        <v>36</v>
      </c>
      <c r="AP11">
        <f t="shared" si="12"/>
        <v>40</v>
      </c>
      <c r="AQ11">
        <f t="shared" si="12"/>
        <v>229</v>
      </c>
      <c r="AR11">
        <f t="shared" si="12"/>
        <v>124</v>
      </c>
      <c r="AS11">
        <f t="shared" si="12"/>
        <v>85</v>
      </c>
      <c r="AT11">
        <f t="shared" si="12"/>
        <v>83</v>
      </c>
      <c r="AU11">
        <f t="shared" si="12"/>
        <v>92</v>
      </c>
      <c r="AV11">
        <f t="shared" si="12"/>
        <v>76</v>
      </c>
      <c r="AW11">
        <f t="shared" si="12"/>
        <v>82</v>
      </c>
      <c r="AX11">
        <f t="shared" si="12"/>
        <v>54</v>
      </c>
      <c r="AY11">
        <f t="shared" si="12"/>
        <v>65</v>
      </c>
      <c r="AZ11">
        <f t="shared" si="12"/>
        <v>47</v>
      </c>
      <c r="BA11">
        <f t="shared" si="12"/>
        <v>60</v>
      </c>
      <c r="BB11">
        <f t="shared" si="12"/>
        <v>64</v>
      </c>
      <c r="BC11">
        <f t="shared" si="12"/>
        <v>53</v>
      </c>
      <c r="BD11">
        <f t="shared" si="12"/>
        <v>59</v>
      </c>
      <c r="BE11">
        <f t="shared" si="12"/>
        <v>62</v>
      </c>
      <c r="BF11">
        <f t="shared" si="12"/>
        <v>52</v>
      </c>
      <c r="BG11">
        <f t="shared" si="12"/>
        <v>46</v>
      </c>
      <c r="BH11">
        <f t="shared" si="12"/>
        <v>51</v>
      </c>
      <c r="BI11">
        <f t="shared" si="12"/>
        <v>59</v>
      </c>
      <c r="BJ11">
        <f t="shared" si="12"/>
        <v>52</v>
      </c>
      <c r="BK11">
        <f t="shared" si="12"/>
        <v>51</v>
      </c>
      <c r="BL11">
        <f t="shared" si="12"/>
        <v>55</v>
      </c>
      <c r="BM11">
        <f t="shared" si="12"/>
        <v>45</v>
      </c>
      <c r="BN11">
        <f t="shared" si="12"/>
        <v>60</v>
      </c>
      <c r="BO11">
        <f t="shared" si="12"/>
        <v>82</v>
      </c>
      <c r="BP11">
        <f t="shared" si="12"/>
        <v>70</v>
      </c>
      <c r="BQ11">
        <f t="shared" si="12"/>
        <v>89</v>
      </c>
      <c r="BR11">
        <f t="shared" si="12"/>
        <v>67</v>
      </c>
      <c r="BS11">
        <f t="shared" si="12"/>
        <v>80</v>
      </c>
      <c r="BT11">
        <f t="shared" si="12"/>
        <v>105</v>
      </c>
      <c r="BU11">
        <f t="shared" si="12"/>
        <v>80</v>
      </c>
      <c r="BV11">
        <f t="shared" si="12"/>
        <v>80</v>
      </c>
      <c r="BW11">
        <f t="shared" ref="BW11:EH11" si="13">BW55</f>
        <v>67</v>
      </c>
      <c r="BX11">
        <f t="shared" si="13"/>
        <v>106</v>
      </c>
      <c r="BY11">
        <f t="shared" si="13"/>
        <v>110</v>
      </c>
      <c r="BZ11">
        <f t="shared" si="13"/>
        <v>64</v>
      </c>
      <c r="CA11">
        <f t="shared" si="13"/>
        <v>81</v>
      </c>
      <c r="CB11">
        <f t="shared" si="13"/>
        <v>72</v>
      </c>
      <c r="CC11">
        <f t="shared" si="13"/>
        <v>77</v>
      </c>
      <c r="CD11">
        <f t="shared" si="13"/>
        <v>82</v>
      </c>
      <c r="CE11">
        <f t="shared" si="13"/>
        <v>74</v>
      </c>
      <c r="CF11">
        <f t="shared" si="13"/>
        <v>79</v>
      </c>
      <c r="CG11">
        <f t="shared" si="13"/>
        <v>106</v>
      </c>
      <c r="CH11">
        <f t="shared" si="13"/>
        <v>88</v>
      </c>
      <c r="CI11">
        <f t="shared" si="13"/>
        <v>84</v>
      </c>
      <c r="CJ11">
        <f t="shared" si="13"/>
        <v>95</v>
      </c>
      <c r="CK11">
        <f t="shared" si="13"/>
        <v>86</v>
      </c>
      <c r="CL11">
        <f t="shared" si="13"/>
        <v>70</v>
      </c>
      <c r="CM11">
        <f t="shared" si="13"/>
        <v>80</v>
      </c>
      <c r="CN11">
        <f t="shared" si="13"/>
        <v>80</v>
      </c>
      <c r="CO11">
        <f t="shared" si="13"/>
        <v>85</v>
      </c>
      <c r="CP11">
        <f t="shared" si="13"/>
        <v>82</v>
      </c>
      <c r="CQ11">
        <f t="shared" si="13"/>
        <v>73</v>
      </c>
      <c r="CR11">
        <f t="shared" si="13"/>
        <v>74</v>
      </c>
      <c r="CS11">
        <f t="shared" si="13"/>
        <v>81</v>
      </c>
      <c r="CT11">
        <f t="shared" si="13"/>
        <v>88</v>
      </c>
      <c r="CU11">
        <f t="shared" si="13"/>
        <v>64</v>
      </c>
      <c r="CV11">
        <f t="shared" si="13"/>
        <v>72</v>
      </c>
      <c r="CW11">
        <f t="shared" si="13"/>
        <v>61</v>
      </c>
      <c r="CX11">
        <f t="shared" si="13"/>
        <v>60</v>
      </c>
      <c r="CY11">
        <f t="shared" si="13"/>
        <v>74</v>
      </c>
      <c r="CZ11">
        <f t="shared" si="13"/>
        <v>59</v>
      </c>
      <c r="DA11">
        <f t="shared" si="13"/>
        <v>54</v>
      </c>
      <c r="DB11">
        <f t="shared" si="13"/>
        <v>55</v>
      </c>
      <c r="DC11">
        <f t="shared" si="13"/>
        <v>68</v>
      </c>
      <c r="DD11">
        <f t="shared" si="13"/>
        <v>63</v>
      </c>
      <c r="DE11">
        <f t="shared" si="13"/>
        <v>68</v>
      </c>
      <c r="DF11">
        <f t="shared" si="13"/>
        <v>77</v>
      </c>
      <c r="DG11">
        <f t="shared" si="13"/>
        <v>67</v>
      </c>
      <c r="DH11">
        <f t="shared" si="13"/>
        <v>76</v>
      </c>
      <c r="DI11">
        <f t="shared" si="13"/>
        <v>80</v>
      </c>
      <c r="DJ11">
        <f t="shared" si="13"/>
        <v>115</v>
      </c>
      <c r="DK11">
        <f t="shared" si="13"/>
        <v>98</v>
      </c>
      <c r="DL11">
        <f t="shared" si="13"/>
        <v>96</v>
      </c>
      <c r="DM11">
        <f t="shared" si="13"/>
        <v>91</v>
      </c>
      <c r="DN11">
        <f t="shared" si="13"/>
        <v>65</v>
      </c>
      <c r="DO11">
        <f t="shared" si="13"/>
        <v>79</v>
      </c>
      <c r="DP11">
        <f t="shared" si="13"/>
        <v>83</v>
      </c>
      <c r="DQ11">
        <f t="shared" si="13"/>
        <v>87</v>
      </c>
      <c r="DR11">
        <f t="shared" si="13"/>
        <v>83</v>
      </c>
      <c r="DS11">
        <f t="shared" si="13"/>
        <v>73</v>
      </c>
      <c r="DT11">
        <f t="shared" si="13"/>
        <v>88</v>
      </c>
      <c r="DU11">
        <f t="shared" si="13"/>
        <v>78</v>
      </c>
      <c r="DV11">
        <f t="shared" si="13"/>
        <v>68</v>
      </c>
      <c r="DW11">
        <f t="shared" si="13"/>
        <v>80</v>
      </c>
      <c r="DX11">
        <f t="shared" si="13"/>
        <v>94</v>
      </c>
      <c r="DY11">
        <f t="shared" si="13"/>
        <v>85</v>
      </c>
      <c r="DZ11">
        <f t="shared" si="13"/>
        <v>91</v>
      </c>
      <c r="EA11">
        <f t="shared" si="13"/>
        <v>74</v>
      </c>
      <c r="EB11">
        <f t="shared" si="13"/>
        <v>71</v>
      </c>
      <c r="EC11">
        <f t="shared" si="13"/>
        <v>72</v>
      </c>
      <c r="ED11">
        <f t="shared" si="13"/>
        <v>86</v>
      </c>
      <c r="EE11">
        <f t="shared" si="13"/>
        <v>90</v>
      </c>
      <c r="EF11">
        <f t="shared" si="13"/>
        <v>94</v>
      </c>
      <c r="EG11">
        <f t="shared" si="13"/>
        <v>98</v>
      </c>
      <c r="EH11">
        <f t="shared" si="13"/>
        <v>85</v>
      </c>
      <c r="EI11">
        <f t="shared" ref="EI11:FU11" si="14">EI55</f>
        <v>85</v>
      </c>
      <c r="EJ11">
        <f t="shared" si="14"/>
        <v>78</v>
      </c>
      <c r="EK11">
        <f t="shared" si="14"/>
        <v>129</v>
      </c>
      <c r="EL11">
        <f t="shared" si="14"/>
        <v>83</v>
      </c>
      <c r="EM11">
        <f t="shared" si="14"/>
        <v>81</v>
      </c>
      <c r="EN11">
        <f t="shared" si="14"/>
        <v>90</v>
      </c>
      <c r="EO11">
        <f t="shared" si="14"/>
        <v>77</v>
      </c>
      <c r="EP11">
        <f t="shared" si="14"/>
        <v>82</v>
      </c>
      <c r="EQ11">
        <f t="shared" si="14"/>
        <v>111</v>
      </c>
      <c r="ER11">
        <f t="shared" si="14"/>
        <v>107</v>
      </c>
      <c r="ES11">
        <f t="shared" si="14"/>
        <v>91</v>
      </c>
      <c r="ET11">
        <f t="shared" si="14"/>
        <v>98</v>
      </c>
      <c r="EU11">
        <f t="shared" si="14"/>
        <v>105</v>
      </c>
      <c r="EV11">
        <f t="shared" si="14"/>
        <v>79</v>
      </c>
      <c r="EW11">
        <f t="shared" si="14"/>
        <v>80</v>
      </c>
      <c r="EX11">
        <f t="shared" si="14"/>
        <v>92</v>
      </c>
      <c r="EY11">
        <f t="shared" si="14"/>
        <v>80</v>
      </c>
      <c r="EZ11">
        <f t="shared" si="14"/>
        <v>77</v>
      </c>
      <c r="FA11">
        <f t="shared" si="14"/>
        <v>94</v>
      </c>
      <c r="FB11">
        <f t="shared" si="14"/>
        <v>119</v>
      </c>
      <c r="FC11">
        <f t="shared" si="14"/>
        <v>97</v>
      </c>
      <c r="FD11">
        <f t="shared" si="14"/>
        <v>92</v>
      </c>
      <c r="FE11">
        <f t="shared" si="14"/>
        <v>114</v>
      </c>
      <c r="FF11">
        <f t="shared" si="14"/>
        <v>85</v>
      </c>
      <c r="FG11">
        <f t="shared" si="14"/>
        <v>98</v>
      </c>
      <c r="FH11">
        <f t="shared" si="14"/>
        <v>94</v>
      </c>
      <c r="FI11">
        <f t="shared" si="14"/>
        <v>113</v>
      </c>
      <c r="FJ11">
        <f t="shared" si="14"/>
        <v>129</v>
      </c>
      <c r="FK11">
        <f t="shared" si="14"/>
        <v>129</v>
      </c>
      <c r="FL11">
        <f t="shared" si="14"/>
        <v>188</v>
      </c>
      <c r="FM11">
        <f t="shared" si="14"/>
        <v>183</v>
      </c>
      <c r="FN11">
        <f t="shared" si="14"/>
        <v>196</v>
      </c>
      <c r="FO11">
        <f t="shared" si="14"/>
        <v>250</v>
      </c>
      <c r="FP11">
        <f t="shared" si="14"/>
        <v>277</v>
      </c>
      <c r="FQ11">
        <f t="shared" si="14"/>
        <v>196</v>
      </c>
      <c r="FR11">
        <f t="shared" si="14"/>
        <v>227</v>
      </c>
      <c r="FS11">
        <f t="shared" si="14"/>
        <v>202</v>
      </c>
      <c r="FT11">
        <f t="shared" si="14"/>
        <v>332</v>
      </c>
      <c r="FU11">
        <f t="shared" si="14"/>
        <v>3108</v>
      </c>
    </row>
    <row r="12" spans="2:177">
      <c r="I12" t="s">
        <v>26</v>
      </c>
      <c r="J12">
        <f>J109</f>
        <v>0</v>
      </c>
      <c r="K12">
        <f t="shared" ref="K12:BV12" si="15">K109</f>
        <v>0</v>
      </c>
      <c r="L12">
        <f t="shared" si="15"/>
        <v>0</v>
      </c>
      <c r="M12">
        <f t="shared" si="15"/>
        <v>0</v>
      </c>
      <c r="N12">
        <f t="shared" si="15"/>
        <v>0</v>
      </c>
      <c r="O12">
        <f t="shared" si="15"/>
        <v>0</v>
      </c>
      <c r="P12">
        <f t="shared" si="15"/>
        <v>0</v>
      </c>
      <c r="Q12">
        <f t="shared" si="15"/>
        <v>0</v>
      </c>
      <c r="R12">
        <f t="shared" si="15"/>
        <v>0</v>
      </c>
      <c r="S12">
        <f t="shared" si="15"/>
        <v>0</v>
      </c>
      <c r="T12">
        <f t="shared" si="15"/>
        <v>0</v>
      </c>
      <c r="U12">
        <f t="shared" si="15"/>
        <v>0</v>
      </c>
      <c r="V12">
        <f t="shared" si="15"/>
        <v>0</v>
      </c>
      <c r="W12">
        <f t="shared" si="15"/>
        <v>2</v>
      </c>
      <c r="X12">
        <f t="shared" si="15"/>
        <v>2</v>
      </c>
      <c r="Y12">
        <f t="shared" si="15"/>
        <v>1</v>
      </c>
      <c r="Z12">
        <f t="shared" si="15"/>
        <v>1</v>
      </c>
      <c r="AA12">
        <f t="shared" si="15"/>
        <v>1</v>
      </c>
      <c r="AB12">
        <f t="shared" si="15"/>
        <v>1</v>
      </c>
      <c r="AC12">
        <f t="shared" si="15"/>
        <v>1</v>
      </c>
      <c r="AD12">
        <f t="shared" si="15"/>
        <v>0</v>
      </c>
      <c r="AE12">
        <f t="shared" si="15"/>
        <v>1</v>
      </c>
      <c r="AF12">
        <f t="shared" si="15"/>
        <v>1</v>
      </c>
      <c r="AG12">
        <f t="shared" si="15"/>
        <v>0</v>
      </c>
      <c r="AH12">
        <f t="shared" si="15"/>
        <v>1</v>
      </c>
      <c r="AI12">
        <f t="shared" si="15"/>
        <v>1</v>
      </c>
      <c r="AJ12">
        <f t="shared" si="15"/>
        <v>0</v>
      </c>
      <c r="AK12">
        <f t="shared" si="15"/>
        <v>1</v>
      </c>
      <c r="AL12">
        <f t="shared" si="15"/>
        <v>0</v>
      </c>
      <c r="AM12">
        <f t="shared" si="15"/>
        <v>1</v>
      </c>
      <c r="AN12">
        <f t="shared" si="15"/>
        <v>1</v>
      </c>
      <c r="AO12">
        <f t="shared" si="15"/>
        <v>1</v>
      </c>
      <c r="AP12">
        <f t="shared" si="15"/>
        <v>0</v>
      </c>
      <c r="AQ12">
        <f t="shared" si="15"/>
        <v>1</v>
      </c>
      <c r="AR12">
        <f t="shared" si="15"/>
        <v>0</v>
      </c>
      <c r="AS12">
        <f t="shared" si="15"/>
        <v>1</v>
      </c>
      <c r="AT12">
        <f t="shared" si="15"/>
        <v>0</v>
      </c>
      <c r="AU12">
        <f t="shared" si="15"/>
        <v>1</v>
      </c>
      <c r="AV12">
        <f t="shared" si="15"/>
        <v>0</v>
      </c>
      <c r="AW12">
        <f t="shared" si="15"/>
        <v>1</v>
      </c>
      <c r="AX12">
        <f t="shared" si="15"/>
        <v>0</v>
      </c>
      <c r="AY12">
        <f t="shared" si="15"/>
        <v>0</v>
      </c>
      <c r="AZ12">
        <f t="shared" si="15"/>
        <v>1</v>
      </c>
      <c r="BA12">
        <f t="shared" si="15"/>
        <v>0</v>
      </c>
      <c r="BB12">
        <f t="shared" si="15"/>
        <v>1</v>
      </c>
      <c r="BC12">
        <f t="shared" si="15"/>
        <v>0</v>
      </c>
      <c r="BD12">
        <f t="shared" si="15"/>
        <v>1</v>
      </c>
      <c r="BE12">
        <f t="shared" si="15"/>
        <v>0</v>
      </c>
      <c r="BF12">
        <f t="shared" si="15"/>
        <v>1</v>
      </c>
      <c r="BG12">
        <f t="shared" si="15"/>
        <v>0</v>
      </c>
      <c r="BH12">
        <f t="shared" si="15"/>
        <v>7</v>
      </c>
      <c r="BI12">
        <f t="shared" si="15"/>
        <v>2</v>
      </c>
      <c r="BJ12">
        <f t="shared" si="15"/>
        <v>2</v>
      </c>
      <c r="BK12">
        <f t="shared" si="15"/>
        <v>2</v>
      </c>
      <c r="BL12">
        <f t="shared" si="15"/>
        <v>1</v>
      </c>
      <c r="BM12">
        <f t="shared" si="15"/>
        <v>2</v>
      </c>
      <c r="BN12">
        <f t="shared" si="15"/>
        <v>1</v>
      </c>
      <c r="BO12">
        <f t="shared" si="15"/>
        <v>1</v>
      </c>
      <c r="BP12">
        <f t="shared" si="15"/>
        <v>2</v>
      </c>
      <c r="BQ12">
        <f t="shared" si="15"/>
        <v>1</v>
      </c>
      <c r="BR12">
        <f t="shared" si="15"/>
        <v>2</v>
      </c>
      <c r="BS12">
        <f t="shared" si="15"/>
        <v>2</v>
      </c>
      <c r="BT12">
        <f t="shared" si="15"/>
        <v>2</v>
      </c>
      <c r="BU12">
        <f t="shared" si="15"/>
        <v>1</v>
      </c>
      <c r="BV12">
        <f t="shared" si="15"/>
        <v>1</v>
      </c>
      <c r="BW12">
        <f t="shared" ref="BW12:EH12" si="16">BW109</f>
        <v>1</v>
      </c>
      <c r="BX12">
        <f t="shared" si="16"/>
        <v>1</v>
      </c>
      <c r="BY12">
        <f t="shared" si="16"/>
        <v>1</v>
      </c>
      <c r="BZ12">
        <f t="shared" si="16"/>
        <v>1</v>
      </c>
      <c r="CA12">
        <f t="shared" si="16"/>
        <v>1</v>
      </c>
      <c r="CB12">
        <f t="shared" si="16"/>
        <v>0</v>
      </c>
      <c r="CC12">
        <f t="shared" si="16"/>
        <v>1</v>
      </c>
      <c r="CD12">
        <f t="shared" si="16"/>
        <v>1</v>
      </c>
      <c r="CE12">
        <f t="shared" si="16"/>
        <v>0</v>
      </c>
      <c r="CF12">
        <f t="shared" si="16"/>
        <v>1</v>
      </c>
      <c r="CG12">
        <f t="shared" si="16"/>
        <v>1</v>
      </c>
      <c r="CH12">
        <f t="shared" si="16"/>
        <v>0</v>
      </c>
      <c r="CI12">
        <f t="shared" si="16"/>
        <v>2</v>
      </c>
      <c r="CJ12">
        <f t="shared" si="16"/>
        <v>4</v>
      </c>
      <c r="CK12">
        <f t="shared" si="16"/>
        <v>3</v>
      </c>
      <c r="CL12">
        <f t="shared" si="16"/>
        <v>4</v>
      </c>
      <c r="CM12">
        <f t="shared" si="16"/>
        <v>4</v>
      </c>
      <c r="CN12">
        <f t="shared" si="16"/>
        <v>1</v>
      </c>
      <c r="CO12">
        <f t="shared" si="16"/>
        <v>3</v>
      </c>
      <c r="CP12">
        <f t="shared" si="16"/>
        <v>1</v>
      </c>
      <c r="CQ12">
        <f t="shared" si="16"/>
        <v>2</v>
      </c>
      <c r="CR12">
        <f t="shared" si="16"/>
        <v>1</v>
      </c>
      <c r="CS12">
        <f t="shared" si="16"/>
        <v>2</v>
      </c>
      <c r="CT12">
        <f t="shared" si="16"/>
        <v>1</v>
      </c>
      <c r="CU12">
        <f t="shared" si="16"/>
        <v>2</v>
      </c>
      <c r="CV12">
        <f t="shared" si="16"/>
        <v>1</v>
      </c>
      <c r="CW12">
        <f t="shared" si="16"/>
        <v>2</v>
      </c>
      <c r="CX12">
        <f t="shared" si="16"/>
        <v>2</v>
      </c>
      <c r="CY12">
        <f t="shared" si="16"/>
        <v>1</v>
      </c>
      <c r="CZ12">
        <f t="shared" si="16"/>
        <v>1</v>
      </c>
      <c r="DA12">
        <f t="shared" si="16"/>
        <v>2</v>
      </c>
      <c r="DB12">
        <f t="shared" si="16"/>
        <v>1</v>
      </c>
      <c r="DC12">
        <f t="shared" si="16"/>
        <v>2</v>
      </c>
      <c r="DD12">
        <f t="shared" si="16"/>
        <v>0</v>
      </c>
      <c r="DE12">
        <f t="shared" si="16"/>
        <v>2</v>
      </c>
      <c r="DF12">
        <f t="shared" si="16"/>
        <v>2</v>
      </c>
      <c r="DG12">
        <f t="shared" si="16"/>
        <v>1</v>
      </c>
      <c r="DH12">
        <f t="shared" si="16"/>
        <v>1</v>
      </c>
      <c r="DI12">
        <f t="shared" si="16"/>
        <v>1</v>
      </c>
      <c r="DJ12">
        <f t="shared" si="16"/>
        <v>2</v>
      </c>
      <c r="DK12">
        <f t="shared" si="16"/>
        <v>4</v>
      </c>
      <c r="DL12">
        <f t="shared" si="16"/>
        <v>7</v>
      </c>
      <c r="DM12">
        <f t="shared" si="16"/>
        <v>3</v>
      </c>
      <c r="DN12">
        <f t="shared" si="16"/>
        <v>5</v>
      </c>
      <c r="DO12">
        <f t="shared" si="16"/>
        <v>5</v>
      </c>
      <c r="DP12">
        <f t="shared" si="16"/>
        <v>2</v>
      </c>
      <c r="DQ12">
        <f t="shared" si="16"/>
        <v>3</v>
      </c>
      <c r="DR12">
        <f t="shared" si="16"/>
        <v>3</v>
      </c>
      <c r="DS12">
        <f t="shared" si="16"/>
        <v>3</v>
      </c>
      <c r="DT12">
        <f t="shared" si="16"/>
        <v>7</v>
      </c>
      <c r="DU12">
        <f t="shared" si="16"/>
        <v>4</v>
      </c>
      <c r="DV12">
        <f t="shared" si="16"/>
        <v>7</v>
      </c>
      <c r="DW12">
        <f t="shared" si="16"/>
        <v>4</v>
      </c>
      <c r="DX12">
        <f t="shared" si="16"/>
        <v>9</v>
      </c>
      <c r="DY12">
        <f t="shared" si="16"/>
        <v>7</v>
      </c>
      <c r="DZ12">
        <f t="shared" si="16"/>
        <v>6</v>
      </c>
      <c r="EA12">
        <f t="shared" si="16"/>
        <v>10</v>
      </c>
      <c r="EB12">
        <f t="shared" si="16"/>
        <v>10</v>
      </c>
      <c r="EC12">
        <f t="shared" si="16"/>
        <v>8</v>
      </c>
      <c r="ED12">
        <f t="shared" si="16"/>
        <v>11</v>
      </c>
      <c r="EE12">
        <f t="shared" si="16"/>
        <v>8</v>
      </c>
      <c r="EF12">
        <f t="shared" si="16"/>
        <v>5</v>
      </c>
      <c r="EG12">
        <f t="shared" si="16"/>
        <v>9</v>
      </c>
      <c r="EH12">
        <f t="shared" si="16"/>
        <v>9</v>
      </c>
      <c r="EI12">
        <f t="shared" ref="EI12:FU12" si="17">EI109</f>
        <v>4</v>
      </c>
      <c r="EJ12">
        <f t="shared" si="17"/>
        <v>8</v>
      </c>
      <c r="EK12">
        <f t="shared" si="17"/>
        <v>7</v>
      </c>
      <c r="EL12">
        <f t="shared" si="17"/>
        <v>9</v>
      </c>
      <c r="EM12">
        <f t="shared" si="17"/>
        <v>21</v>
      </c>
      <c r="EN12">
        <f t="shared" si="17"/>
        <v>6</v>
      </c>
      <c r="EO12">
        <f t="shared" si="17"/>
        <v>4</v>
      </c>
      <c r="EP12">
        <f t="shared" si="17"/>
        <v>4</v>
      </c>
      <c r="EQ12">
        <f t="shared" si="17"/>
        <v>9</v>
      </c>
      <c r="ER12">
        <f t="shared" si="17"/>
        <v>17</v>
      </c>
      <c r="ES12">
        <f t="shared" si="17"/>
        <v>39</v>
      </c>
      <c r="ET12">
        <f t="shared" si="17"/>
        <v>40</v>
      </c>
      <c r="EU12">
        <f t="shared" si="17"/>
        <v>40</v>
      </c>
      <c r="EV12">
        <f t="shared" si="17"/>
        <v>31</v>
      </c>
      <c r="EW12">
        <f t="shared" si="17"/>
        <v>25</v>
      </c>
      <c r="EX12">
        <f t="shared" si="17"/>
        <v>27</v>
      </c>
      <c r="EY12">
        <f t="shared" si="17"/>
        <v>41</v>
      </c>
      <c r="EZ12">
        <f t="shared" si="17"/>
        <v>38</v>
      </c>
      <c r="FA12">
        <f t="shared" si="17"/>
        <v>78</v>
      </c>
      <c r="FB12">
        <f t="shared" si="17"/>
        <v>41</v>
      </c>
      <c r="FC12">
        <f t="shared" si="17"/>
        <v>45</v>
      </c>
      <c r="FD12">
        <f t="shared" si="17"/>
        <v>43</v>
      </c>
      <c r="FE12">
        <f t="shared" si="17"/>
        <v>37</v>
      </c>
      <c r="FF12">
        <f t="shared" si="17"/>
        <v>45</v>
      </c>
      <c r="FG12">
        <f t="shared" si="17"/>
        <v>39</v>
      </c>
      <c r="FH12">
        <f t="shared" si="17"/>
        <v>44</v>
      </c>
      <c r="FI12">
        <f t="shared" si="17"/>
        <v>44</v>
      </c>
      <c r="FJ12">
        <f t="shared" si="17"/>
        <v>32</v>
      </c>
      <c r="FK12">
        <f t="shared" si="17"/>
        <v>52</v>
      </c>
      <c r="FL12">
        <f t="shared" si="17"/>
        <v>45</v>
      </c>
      <c r="FM12">
        <f t="shared" si="17"/>
        <v>63</v>
      </c>
      <c r="FN12">
        <f t="shared" si="17"/>
        <v>65</v>
      </c>
      <c r="FO12">
        <f t="shared" si="17"/>
        <v>113</v>
      </c>
      <c r="FP12">
        <f t="shared" si="17"/>
        <v>117</v>
      </c>
      <c r="FQ12">
        <f t="shared" si="17"/>
        <v>101</v>
      </c>
      <c r="FR12">
        <f t="shared" si="17"/>
        <v>124</v>
      </c>
      <c r="FS12">
        <f t="shared" si="17"/>
        <v>130</v>
      </c>
      <c r="FT12">
        <f t="shared" si="17"/>
        <v>232</v>
      </c>
      <c r="FU12">
        <f t="shared" si="17"/>
        <v>9453</v>
      </c>
    </row>
    <row r="15" spans="2:177">
      <c r="J15">
        <v>0</v>
      </c>
      <c r="K15">
        <v>0.5</v>
      </c>
      <c r="L15">
        <v>1</v>
      </c>
      <c r="M15">
        <v>1.5</v>
      </c>
      <c r="N15">
        <v>2</v>
      </c>
      <c r="O15">
        <v>2.5</v>
      </c>
      <c r="P15">
        <v>3</v>
      </c>
      <c r="Q15">
        <v>3.5</v>
      </c>
      <c r="R15">
        <v>4</v>
      </c>
      <c r="S15">
        <v>4.5</v>
      </c>
      <c r="T15">
        <v>5</v>
      </c>
      <c r="U15">
        <v>5.5</v>
      </c>
      <c r="V15">
        <v>6</v>
      </c>
      <c r="W15">
        <v>6.5</v>
      </c>
      <c r="X15">
        <v>7</v>
      </c>
      <c r="Y15">
        <v>7.5</v>
      </c>
      <c r="Z15">
        <v>8</v>
      </c>
      <c r="AA15">
        <v>8.5</v>
      </c>
      <c r="AB15">
        <v>9</v>
      </c>
      <c r="AC15">
        <v>9.5</v>
      </c>
      <c r="AD15">
        <v>10</v>
      </c>
      <c r="AE15">
        <v>10.5</v>
      </c>
      <c r="AF15">
        <v>11</v>
      </c>
      <c r="AG15">
        <v>11.5</v>
      </c>
      <c r="AH15">
        <v>12</v>
      </c>
      <c r="AI15">
        <v>12.5</v>
      </c>
      <c r="AJ15">
        <v>13</v>
      </c>
      <c r="AK15">
        <v>13.5</v>
      </c>
      <c r="AL15">
        <v>14</v>
      </c>
      <c r="AM15">
        <v>14.5</v>
      </c>
      <c r="AN15">
        <v>15</v>
      </c>
      <c r="AO15">
        <v>15.5</v>
      </c>
      <c r="AP15">
        <v>16</v>
      </c>
      <c r="AQ15">
        <v>16.5</v>
      </c>
    </row>
    <row r="16" spans="2:177">
      <c r="H16" t="s">
        <v>46</v>
      </c>
      <c r="I16" t="s">
        <v>22</v>
      </c>
      <c r="J16">
        <f>SUM(J5:N5)</f>
        <v>1511</v>
      </c>
      <c r="K16">
        <f>SUM(O5:S5)</f>
        <v>1157</v>
      </c>
      <c r="L16">
        <f>SUM(T5:X5)</f>
        <v>1440</v>
      </c>
      <c r="M16">
        <f>SUM(Y5:AC5)</f>
        <v>2086</v>
      </c>
      <c r="N16">
        <f>SUM(AD5:AH5)</f>
        <v>2772</v>
      </c>
      <c r="O16">
        <f>SUM(AI5:AM5)</f>
        <v>2133</v>
      </c>
      <c r="P16">
        <f>SUM(AN5:AR5)</f>
        <v>1963</v>
      </c>
      <c r="Q16">
        <f>SUM(AS5:AW5)</f>
        <v>1640</v>
      </c>
      <c r="R16">
        <f>SUM(AX5:BB5)</f>
        <v>1325</v>
      </c>
      <c r="S16">
        <f>SUM(BC5:BG5)</f>
        <v>1239</v>
      </c>
      <c r="T16">
        <f>SUM(BH5:BL5)</f>
        <v>1392</v>
      </c>
      <c r="U16">
        <f>SUM(BM5:BQ5)</f>
        <v>1714</v>
      </c>
      <c r="V16">
        <f>SUM(BR5:BV5)</f>
        <v>2249</v>
      </c>
      <c r="W16">
        <f>SUM(BW5:CA5)</f>
        <v>3550</v>
      </c>
      <c r="X16">
        <f>SUM(CB5:CF5)</f>
        <v>2784</v>
      </c>
      <c r="Y16">
        <f>SUM(CG5:CK5)</f>
        <v>3090</v>
      </c>
      <c r="Z16">
        <f>SUM(CL5:CP5)</f>
        <v>2673</v>
      </c>
      <c r="AA16">
        <f>SUM(CQ5:CU5)</f>
        <v>2433</v>
      </c>
      <c r="AB16">
        <f>SUM(CV5:CZ5)</f>
        <v>2136</v>
      </c>
      <c r="AC16">
        <f>SUM(DA5:DE5)</f>
        <v>1886</v>
      </c>
      <c r="AD16">
        <f>SUM(DF5:DJ5)</f>
        <v>1822</v>
      </c>
      <c r="AE16">
        <f>SUM(DK5:DO5)</f>
        <v>1340</v>
      </c>
      <c r="AF16">
        <f>SUM(DP5:DT5)</f>
        <v>1234</v>
      </c>
      <c r="AG16">
        <f>SUM(DU5:DY5)</f>
        <v>960</v>
      </c>
      <c r="AH16">
        <f>SUM(DZ5:ED5)</f>
        <v>924</v>
      </c>
      <c r="AI16">
        <f>SUM(EE5:EI5)</f>
        <v>946</v>
      </c>
      <c r="AJ16">
        <f>SUM(EJ5:EN5)</f>
        <v>959</v>
      </c>
      <c r="AK16">
        <f>SUM(EO5:ES5)</f>
        <v>917</v>
      </c>
      <c r="AL16">
        <f>SUM(ET5:EX5)</f>
        <v>947</v>
      </c>
      <c r="AM16">
        <f>SUM(EY5:FC5)</f>
        <v>987</v>
      </c>
      <c r="AN16">
        <f>SUM(FD5:FH5)</f>
        <v>1057</v>
      </c>
      <c r="AO16">
        <f>SUM(FI5:FM5)</f>
        <v>1422</v>
      </c>
      <c r="AP16">
        <f>SUM(FN5:FR5)</f>
        <v>2257</v>
      </c>
      <c r="AQ16">
        <f>SUM(FS5:FU5)</f>
        <v>6006</v>
      </c>
      <c r="AR16">
        <f>SUM(J16:AQ16)</f>
        <v>62951</v>
      </c>
    </row>
    <row r="17" spans="8:44">
      <c r="I17" t="s">
        <v>26</v>
      </c>
      <c r="J17">
        <f>SUM(J6:N6)</f>
        <v>14279</v>
      </c>
      <c r="K17">
        <f>SUM(O6:S6)</f>
        <v>2739</v>
      </c>
      <c r="L17">
        <f>SUM(T6:X6)</f>
        <v>2770</v>
      </c>
      <c r="M17">
        <f>SUM(Y6:AC6)</f>
        <v>3328</v>
      </c>
      <c r="N17">
        <f>SUM(AD6:AH6)</f>
        <v>1819</v>
      </c>
      <c r="O17">
        <f>SUM(AI6:AM6)</f>
        <v>1595</v>
      </c>
      <c r="P17">
        <f>SUM(AN6:AR6)</f>
        <v>874</v>
      </c>
      <c r="Q17">
        <f>SUM(AS6:AW6)</f>
        <v>701</v>
      </c>
      <c r="R17">
        <f>SUM(AX6:BB6)</f>
        <v>531</v>
      </c>
      <c r="S17">
        <f>SUM(BC6:BG6)</f>
        <v>521</v>
      </c>
      <c r="T17">
        <f>SUM(BH6:BL6)</f>
        <v>567</v>
      </c>
      <c r="U17">
        <f>SUM(BM6:BQ6)</f>
        <v>654</v>
      </c>
      <c r="V17">
        <f>SUM(BR6:BV6)</f>
        <v>885</v>
      </c>
      <c r="W17">
        <f>SUM(BW6:CA6)</f>
        <v>1724</v>
      </c>
      <c r="X17">
        <f>SUM(CB6:CF6)</f>
        <v>1859</v>
      </c>
      <c r="Y17">
        <f>SUM(CG6:CK6)</f>
        <v>1843</v>
      </c>
      <c r="Z17">
        <f>SUM(CL6:CP6)</f>
        <v>1626</v>
      </c>
      <c r="AA17">
        <f>SUM(CQ6:CU6)</f>
        <v>1444</v>
      </c>
      <c r="AB17">
        <f>SUM(CV6:CZ6)</f>
        <v>1409</v>
      </c>
      <c r="AC17">
        <f>SUM(DA6:DE6)</f>
        <v>1258</v>
      </c>
      <c r="AD17">
        <f>SUM(DF6:DJ6)</f>
        <v>1088</v>
      </c>
      <c r="AE17">
        <f>SUM(DK6:DO6)</f>
        <v>855</v>
      </c>
      <c r="AF17">
        <f>SUM(DP6:DT6)</f>
        <v>709</v>
      </c>
      <c r="AG17">
        <f>SUM(DU6:DY6)</f>
        <v>614</v>
      </c>
      <c r="AH17">
        <f>SUM(DZ6:ED6)</f>
        <v>527</v>
      </c>
      <c r="AI17">
        <f>SUM(EE6:EI6)</f>
        <v>456</v>
      </c>
      <c r="AJ17">
        <f>SUM(EJ6:EN6)</f>
        <v>535</v>
      </c>
      <c r="AK17">
        <f>SUM(EO6:ES6)</f>
        <v>485</v>
      </c>
      <c r="AL17">
        <f>SUM(ET6:EX6)</f>
        <v>561</v>
      </c>
      <c r="AM17">
        <f>SUM(EY6:FC6)</f>
        <v>685</v>
      </c>
      <c r="AN17">
        <f>SUM(FD6:FH6)</f>
        <v>698</v>
      </c>
      <c r="AO17">
        <f>SUM(FI6:FM6)</f>
        <v>817</v>
      </c>
      <c r="AP17">
        <f>SUM(FN6:FR6)</f>
        <v>1417</v>
      </c>
      <c r="AQ17">
        <f>SUM(FS6:FU6)</f>
        <v>12450</v>
      </c>
      <c r="AR17">
        <f>SUM(J17:AQ17)</f>
        <v>64323</v>
      </c>
    </row>
    <row r="18" spans="8:44">
      <c r="J18">
        <v>0</v>
      </c>
      <c r="K18">
        <v>0.5</v>
      </c>
      <c r="L18">
        <v>1</v>
      </c>
      <c r="M18">
        <v>1.5</v>
      </c>
      <c r="N18">
        <v>2</v>
      </c>
      <c r="O18">
        <v>2.5</v>
      </c>
      <c r="P18">
        <v>3</v>
      </c>
      <c r="Q18">
        <v>3.5</v>
      </c>
      <c r="R18">
        <v>4</v>
      </c>
      <c r="S18">
        <v>4.5</v>
      </c>
      <c r="T18">
        <v>5</v>
      </c>
      <c r="U18">
        <v>5.5</v>
      </c>
      <c r="V18">
        <v>6</v>
      </c>
      <c r="W18">
        <v>6.5</v>
      </c>
      <c r="X18">
        <v>7</v>
      </c>
      <c r="Y18">
        <v>7.5</v>
      </c>
      <c r="Z18">
        <v>8</v>
      </c>
      <c r="AA18">
        <v>8.5</v>
      </c>
      <c r="AB18">
        <v>9</v>
      </c>
      <c r="AC18">
        <v>9.5</v>
      </c>
      <c r="AD18">
        <v>10</v>
      </c>
      <c r="AE18">
        <v>10.5</v>
      </c>
      <c r="AF18">
        <v>11</v>
      </c>
      <c r="AG18">
        <v>11.5</v>
      </c>
      <c r="AH18">
        <v>12</v>
      </c>
      <c r="AI18">
        <v>12.5</v>
      </c>
      <c r="AJ18">
        <v>13</v>
      </c>
      <c r="AK18">
        <v>13.5</v>
      </c>
      <c r="AL18">
        <v>14</v>
      </c>
      <c r="AM18">
        <v>14.5</v>
      </c>
      <c r="AN18">
        <v>15</v>
      </c>
      <c r="AO18">
        <v>15.5</v>
      </c>
      <c r="AP18">
        <v>16</v>
      </c>
      <c r="AQ18">
        <v>16.5</v>
      </c>
    </row>
    <row r="19" spans="8:44">
      <c r="H19" t="s">
        <v>37</v>
      </c>
      <c r="I19" t="s">
        <v>22</v>
      </c>
      <c r="J19">
        <f>SUM(J8:N8)</f>
        <v>1434</v>
      </c>
      <c r="K19">
        <f>SUM(O8:S8)</f>
        <v>1057</v>
      </c>
      <c r="L19">
        <f>SUM(T8:X8)</f>
        <v>1347</v>
      </c>
      <c r="M19">
        <f>SUM(Y8:AC8)</f>
        <v>1914</v>
      </c>
      <c r="N19">
        <f>SUM(AD8:AH8)</f>
        <v>2618</v>
      </c>
      <c r="O19">
        <f>SUM(AI8:AM8)</f>
        <v>2000</v>
      </c>
      <c r="P19">
        <f>SUM(AN8:AR8)</f>
        <v>1511</v>
      </c>
      <c r="Q19">
        <f>SUM(AS8:AW8)</f>
        <v>1222</v>
      </c>
      <c r="R19">
        <f>SUM(AX8:BB8)</f>
        <v>1035</v>
      </c>
      <c r="S19">
        <f>SUM(BC8:BG8)</f>
        <v>967</v>
      </c>
      <c r="T19">
        <f>SUM(BH8:BL8)</f>
        <v>1124</v>
      </c>
      <c r="U19">
        <f>SUM(BM8:BQ8)</f>
        <v>1368</v>
      </c>
      <c r="V19">
        <f>SUM(BR8:BV8)</f>
        <v>1837</v>
      </c>
      <c r="W19">
        <f>SUM(BW8:CA8)</f>
        <v>3122</v>
      </c>
      <c r="X19">
        <f>SUM(CB8:CF8)</f>
        <v>2400</v>
      </c>
      <c r="Y19">
        <f>SUM(CG8:CK8)</f>
        <v>2631</v>
      </c>
      <c r="Z19">
        <f>SUM(CL8:CP8)</f>
        <v>2276</v>
      </c>
      <c r="AA19">
        <f>SUM(CQ8:CU8)</f>
        <v>2053</v>
      </c>
      <c r="AB19">
        <f>SUM(CV8:CZ8)</f>
        <v>1810</v>
      </c>
      <c r="AC19">
        <f>SUM(DA8:DE8)</f>
        <v>1578</v>
      </c>
      <c r="AD19">
        <f>SUM(DF8:DJ8)</f>
        <v>1407</v>
      </c>
      <c r="AE19">
        <f>SUM(DK8:DO8)</f>
        <v>911</v>
      </c>
      <c r="AF19">
        <f>SUM(DP8:DT8)</f>
        <v>820</v>
      </c>
      <c r="AG19">
        <f>SUM(DU8:DY8)</f>
        <v>555</v>
      </c>
      <c r="AH19">
        <f>SUM(DZ8:ED8)</f>
        <v>530</v>
      </c>
      <c r="AI19">
        <f>SUM(EE8:EI8)</f>
        <v>494</v>
      </c>
      <c r="AJ19">
        <f>SUM(EJ8:EN8)</f>
        <v>498</v>
      </c>
      <c r="AK19">
        <f>SUM(EO8:ES8)</f>
        <v>449</v>
      </c>
      <c r="AL19">
        <f>SUM(ET8:EX8)</f>
        <v>493</v>
      </c>
      <c r="AM19">
        <f>SUM(EY8:FC8)</f>
        <v>520</v>
      </c>
      <c r="AN19">
        <f>SUM(FD8:FH8)</f>
        <v>574</v>
      </c>
      <c r="AO19">
        <f>SUM(FI8:FM8)</f>
        <v>680</v>
      </c>
      <c r="AP19">
        <f>SUM(FN8:FR8)</f>
        <v>1111</v>
      </c>
      <c r="AQ19">
        <f>SUM(FS8:FU8)</f>
        <v>2364</v>
      </c>
      <c r="AR19">
        <f t="shared" ref="AR19:AR23" si="18">SUM(J19:AQ19)</f>
        <v>46710</v>
      </c>
    </row>
    <row r="20" spans="8:44">
      <c r="I20" t="s">
        <v>26</v>
      </c>
      <c r="J20">
        <f>SUM(J9:N9)</f>
        <v>14279</v>
      </c>
      <c r="K20">
        <f>SUM(O9:S9)</f>
        <v>2739</v>
      </c>
      <c r="L20">
        <f>SUM(T9:X9)</f>
        <v>2766</v>
      </c>
      <c r="M20">
        <f>SUM(Y9:AC9)</f>
        <v>3323</v>
      </c>
      <c r="N20">
        <f>SUM(AD9:AH9)</f>
        <v>1816</v>
      </c>
      <c r="O20">
        <f>SUM(AI9:AM9)</f>
        <v>1592</v>
      </c>
      <c r="P20">
        <f>SUM(AN9:AR9)</f>
        <v>871</v>
      </c>
      <c r="Q20">
        <f>SUM(AS9:AW9)</f>
        <v>698</v>
      </c>
      <c r="R20">
        <f>SUM(AX9:BB9)</f>
        <v>529</v>
      </c>
      <c r="S20">
        <f>SUM(BC9:BG9)</f>
        <v>519</v>
      </c>
      <c r="T20">
        <f>SUM(BH9:BL9)</f>
        <v>553</v>
      </c>
      <c r="U20">
        <f>SUM(BM9:BQ9)</f>
        <v>647</v>
      </c>
      <c r="V20">
        <f>SUM(BR9:BV9)</f>
        <v>877</v>
      </c>
      <c r="W20">
        <f>SUM(BW9:CA9)</f>
        <v>1719</v>
      </c>
      <c r="X20">
        <f>SUM(CB9:CF9)</f>
        <v>1856</v>
      </c>
      <c r="Y20">
        <f>SUM(CG9:CK9)</f>
        <v>1833</v>
      </c>
      <c r="Z20">
        <f>SUM(CL9:CP9)</f>
        <v>1613</v>
      </c>
      <c r="AA20">
        <f>SUM(CQ9:CU9)</f>
        <v>1436</v>
      </c>
      <c r="AB20">
        <f>SUM(CV9:CZ9)</f>
        <v>1402</v>
      </c>
      <c r="AC20">
        <f>SUM(DA9:DE9)</f>
        <v>1251</v>
      </c>
      <c r="AD20">
        <f>SUM(DF9:DJ9)</f>
        <v>1081</v>
      </c>
      <c r="AE20">
        <f>SUM(DK9:DO9)</f>
        <v>831</v>
      </c>
      <c r="AF20">
        <f>SUM(DP9:DT9)</f>
        <v>691</v>
      </c>
      <c r="AG20">
        <f>SUM(DU9:DY9)</f>
        <v>583</v>
      </c>
      <c r="AH20">
        <f>SUM(DZ9:ED9)</f>
        <v>482</v>
      </c>
      <c r="AI20">
        <f>SUM(EE9:EI9)</f>
        <v>421</v>
      </c>
      <c r="AJ20">
        <f>SUM(EJ9:EN9)</f>
        <v>484</v>
      </c>
      <c r="AK20">
        <f>SUM(EO9:ES9)</f>
        <v>412</v>
      </c>
      <c r="AL20">
        <f>SUM(ET9:EX9)</f>
        <v>398</v>
      </c>
      <c r="AM20">
        <f>SUM(EY9:FC9)</f>
        <v>442</v>
      </c>
      <c r="AN20">
        <f>SUM(FD9:FH9)</f>
        <v>490</v>
      </c>
      <c r="AO20">
        <f>SUM(FI9:FM9)</f>
        <v>581</v>
      </c>
      <c r="AP20">
        <f>SUM(FN9:FR9)</f>
        <v>897</v>
      </c>
      <c r="AQ20">
        <f>SUM(FS9:FU9)</f>
        <v>2635</v>
      </c>
      <c r="AR20">
        <f t="shared" si="18"/>
        <v>52747</v>
      </c>
    </row>
    <row r="21" spans="8:44">
      <c r="J21">
        <v>0</v>
      </c>
      <c r="K21">
        <v>0.5</v>
      </c>
      <c r="L21">
        <v>1</v>
      </c>
      <c r="M21">
        <v>1.5</v>
      </c>
      <c r="N21">
        <v>2</v>
      </c>
      <c r="O21">
        <v>2.5</v>
      </c>
      <c r="P21">
        <v>3</v>
      </c>
      <c r="Q21">
        <v>3.5</v>
      </c>
      <c r="R21">
        <v>4</v>
      </c>
      <c r="S21">
        <v>4.5</v>
      </c>
      <c r="T21">
        <v>5</v>
      </c>
      <c r="U21">
        <v>5.5</v>
      </c>
      <c r="V21">
        <v>6</v>
      </c>
      <c r="W21">
        <v>6.5</v>
      </c>
      <c r="X21">
        <v>7</v>
      </c>
      <c r="Y21">
        <v>7.5</v>
      </c>
      <c r="Z21">
        <v>8</v>
      </c>
      <c r="AA21">
        <v>8.5</v>
      </c>
      <c r="AB21">
        <v>9</v>
      </c>
      <c r="AC21">
        <v>9.5</v>
      </c>
      <c r="AD21">
        <v>10</v>
      </c>
      <c r="AE21">
        <v>10.5</v>
      </c>
      <c r="AF21">
        <v>11</v>
      </c>
      <c r="AG21">
        <v>11.5</v>
      </c>
      <c r="AH21">
        <v>12</v>
      </c>
      <c r="AI21">
        <v>12.5</v>
      </c>
      <c r="AJ21">
        <v>13</v>
      </c>
      <c r="AK21">
        <v>13.5</v>
      </c>
      <c r="AL21">
        <v>14</v>
      </c>
      <c r="AM21">
        <v>14.5</v>
      </c>
      <c r="AN21">
        <v>15</v>
      </c>
      <c r="AO21">
        <v>15.5</v>
      </c>
      <c r="AP21">
        <v>16</v>
      </c>
      <c r="AQ21">
        <v>16.5</v>
      </c>
    </row>
    <row r="22" spans="8:44">
      <c r="H22" t="s">
        <v>38</v>
      </c>
      <c r="I22" t="s">
        <v>22</v>
      </c>
      <c r="J22">
        <f>SUM(J11:N11)</f>
        <v>77</v>
      </c>
      <c r="K22">
        <f>SUM(O11:S11)</f>
        <v>100</v>
      </c>
      <c r="L22">
        <f>SUM(T11:X11)</f>
        <v>93</v>
      </c>
      <c r="M22">
        <f>SUM(Y11:AC11)</f>
        <v>172</v>
      </c>
      <c r="N22">
        <f>SUM(AD11:AH11)</f>
        <v>154</v>
      </c>
      <c r="O22">
        <f>SUM(AI11:AM11)</f>
        <v>133</v>
      </c>
      <c r="P22">
        <f>SUM(AN11:AR11)</f>
        <v>452</v>
      </c>
      <c r="Q22">
        <f>SUM(AS11:AW11)</f>
        <v>418</v>
      </c>
      <c r="R22">
        <f>SUM(AX11:BB11)</f>
        <v>290</v>
      </c>
      <c r="S22">
        <f>SUM(BC11:BG11)</f>
        <v>272</v>
      </c>
      <c r="T22">
        <f>SUM(BH11:BL11)</f>
        <v>268</v>
      </c>
      <c r="U22">
        <f>SUM(BM11:BQ11)</f>
        <v>346</v>
      </c>
      <c r="V22">
        <f>SUM(BR11:BV11)</f>
        <v>412</v>
      </c>
      <c r="W22">
        <f>SUM(BW11:CA11)</f>
        <v>428</v>
      </c>
      <c r="X22">
        <f>SUM(CB11:CF11)</f>
        <v>384</v>
      </c>
      <c r="Y22">
        <f>SUM(CG11:CK11)</f>
        <v>459</v>
      </c>
      <c r="Z22">
        <f>SUM(CL11:CP11)</f>
        <v>397</v>
      </c>
      <c r="AA22">
        <f>SUM(CQ11:CU11)</f>
        <v>380</v>
      </c>
      <c r="AB22">
        <f>SUM(CV11:CZ11)</f>
        <v>326</v>
      </c>
      <c r="AC22">
        <f>SUM(DA11:DE11)</f>
        <v>308</v>
      </c>
      <c r="AD22">
        <f>SUM(DF11:DJ11)</f>
        <v>415</v>
      </c>
      <c r="AE22">
        <f>SUM(DK11:DO11)</f>
        <v>429</v>
      </c>
      <c r="AF22">
        <f>SUM(DP11:DT11)</f>
        <v>414</v>
      </c>
      <c r="AG22">
        <f>SUM(DU11:DY11)</f>
        <v>405</v>
      </c>
      <c r="AH22">
        <f>SUM(DZ11:ED11)</f>
        <v>394</v>
      </c>
      <c r="AI22">
        <f>SUM(EE11:EI11)</f>
        <v>452</v>
      </c>
      <c r="AJ22">
        <f>SUM(EJ11:EN11)</f>
        <v>461</v>
      </c>
      <c r="AK22">
        <f>SUM(EO11:ES11)</f>
        <v>468</v>
      </c>
      <c r="AL22">
        <f>SUM(ET11:EX11)</f>
        <v>454</v>
      </c>
      <c r="AM22">
        <f>SUM(EY11:FC11)</f>
        <v>467</v>
      </c>
      <c r="AN22">
        <f>SUM(FD11:FH11)</f>
        <v>483</v>
      </c>
      <c r="AO22">
        <f>SUM(FI11:FM11)</f>
        <v>742</v>
      </c>
      <c r="AP22">
        <f>SUM(FN11:FR11)</f>
        <v>1146</v>
      </c>
      <c r="AQ22">
        <f>SUM(FS11:FU11)</f>
        <v>3642</v>
      </c>
      <c r="AR22">
        <f t="shared" si="18"/>
        <v>16241</v>
      </c>
    </row>
    <row r="23" spans="8:44">
      <c r="I23" t="s">
        <v>26</v>
      </c>
      <c r="J23">
        <f>SUM(J12:N12)</f>
        <v>0</v>
      </c>
      <c r="K23">
        <f>SUM(O12:S12)</f>
        <v>0</v>
      </c>
      <c r="L23">
        <f>SUM(T12:X12)</f>
        <v>4</v>
      </c>
      <c r="M23">
        <f>SUM(Y12:AC12)</f>
        <v>5</v>
      </c>
      <c r="N23">
        <f>SUM(AD12:AH12)</f>
        <v>3</v>
      </c>
      <c r="O23">
        <f>SUM(AI12:AM12)</f>
        <v>3</v>
      </c>
      <c r="P23">
        <f>SUM(AN12:AR12)</f>
        <v>3</v>
      </c>
      <c r="Q23">
        <f>SUM(AS12:AW12)</f>
        <v>3</v>
      </c>
      <c r="R23">
        <f>SUM(AX12:BB12)</f>
        <v>2</v>
      </c>
      <c r="S23">
        <f>SUM(BC12:BG12)</f>
        <v>2</v>
      </c>
      <c r="T23">
        <f>SUM(BH12:BL12)</f>
        <v>14</v>
      </c>
      <c r="U23">
        <f>SUM(BM12:BQ12)</f>
        <v>7</v>
      </c>
      <c r="V23">
        <f>SUM(BR12:BV12)</f>
        <v>8</v>
      </c>
      <c r="W23">
        <f>SUM(BW12:CA12)</f>
        <v>5</v>
      </c>
      <c r="X23">
        <f>SUM(CB12:CF12)</f>
        <v>3</v>
      </c>
      <c r="Y23">
        <f>SUM(CG12:CK12)</f>
        <v>10</v>
      </c>
      <c r="Z23">
        <f>SUM(CL12:CP12)</f>
        <v>13</v>
      </c>
      <c r="AA23">
        <f>SUM(CQ12:CU12)</f>
        <v>8</v>
      </c>
      <c r="AB23">
        <f>SUM(CV12:CZ12)</f>
        <v>7</v>
      </c>
      <c r="AC23">
        <f>SUM(DA12:DE12)</f>
        <v>7</v>
      </c>
      <c r="AD23">
        <f>SUM(DF12:DJ12)</f>
        <v>7</v>
      </c>
      <c r="AE23">
        <f>SUM(DK12:DO12)</f>
        <v>24</v>
      </c>
      <c r="AF23">
        <f>SUM(DP12:DT12)</f>
        <v>18</v>
      </c>
      <c r="AG23">
        <f>SUM(DU12:DY12)</f>
        <v>31</v>
      </c>
      <c r="AH23">
        <f>SUM(DZ12:ED12)</f>
        <v>45</v>
      </c>
      <c r="AI23">
        <f>SUM(EE12:EI12)</f>
        <v>35</v>
      </c>
      <c r="AJ23">
        <f>SUM(EJ12:EN12)</f>
        <v>51</v>
      </c>
      <c r="AK23">
        <f>SUM(EO12:ES12)</f>
        <v>73</v>
      </c>
      <c r="AL23">
        <f>SUM(ET12:EX12)</f>
        <v>163</v>
      </c>
      <c r="AM23">
        <f>SUM(EY12:FC12)</f>
        <v>243</v>
      </c>
      <c r="AN23">
        <f>SUM(FD12:FH12)</f>
        <v>208</v>
      </c>
      <c r="AO23">
        <f>SUM(FI12:FM12)</f>
        <v>236</v>
      </c>
      <c r="AP23">
        <f>SUM(FN12:FR12)</f>
        <v>520</v>
      </c>
      <c r="AQ23">
        <f>SUM(FS12:FU12)</f>
        <v>9815</v>
      </c>
      <c r="AR23">
        <f t="shared" si="18"/>
        <v>11576</v>
      </c>
    </row>
    <row r="29" spans="8:44">
      <c r="J29">
        <v>0</v>
      </c>
      <c r="K29">
        <v>0.5</v>
      </c>
      <c r="L29">
        <v>1</v>
      </c>
      <c r="M29">
        <v>1.5</v>
      </c>
      <c r="N29">
        <v>2</v>
      </c>
      <c r="O29">
        <v>2.5</v>
      </c>
      <c r="P29">
        <v>3</v>
      </c>
      <c r="Q29">
        <v>3.5</v>
      </c>
      <c r="R29">
        <v>4</v>
      </c>
      <c r="S29">
        <v>4.5</v>
      </c>
      <c r="T29">
        <v>5</v>
      </c>
      <c r="U29">
        <v>5.5</v>
      </c>
      <c r="V29">
        <v>6</v>
      </c>
      <c r="W29">
        <v>6.5</v>
      </c>
      <c r="X29">
        <v>7</v>
      </c>
      <c r="Y29">
        <v>7.5</v>
      </c>
      <c r="Z29">
        <v>8</v>
      </c>
      <c r="AA29">
        <v>8.5</v>
      </c>
      <c r="AB29">
        <v>9</v>
      </c>
      <c r="AC29">
        <v>9.5</v>
      </c>
      <c r="AD29">
        <v>10</v>
      </c>
      <c r="AE29">
        <v>10.5</v>
      </c>
      <c r="AF29">
        <v>11</v>
      </c>
      <c r="AG29">
        <v>11.5</v>
      </c>
      <c r="AH29">
        <v>12</v>
      </c>
      <c r="AI29">
        <v>12.5</v>
      </c>
      <c r="AJ29">
        <v>13</v>
      </c>
      <c r="AK29">
        <v>13.5</v>
      </c>
      <c r="AL29">
        <v>14</v>
      </c>
      <c r="AM29">
        <v>14.5</v>
      </c>
      <c r="AN29">
        <v>15</v>
      </c>
      <c r="AO29">
        <v>15.5</v>
      </c>
      <c r="AP29">
        <v>16</v>
      </c>
      <c r="AQ29">
        <v>16.5</v>
      </c>
    </row>
    <row r="30" spans="8:44">
      <c r="H30" t="s">
        <v>46</v>
      </c>
      <c r="I30" t="s">
        <v>22</v>
      </c>
      <c r="J30">
        <f>ROUND(J16/$AR16,3)</f>
        <v>2.4E-2</v>
      </c>
      <c r="K30">
        <f t="shared" ref="K30:AQ30" si="19">ROUND(K16/$AR16,3)</f>
        <v>1.7999999999999999E-2</v>
      </c>
      <c r="L30">
        <f t="shared" si="19"/>
        <v>2.3E-2</v>
      </c>
      <c r="M30">
        <f t="shared" si="19"/>
        <v>3.3000000000000002E-2</v>
      </c>
      <c r="N30">
        <f t="shared" si="19"/>
        <v>4.3999999999999997E-2</v>
      </c>
      <c r="O30">
        <f t="shared" si="19"/>
        <v>3.4000000000000002E-2</v>
      </c>
      <c r="P30">
        <f t="shared" si="19"/>
        <v>3.1E-2</v>
      </c>
      <c r="Q30">
        <f t="shared" si="19"/>
        <v>2.5999999999999999E-2</v>
      </c>
      <c r="R30">
        <f t="shared" si="19"/>
        <v>2.1000000000000001E-2</v>
      </c>
      <c r="S30">
        <f t="shared" si="19"/>
        <v>0.02</v>
      </c>
      <c r="T30">
        <f t="shared" si="19"/>
        <v>2.1999999999999999E-2</v>
      </c>
      <c r="U30">
        <f t="shared" si="19"/>
        <v>2.7E-2</v>
      </c>
      <c r="V30">
        <f t="shared" si="19"/>
        <v>3.5999999999999997E-2</v>
      </c>
      <c r="W30">
        <f t="shared" si="19"/>
        <v>5.6000000000000001E-2</v>
      </c>
      <c r="X30">
        <f t="shared" si="19"/>
        <v>4.3999999999999997E-2</v>
      </c>
      <c r="Y30">
        <f t="shared" si="19"/>
        <v>4.9000000000000002E-2</v>
      </c>
      <c r="Z30">
        <f t="shared" si="19"/>
        <v>4.2000000000000003E-2</v>
      </c>
      <c r="AA30">
        <f t="shared" si="19"/>
        <v>3.9E-2</v>
      </c>
      <c r="AB30">
        <f t="shared" si="19"/>
        <v>3.4000000000000002E-2</v>
      </c>
      <c r="AC30">
        <f t="shared" si="19"/>
        <v>0.03</v>
      </c>
      <c r="AD30">
        <f t="shared" si="19"/>
        <v>2.9000000000000001E-2</v>
      </c>
      <c r="AE30">
        <f t="shared" si="19"/>
        <v>2.1000000000000001E-2</v>
      </c>
      <c r="AF30">
        <f t="shared" si="19"/>
        <v>0.02</v>
      </c>
      <c r="AG30">
        <f t="shared" si="19"/>
        <v>1.4999999999999999E-2</v>
      </c>
      <c r="AH30">
        <f t="shared" si="19"/>
        <v>1.4999999999999999E-2</v>
      </c>
      <c r="AI30">
        <f t="shared" si="19"/>
        <v>1.4999999999999999E-2</v>
      </c>
      <c r="AJ30">
        <f t="shared" si="19"/>
        <v>1.4999999999999999E-2</v>
      </c>
      <c r="AK30">
        <f t="shared" si="19"/>
        <v>1.4999999999999999E-2</v>
      </c>
      <c r="AL30">
        <f t="shared" si="19"/>
        <v>1.4999999999999999E-2</v>
      </c>
      <c r="AM30">
        <f t="shared" si="19"/>
        <v>1.6E-2</v>
      </c>
      <c r="AN30">
        <f t="shared" si="19"/>
        <v>1.7000000000000001E-2</v>
      </c>
      <c r="AO30">
        <f t="shared" si="19"/>
        <v>2.3E-2</v>
      </c>
      <c r="AP30">
        <f t="shared" si="19"/>
        <v>3.5999999999999997E-2</v>
      </c>
      <c r="AQ30">
        <f t="shared" si="19"/>
        <v>9.5000000000000001E-2</v>
      </c>
      <c r="AR30">
        <f>ROUND(AR16/$AR16,3)</f>
        <v>1</v>
      </c>
    </row>
    <row r="31" spans="8:44">
      <c r="I31" t="s">
        <v>55</v>
      </c>
      <c r="J31">
        <f>ROUND(J17/$AR17,3)</f>
        <v>0.222</v>
      </c>
      <c r="K31">
        <f t="shared" ref="K31:AQ31" si="20">ROUND(K17/$AR17,3)</f>
        <v>4.2999999999999997E-2</v>
      </c>
      <c r="L31">
        <f t="shared" si="20"/>
        <v>4.2999999999999997E-2</v>
      </c>
      <c r="M31">
        <f t="shared" si="20"/>
        <v>5.1999999999999998E-2</v>
      </c>
      <c r="N31">
        <f t="shared" si="20"/>
        <v>2.8000000000000001E-2</v>
      </c>
      <c r="O31">
        <f t="shared" si="20"/>
        <v>2.5000000000000001E-2</v>
      </c>
      <c r="P31">
        <f t="shared" si="20"/>
        <v>1.4E-2</v>
      </c>
      <c r="Q31">
        <f t="shared" si="20"/>
        <v>1.0999999999999999E-2</v>
      </c>
      <c r="R31">
        <f t="shared" si="20"/>
        <v>8.0000000000000002E-3</v>
      </c>
      <c r="S31">
        <f t="shared" si="20"/>
        <v>8.0000000000000002E-3</v>
      </c>
      <c r="T31">
        <f t="shared" si="20"/>
        <v>8.9999999999999993E-3</v>
      </c>
      <c r="U31">
        <f t="shared" si="20"/>
        <v>0.01</v>
      </c>
      <c r="V31">
        <f t="shared" si="20"/>
        <v>1.4E-2</v>
      </c>
      <c r="W31">
        <f t="shared" si="20"/>
        <v>2.7E-2</v>
      </c>
      <c r="X31">
        <f t="shared" si="20"/>
        <v>2.9000000000000001E-2</v>
      </c>
      <c r="Y31">
        <f t="shared" si="20"/>
        <v>2.9000000000000001E-2</v>
      </c>
      <c r="Z31">
        <f t="shared" si="20"/>
        <v>2.5000000000000001E-2</v>
      </c>
      <c r="AA31">
        <f t="shared" si="20"/>
        <v>2.1999999999999999E-2</v>
      </c>
      <c r="AB31">
        <f t="shared" si="20"/>
        <v>2.1999999999999999E-2</v>
      </c>
      <c r="AC31">
        <f t="shared" si="20"/>
        <v>0.02</v>
      </c>
      <c r="AD31">
        <f t="shared" si="20"/>
        <v>1.7000000000000001E-2</v>
      </c>
      <c r="AE31">
        <f t="shared" si="20"/>
        <v>1.2999999999999999E-2</v>
      </c>
      <c r="AF31">
        <f t="shared" si="20"/>
        <v>1.0999999999999999E-2</v>
      </c>
      <c r="AG31">
        <f t="shared" si="20"/>
        <v>0.01</v>
      </c>
      <c r="AH31">
        <f t="shared" si="20"/>
        <v>8.0000000000000002E-3</v>
      </c>
      <c r="AI31">
        <f t="shared" si="20"/>
        <v>7.0000000000000001E-3</v>
      </c>
      <c r="AJ31">
        <f t="shared" si="20"/>
        <v>8.0000000000000002E-3</v>
      </c>
      <c r="AK31">
        <f t="shared" si="20"/>
        <v>8.0000000000000002E-3</v>
      </c>
      <c r="AL31">
        <f t="shared" si="20"/>
        <v>8.9999999999999993E-3</v>
      </c>
      <c r="AM31">
        <f t="shared" si="20"/>
        <v>1.0999999999999999E-2</v>
      </c>
      <c r="AN31">
        <f t="shared" si="20"/>
        <v>1.0999999999999999E-2</v>
      </c>
      <c r="AO31">
        <f t="shared" si="20"/>
        <v>1.2999999999999999E-2</v>
      </c>
      <c r="AP31">
        <f t="shared" si="20"/>
        <v>2.1999999999999999E-2</v>
      </c>
      <c r="AQ31">
        <f t="shared" si="20"/>
        <v>0.19400000000000001</v>
      </c>
      <c r="AR31">
        <f>ROUND(AR17/$AR17,3)</f>
        <v>1</v>
      </c>
    </row>
    <row r="32" spans="8:44">
      <c r="J32">
        <v>0</v>
      </c>
      <c r="K32">
        <v>0.5</v>
      </c>
      <c r="L32">
        <v>1</v>
      </c>
      <c r="M32">
        <v>1.5</v>
      </c>
      <c r="N32">
        <v>2</v>
      </c>
      <c r="O32">
        <v>2.5</v>
      </c>
      <c r="P32">
        <v>3</v>
      </c>
      <c r="Q32">
        <v>3.5</v>
      </c>
      <c r="R32">
        <v>4</v>
      </c>
      <c r="S32">
        <v>4.5</v>
      </c>
      <c r="T32">
        <v>5</v>
      </c>
      <c r="U32">
        <v>5.5</v>
      </c>
      <c r="V32">
        <v>6</v>
      </c>
      <c r="W32">
        <v>6.5</v>
      </c>
      <c r="X32">
        <v>7</v>
      </c>
      <c r="Y32">
        <v>7.5</v>
      </c>
      <c r="Z32">
        <v>8</v>
      </c>
      <c r="AA32">
        <v>8.5</v>
      </c>
      <c r="AB32">
        <v>9</v>
      </c>
      <c r="AC32">
        <v>9.5</v>
      </c>
      <c r="AD32">
        <v>10</v>
      </c>
      <c r="AE32">
        <v>10.5</v>
      </c>
      <c r="AF32">
        <v>11</v>
      </c>
      <c r="AG32">
        <v>11.5</v>
      </c>
      <c r="AH32">
        <v>12</v>
      </c>
      <c r="AI32">
        <v>12.5</v>
      </c>
      <c r="AJ32">
        <v>13</v>
      </c>
      <c r="AK32">
        <v>13.5</v>
      </c>
      <c r="AL32">
        <v>14</v>
      </c>
      <c r="AM32">
        <v>14.5</v>
      </c>
      <c r="AN32">
        <v>15</v>
      </c>
      <c r="AO32">
        <v>15.5</v>
      </c>
      <c r="AP32">
        <v>16</v>
      </c>
      <c r="AQ32">
        <v>16.5</v>
      </c>
    </row>
    <row r="33" spans="3:177">
      <c r="H33" t="s">
        <v>37</v>
      </c>
      <c r="I33" t="s">
        <v>22</v>
      </c>
      <c r="J33">
        <f>ROUND(J19/$AR19,3)</f>
        <v>3.1E-2</v>
      </c>
      <c r="K33">
        <f t="shared" ref="K33:AQ33" si="21">ROUND(K19/$AR19,3)</f>
        <v>2.3E-2</v>
      </c>
      <c r="L33">
        <f t="shared" si="21"/>
        <v>2.9000000000000001E-2</v>
      </c>
      <c r="M33">
        <f t="shared" si="21"/>
        <v>4.1000000000000002E-2</v>
      </c>
      <c r="N33">
        <f t="shared" si="21"/>
        <v>5.6000000000000001E-2</v>
      </c>
      <c r="O33">
        <f t="shared" si="21"/>
        <v>4.2999999999999997E-2</v>
      </c>
      <c r="P33">
        <f t="shared" si="21"/>
        <v>3.2000000000000001E-2</v>
      </c>
      <c r="Q33">
        <f t="shared" si="21"/>
        <v>2.5999999999999999E-2</v>
      </c>
      <c r="R33">
        <f t="shared" si="21"/>
        <v>2.1999999999999999E-2</v>
      </c>
      <c r="S33">
        <f t="shared" si="21"/>
        <v>2.1000000000000001E-2</v>
      </c>
      <c r="T33">
        <f t="shared" si="21"/>
        <v>2.4E-2</v>
      </c>
      <c r="U33">
        <f t="shared" si="21"/>
        <v>2.9000000000000001E-2</v>
      </c>
      <c r="V33">
        <f t="shared" si="21"/>
        <v>3.9E-2</v>
      </c>
      <c r="W33">
        <f t="shared" si="21"/>
        <v>6.7000000000000004E-2</v>
      </c>
      <c r="X33">
        <f t="shared" si="21"/>
        <v>5.0999999999999997E-2</v>
      </c>
      <c r="Y33">
        <f t="shared" si="21"/>
        <v>5.6000000000000001E-2</v>
      </c>
      <c r="Z33">
        <f t="shared" si="21"/>
        <v>4.9000000000000002E-2</v>
      </c>
      <c r="AA33">
        <f t="shared" si="21"/>
        <v>4.3999999999999997E-2</v>
      </c>
      <c r="AB33">
        <f t="shared" si="21"/>
        <v>3.9E-2</v>
      </c>
      <c r="AC33">
        <f t="shared" si="21"/>
        <v>3.4000000000000002E-2</v>
      </c>
      <c r="AD33">
        <f t="shared" si="21"/>
        <v>0.03</v>
      </c>
      <c r="AE33">
        <f t="shared" si="21"/>
        <v>0.02</v>
      </c>
      <c r="AF33">
        <f t="shared" si="21"/>
        <v>1.7999999999999999E-2</v>
      </c>
      <c r="AG33">
        <f t="shared" si="21"/>
        <v>1.2E-2</v>
      </c>
      <c r="AH33">
        <f t="shared" si="21"/>
        <v>1.0999999999999999E-2</v>
      </c>
      <c r="AI33">
        <f t="shared" si="21"/>
        <v>1.0999999999999999E-2</v>
      </c>
      <c r="AJ33">
        <f t="shared" si="21"/>
        <v>1.0999999999999999E-2</v>
      </c>
      <c r="AK33">
        <f t="shared" si="21"/>
        <v>0.01</v>
      </c>
      <c r="AL33">
        <f t="shared" si="21"/>
        <v>1.0999999999999999E-2</v>
      </c>
      <c r="AM33">
        <f t="shared" si="21"/>
        <v>1.0999999999999999E-2</v>
      </c>
      <c r="AN33">
        <f t="shared" si="21"/>
        <v>1.2E-2</v>
      </c>
      <c r="AO33">
        <f t="shared" si="21"/>
        <v>1.4999999999999999E-2</v>
      </c>
      <c r="AP33">
        <f t="shared" si="21"/>
        <v>2.4E-2</v>
      </c>
      <c r="AQ33">
        <f t="shared" si="21"/>
        <v>5.0999999999999997E-2</v>
      </c>
      <c r="AR33">
        <f t="shared" ref="AR33:AR37" si="22">ROUND(AR19/$AR19,3)</f>
        <v>1</v>
      </c>
    </row>
    <row r="34" spans="3:177">
      <c r="I34" t="s">
        <v>54</v>
      </c>
      <c r="J34">
        <f>ROUND(J20/$AR20,3)</f>
        <v>0.27100000000000002</v>
      </c>
      <c r="K34">
        <f t="shared" ref="K34:AQ34" si="23">ROUND(K20/$AR20,3)</f>
        <v>5.1999999999999998E-2</v>
      </c>
      <c r="L34">
        <f t="shared" si="23"/>
        <v>5.1999999999999998E-2</v>
      </c>
      <c r="M34">
        <f t="shared" si="23"/>
        <v>6.3E-2</v>
      </c>
      <c r="N34">
        <f t="shared" si="23"/>
        <v>3.4000000000000002E-2</v>
      </c>
      <c r="O34">
        <f t="shared" si="23"/>
        <v>0.03</v>
      </c>
      <c r="P34">
        <f t="shared" si="23"/>
        <v>1.7000000000000001E-2</v>
      </c>
      <c r="Q34">
        <f t="shared" si="23"/>
        <v>1.2999999999999999E-2</v>
      </c>
      <c r="R34">
        <f t="shared" si="23"/>
        <v>0.01</v>
      </c>
      <c r="S34">
        <f t="shared" si="23"/>
        <v>0.01</v>
      </c>
      <c r="T34">
        <f t="shared" si="23"/>
        <v>0.01</v>
      </c>
      <c r="U34">
        <f t="shared" si="23"/>
        <v>1.2E-2</v>
      </c>
      <c r="V34">
        <f t="shared" si="23"/>
        <v>1.7000000000000001E-2</v>
      </c>
      <c r="W34">
        <f t="shared" si="23"/>
        <v>3.3000000000000002E-2</v>
      </c>
      <c r="X34">
        <f t="shared" si="23"/>
        <v>3.5000000000000003E-2</v>
      </c>
      <c r="Y34">
        <f t="shared" si="23"/>
        <v>3.5000000000000003E-2</v>
      </c>
      <c r="Z34">
        <f t="shared" si="23"/>
        <v>3.1E-2</v>
      </c>
      <c r="AA34">
        <f t="shared" si="23"/>
        <v>2.7E-2</v>
      </c>
      <c r="AB34">
        <f t="shared" si="23"/>
        <v>2.7E-2</v>
      </c>
      <c r="AC34">
        <f t="shared" si="23"/>
        <v>2.4E-2</v>
      </c>
      <c r="AD34">
        <f t="shared" si="23"/>
        <v>0.02</v>
      </c>
      <c r="AE34">
        <f t="shared" si="23"/>
        <v>1.6E-2</v>
      </c>
      <c r="AF34">
        <f t="shared" si="23"/>
        <v>1.2999999999999999E-2</v>
      </c>
      <c r="AG34">
        <f t="shared" si="23"/>
        <v>1.0999999999999999E-2</v>
      </c>
      <c r="AH34">
        <f t="shared" si="23"/>
        <v>8.9999999999999993E-3</v>
      </c>
      <c r="AI34">
        <f t="shared" si="23"/>
        <v>8.0000000000000002E-3</v>
      </c>
      <c r="AJ34">
        <f t="shared" si="23"/>
        <v>8.9999999999999993E-3</v>
      </c>
      <c r="AK34">
        <f t="shared" si="23"/>
        <v>8.0000000000000002E-3</v>
      </c>
      <c r="AL34">
        <f t="shared" si="23"/>
        <v>8.0000000000000002E-3</v>
      </c>
      <c r="AM34">
        <f t="shared" si="23"/>
        <v>8.0000000000000002E-3</v>
      </c>
      <c r="AN34">
        <f t="shared" si="23"/>
        <v>8.9999999999999993E-3</v>
      </c>
      <c r="AO34">
        <f t="shared" si="23"/>
        <v>1.0999999999999999E-2</v>
      </c>
      <c r="AP34">
        <f t="shared" si="23"/>
        <v>1.7000000000000001E-2</v>
      </c>
      <c r="AQ34">
        <f t="shared" si="23"/>
        <v>0.05</v>
      </c>
      <c r="AR34">
        <f t="shared" si="22"/>
        <v>1</v>
      </c>
    </row>
    <row r="35" spans="3:177">
      <c r="J35">
        <v>0</v>
      </c>
      <c r="K35">
        <v>0.5</v>
      </c>
      <c r="L35">
        <v>1</v>
      </c>
      <c r="M35">
        <v>1.5</v>
      </c>
      <c r="N35">
        <v>2</v>
      </c>
      <c r="O35">
        <v>2.5</v>
      </c>
      <c r="P35">
        <v>3</v>
      </c>
      <c r="Q35">
        <v>3.5</v>
      </c>
      <c r="R35">
        <v>4</v>
      </c>
      <c r="S35">
        <v>4.5</v>
      </c>
      <c r="T35">
        <v>5</v>
      </c>
      <c r="U35">
        <v>5.5</v>
      </c>
      <c r="V35">
        <v>6</v>
      </c>
      <c r="W35">
        <v>6.5</v>
      </c>
      <c r="X35">
        <v>7</v>
      </c>
      <c r="Y35">
        <v>7.5</v>
      </c>
      <c r="Z35">
        <v>8</v>
      </c>
      <c r="AA35">
        <v>8.5</v>
      </c>
      <c r="AB35">
        <v>9</v>
      </c>
      <c r="AC35">
        <v>9.5</v>
      </c>
      <c r="AD35">
        <v>10</v>
      </c>
      <c r="AE35">
        <v>10.5</v>
      </c>
      <c r="AF35">
        <v>11</v>
      </c>
      <c r="AG35">
        <v>11.5</v>
      </c>
      <c r="AH35">
        <v>12</v>
      </c>
      <c r="AI35">
        <v>12.5</v>
      </c>
      <c r="AJ35">
        <v>13</v>
      </c>
      <c r="AK35">
        <v>13.5</v>
      </c>
      <c r="AL35">
        <v>14</v>
      </c>
      <c r="AM35">
        <v>14.5</v>
      </c>
      <c r="AN35">
        <v>15</v>
      </c>
      <c r="AO35">
        <v>15.5</v>
      </c>
      <c r="AP35">
        <v>16</v>
      </c>
      <c r="AQ35">
        <v>16.5</v>
      </c>
    </row>
    <row r="36" spans="3:177">
      <c r="H36" t="s">
        <v>38</v>
      </c>
      <c r="I36" t="s">
        <v>22</v>
      </c>
      <c r="J36">
        <f>ROUND(J22/$AR22,3)</f>
        <v>5.0000000000000001E-3</v>
      </c>
      <c r="K36">
        <f t="shared" ref="K36:AQ36" si="24">ROUND(K22/$AR22,3)</f>
        <v>6.0000000000000001E-3</v>
      </c>
      <c r="L36">
        <f t="shared" si="24"/>
        <v>6.0000000000000001E-3</v>
      </c>
      <c r="M36">
        <f t="shared" si="24"/>
        <v>1.0999999999999999E-2</v>
      </c>
      <c r="N36">
        <f t="shared" si="24"/>
        <v>8.9999999999999993E-3</v>
      </c>
      <c r="O36">
        <f t="shared" si="24"/>
        <v>8.0000000000000002E-3</v>
      </c>
      <c r="P36">
        <f t="shared" si="24"/>
        <v>2.8000000000000001E-2</v>
      </c>
      <c r="Q36">
        <f t="shared" si="24"/>
        <v>2.5999999999999999E-2</v>
      </c>
      <c r="R36">
        <f t="shared" si="24"/>
        <v>1.7999999999999999E-2</v>
      </c>
      <c r="S36">
        <f t="shared" si="24"/>
        <v>1.7000000000000001E-2</v>
      </c>
      <c r="T36">
        <f t="shared" si="24"/>
        <v>1.7000000000000001E-2</v>
      </c>
      <c r="U36">
        <f t="shared" si="24"/>
        <v>2.1000000000000001E-2</v>
      </c>
      <c r="V36">
        <f t="shared" si="24"/>
        <v>2.5000000000000001E-2</v>
      </c>
      <c r="W36">
        <f t="shared" si="24"/>
        <v>2.5999999999999999E-2</v>
      </c>
      <c r="X36">
        <f t="shared" si="24"/>
        <v>2.4E-2</v>
      </c>
      <c r="Y36">
        <f t="shared" si="24"/>
        <v>2.8000000000000001E-2</v>
      </c>
      <c r="Z36">
        <f t="shared" si="24"/>
        <v>2.4E-2</v>
      </c>
      <c r="AA36">
        <f t="shared" si="24"/>
        <v>2.3E-2</v>
      </c>
      <c r="AB36">
        <f t="shared" si="24"/>
        <v>0.02</v>
      </c>
      <c r="AC36">
        <f t="shared" si="24"/>
        <v>1.9E-2</v>
      </c>
      <c r="AD36">
        <f t="shared" si="24"/>
        <v>2.5999999999999999E-2</v>
      </c>
      <c r="AE36">
        <f t="shared" si="24"/>
        <v>2.5999999999999999E-2</v>
      </c>
      <c r="AF36">
        <f t="shared" si="24"/>
        <v>2.5000000000000001E-2</v>
      </c>
      <c r="AG36">
        <f t="shared" si="24"/>
        <v>2.5000000000000001E-2</v>
      </c>
      <c r="AH36">
        <f t="shared" si="24"/>
        <v>2.4E-2</v>
      </c>
      <c r="AI36">
        <f t="shared" si="24"/>
        <v>2.8000000000000001E-2</v>
      </c>
      <c r="AJ36">
        <f t="shared" si="24"/>
        <v>2.8000000000000001E-2</v>
      </c>
      <c r="AK36">
        <f t="shared" si="24"/>
        <v>2.9000000000000001E-2</v>
      </c>
      <c r="AL36">
        <f t="shared" si="24"/>
        <v>2.8000000000000001E-2</v>
      </c>
      <c r="AM36">
        <f t="shared" si="24"/>
        <v>2.9000000000000001E-2</v>
      </c>
      <c r="AN36">
        <f t="shared" si="24"/>
        <v>0.03</v>
      </c>
      <c r="AO36">
        <f t="shared" si="24"/>
        <v>4.5999999999999999E-2</v>
      </c>
      <c r="AP36">
        <f t="shared" si="24"/>
        <v>7.0999999999999994E-2</v>
      </c>
      <c r="AQ36">
        <f t="shared" si="24"/>
        <v>0.224</v>
      </c>
      <c r="AR36">
        <f t="shared" si="22"/>
        <v>1</v>
      </c>
    </row>
    <row r="37" spans="3:177">
      <c r="I37" t="s">
        <v>53</v>
      </c>
      <c r="J37">
        <f>ROUND(J23/$AR23,3)</f>
        <v>0</v>
      </c>
      <c r="K37">
        <f t="shared" ref="K37:AQ37" si="25">ROUND(K23/$AR23,3)</f>
        <v>0</v>
      </c>
      <c r="L37">
        <f t="shared" si="25"/>
        <v>0</v>
      </c>
      <c r="M37">
        <f t="shared" si="25"/>
        <v>0</v>
      </c>
      <c r="N37">
        <f t="shared" si="25"/>
        <v>0</v>
      </c>
      <c r="O37">
        <f t="shared" si="25"/>
        <v>0</v>
      </c>
      <c r="P37">
        <f t="shared" si="25"/>
        <v>0</v>
      </c>
      <c r="Q37">
        <f t="shared" si="25"/>
        <v>0</v>
      </c>
      <c r="R37">
        <f t="shared" si="25"/>
        <v>0</v>
      </c>
      <c r="S37">
        <f t="shared" si="25"/>
        <v>0</v>
      </c>
      <c r="T37">
        <f t="shared" si="25"/>
        <v>1E-3</v>
      </c>
      <c r="U37">
        <f t="shared" si="25"/>
        <v>1E-3</v>
      </c>
      <c r="V37">
        <f t="shared" si="25"/>
        <v>1E-3</v>
      </c>
      <c r="W37">
        <f t="shared" si="25"/>
        <v>0</v>
      </c>
      <c r="X37">
        <f t="shared" si="25"/>
        <v>0</v>
      </c>
      <c r="Y37">
        <f t="shared" si="25"/>
        <v>1E-3</v>
      </c>
      <c r="Z37">
        <f t="shared" si="25"/>
        <v>1E-3</v>
      </c>
      <c r="AA37">
        <f t="shared" si="25"/>
        <v>1E-3</v>
      </c>
      <c r="AB37">
        <f t="shared" si="25"/>
        <v>1E-3</v>
      </c>
      <c r="AC37">
        <f t="shared" si="25"/>
        <v>1E-3</v>
      </c>
      <c r="AD37">
        <f t="shared" si="25"/>
        <v>1E-3</v>
      </c>
      <c r="AE37">
        <f t="shared" si="25"/>
        <v>2E-3</v>
      </c>
      <c r="AF37">
        <f t="shared" si="25"/>
        <v>2E-3</v>
      </c>
      <c r="AG37">
        <f t="shared" si="25"/>
        <v>3.0000000000000001E-3</v>
      </c>
      <c r="AH37">
        <f t="shared" si="25"/>
        <v>4.0000000000000001E-3</v>
      </c>
      <c r="AI37">
        <f t="shared" si="25"/>
        <v>3.0000000000000001E-3</v>
      </c>
      <c r="AJ37">
        <f t="shared" si="25"/>
        <v>4.0000000000000001E-3</v>
      </c>
      <c r="AK37">
        <f t="shared" si="25"/>
        <v>6.0000000000000001E-3</v>
      </c>
      <c r="AL37">
        <f t="shared" si="25"/>
        <v>1.4E-2</v>
      </c>
      <c r="AM37">
        <f t="shared" si="25"/>
        <v>2.1000000000000001E-2</v>
      </c>
      <c r="AN37">
        <f t="shared" si="25"/>
        <v>1.7999999999999999E-2</v>
      </c>
      <c r="AO37">
        <f t="shared" si="25"/>
        <v>0.02</v>
      </c>
      <c r="AP37">
        <f t="shared" si="25"/>
        <v>4.4999999999999998E-2</v>
      </c>
      <c r="AQ37">
        <f t="shared" si="25"/>
        <v>0.84799999999999998</v>
      </c>
      <c r="AR37">
        <f t="shared" si="22"/>
        <v>1</v>
      </c>
    </row>
    <row r="39" spans="3:177">
      <c r="C39" t="s">
        <v>22</v>
      </c>
      <c r="H39" t="s">
        <v>22</v>
      </c>
      <c r="J39">
        <v>0.4</v>
      </c>
      <c r="K39">
        <v>2</v>
      </c>
      <c r="L39">
        <v>1400</v>
      </c>
      <c r="M39">
        <v>600</v>
      </c>
      <c r="N39">
        <v>90</v>
      </c>
      <c r="O39">
        <v>200</v>
      </c>
      <c r="P39">
        <v>100000</v>
      </c>
      <c r="Q39">
        <v>7.6741366170000003</v>
      </c>
      <c r="R39">
        <v>13.421512310000001</v>
      </c>
      <c r="S39">
        <v>8.9374263079999992</v>
      </c>
      <c r="T39">
        <v>6.5748477120000004</v>
      </c>
      <c r="U39">
        <v>12.61775503</v>
      </c>
      <c r="V39">
        <v>7.8583261240000004</v>
      </c>
      <c r="W39">
        <v>5.7330077770000001</v>
      </c>
      <c r="X39">
        <v>12.13513483</v>
      </c>
      <c r="Y39">
        <v>7.2253841730000001</v>
      </c>
    </row>
    <row r="40" spans="3:177">
      <c r="C40" t="s">
        <v>44</v>
      </c>
      <c r="J40">
        <v>116</v>
      </c>
      <c r="K40">
        <v>51</v>
      </c>
      <c r="L40">
        <v>49</v>
      </c>
      <c r="M40">
        <v>64</v>
      </c>
      <c r="N40">
        <v>56</v>
      </c>
      <c r="O40">
        <v>68</v>
      </c>
      <c r="P40">
        <v>63</v>
      </c>
      <c r="Q40">
        <v>49</v>
      </c>
      <c r="R40">
        <v>68</v>
      </c>
      <c r="S40">
        <v>70</v>
      </c>
      <c r="T40">
        <v>74</v>
      </c>
      <c r="U40">
        <v>78</v>
      </c>
      <c r="V40">
        <v>97</v>
      </c>
      <c r="W40">
        <v>77</v>
      </c>
      <c r="X40">
        <v>77</v>
      </c>
      <c r="Y40">
        <v>116</v>
      </c>
      <c r="Z40">
        <v>129</v>
      </c>
      <c r="AA40">
        <v>152</v>
      </c>
      <c r="AB40">
        <v>142</v>
      </c>
      <c r="AC40">
        <v>139</v>
      </c>
      <c r="AD40">
        <v>143</v>
      </c>
      <c r="AE40">
        <v>190</v>
      </c>
      <c r="AF40">
        <v>203</v>
      </c>
      <c r="AG40">
        <v>213</v>
      </c>
      <c r="AH40">
        <v>140</v>
      </c>
      <c r="AI40">
        <v>161</v>
      </c>
      <c r="AJ40">
        <v>106</v>
      </c>
      <c r="AK40">
        <v>78</v>
      </c>
      <c r="AL40">
        <v>79</v>
      </c>
      <c r="AM40">
        <v>75</v>
      </c>
      <c r="AN40">
        <v>66</v>
      </c>
      <c r="AO40">
        <v>75</v>
      </c>
      <c r="AP40">
        <v>37</v>
      </c>
      <c r="AQ40">
        <v>35</v>
      </c>
      <c r="AR40">
        <v>55</v>
      </c>
      <c r="AS40">
        <v>35</v>
      </c>
      <c r="AT40">
        <v>45</v>
      </c>
      <c r="AU40">
        <v>29</v>
      </c>
      <c r="AV40">
        <v>42</v>
      </c>
      <c r="AW40">
        <v>35</v>
      </c>
      <c r="AX40">
        <v>33</v>
      </c>
      <c r="AY40">
        <v>33</v>
      </c>
      <c r="AZ40">
        <v>37</v>
      </c>
      <c r="BA40">
        <v>34</v>
      </c>
      <c r="BB40">
        <v>46</v>
      </c>
      <c r="BC40">
        <v>39</v>
      </c>
      <c r="BD40">
        <v>44</v>
      </c>
      <c r="BE40">
        <v>43</v>
      </c>
      <c r="BF40">
        <v>50</v>
      </c>
      <c r="BG40">
        <v>40</v>
      </c>
      <c r="BH40">
        <v>46</v>
      </c>
      <c r="BI40">
        <v>55</v>
      </c>
      <c r="BJ40">
        <v>61</v>
      </c>
      <c r="BK40">
        <v>61</v>
      </c>
      <c r="BL40">
        <v>57</v>
      </c>
      <c r="BM40">
        <v>67</v>
      </c>
      <c r="BN40">
        <v>65</v>
      </c>
      <c r="BO40">
        <v>61</v>
      </c>
      <c r="BP40">
        <v>79</v>
      </c>
      <c r="BQ40">
        <v>91</v>
      </c>
      <c r="BR40">
        <v>86</v>
      </c>
      <c r="BS40">
        <v>88</v>
      </c>
      <c r="BT40">
        <v>97</v>
      </c>
      <c r="BU40">
        <v>98</v>
      </c>
      <c r="BV40">
        <v>96</v>
      </c>
      <c r="BW40">
        <v>117</v>
      </c>
      <c r="BX40">
        <v>183</v>
      </c>
      <c r="BY40">
        <v>210</v>
      </c>
      <c r="BZ40">
        <v>124</v>
      </c>
      <c r="CA40">
        <v>131</v>
      </c>
      <c r="CB40">
        <v>94</v>
      </c>
      <c r="CC40">
        <v>85</v>
      </c>
      <c r="CD40">
        <v>115</v>
      </c>
      <c r="CE40">
        <v>90</v>
      </c>
      <c r="CF40">
        <v>78</v>
      </c>
      <c r="CG40">
        <v>96</v>
      </c>
      <c r="CH40">
        <v>80</v>
      </c>
      <c r="CI40">
        <v>110</v>
      </c>
      <c r="CJ40">
        <v>110</v>
      </c>
      <c r="CK40">
        <v>78</v>
      </c>
      <c r="CL40">
        <v>59</v>
      </c>
      <c r="CM40">
        <v>67</v>
      </c>
      <c r="CN40">
        <v>58</v>
      </c>
      <c r="CO40">
        <v>75</v>
      </c>
      <c r="CP40">
        <v>81</v>
      </c>
      <c r="CQ40">
        <v>111</v>
      </c>
      <c r="CR40">
        <v>82</v>
      </c>
      <c r="CS40">
        <v>58</v>
      </c>
      <c r="CT40">
        <v>76</v>
      </c>
      <c r="CU40">
        <v>72</v>
      </c>
      <c r="CV40">
        <v>55</v>
      </c>
      <c r="CW40">
        <v>62</v>
      </c>
      <c r="CX40">
        <v>61</v>
      </c>
      <c r="CY40">
        <v>61</v>
      </c>
      <c r="CZ40">
        <v>56</v>
      </c>
      <c r="DA40">
        <v>67</v>
      </c>
      <c r="DB40">
        <v>74</v>
      </c>
      <c r="DC40">
        <v>75</v>
      </c>
      <c r="DD40">
        <v>69</v>
      </c>
      <c r="DE40">
        <v>60</v>
      </c>
      <c r="DF40">
        <v>46</v>
      </c>
      <c r="DG40">
        <v>43</v>
      </c>
      <c r="DH40">
        <v>39</v>
      </c>
      <c r="DI40">
        <v>32</v>
      </c>
      <c r="DJ40">
        <v>30</v>
      </c>
      <c r="DK40">
        <v>30</v>
      </c>
      <c r="DL40">
        <v>29</v>
      </c>
      <c r="DM40">
        <v>35</v>
      </c>
      <c r="DN40">
        <v>46</v>
      </c>
      <c r="DO40">
        <v>32</v>
      </c>
      <c r="DP40">
        <v>29</v>
      </c>
      <c r="DQ40">
        <v>29</v>
      </c>
      <c r="DR40">
        <v>38</v>
      </c>
      <c r="DS40">
        <v>19</v>
      </c>
      <c r="DT40">
        <v>29</v>
      </c>
      <c r="DU40">
        <v>10</v>
      </c>
      <c r="DV40">
        <v>26</v>
      </c>
      <c r="DW40">
        <v>21</v>
      </c>
      <c r="DX40">
        <v>25</v>
      </c>
      <c r="DY40">
        <v>26</v>
      </c>
      <c r="DZ40">
        <v>21</v>
      </c>
      <c r="EA40">
        <v>17</v>
      </c>
      <c r="EB40">
        <v>19</v>
      </c>
      <c r="EC40">
        <v>13</v>
      </c>
      <c r="ED40">
        <v>17</v>
      </c>
      <c r="EE40">
        <v>15</v>
      </c>
      <c r="EF40">
        <v>20</v>
      </c>
      <c r="EG40">
        <v>14</v>
      </c>
      <c r="EH40">
        <v>20</v>
      </c>
      <c r="EI40">
        <v>24</v>
      </c>
      <c r="EJ40">
        <v>12</v>
      </c>
      <c r="EK40">
        <v>25</v>
      </c>
      <c r="EL40">
        <v>20</v>
      </c>
      <c r="EM40">
        <v>11</v>
      </c>
      <c r="EN40">
        <v>16</v>
      </c>
      <c r="EO40">
        <v>17</v>
      </c>
      <c r="EP40">
        <v>11</v>
      </c>
      <c r="EQ40">
        <v>18</v>
      </c>
      <c r="ER40">
        <v>14</v>
      </c>
      <c r="ES40">
        <v>14</v>
      </c>
      <c r="ET40">
        <v>17</v>
      </c>
      <c r="EU40">
        <v>14</v>
      </c>
      <c r="EV40">
        <v>21</v>
      </c>
      <c r="EW40">
        <v>16</v>
      </c>
      <c r="EX40">
        <v>20</v>
      </c>
      <c r="EY40">
        <v>19</v>
      </c>
      <c r="EZ40">
        <v>18</v>
      </c>
      <c r="FA40">
        <v>18</v>
      </c>
      <c r="FB40">
        <v>21</v>
      </c>
      <c r="FC40">
        <v>21</v>
      </c>
      <c r="FD40">
        <v>21</v>
      </c>
      <c r="FE40">
        <v>19</v>
      </c>
      <c r="FF40">
        <v>26</v>
      </c>
      <c r="FG40">
        <v>27</v>
      </c>
      <c r="FH40">
        <v>21</v>
      </c>
      <c r="FI40">
        <v>20</v>
      </c>
      <c r="FJ40">
        <v>27</v>
      </c>
      <c r="FK40">
        <v>24</v>
      </c>
      <c r="FL40">
        <v>19</v>
      </c>
      <c r="FM40">
        <v>33</v>
      </c>
      <c r="FN40">
        <v>37</v>
      </c>
      <c r="FO40">
        <v>42</v>
      </c>
      <c r="FP40">
        <v>49</v>
      </c>
      <c r="FQ40">
        <v>42</v>
      </c>
      <c r="FR40">
        <v>59</v>
      </c>
      <c r="FS40">
        <v>66</v>
      </c>
      <c r="FT40">
        <v>102</v>
      </c>
      <c r="FU40">
        <v>207</v>
      </c>
    </row>
    <row r="41" spans="3:177">
      <c r="C41" t="s">
        <v>45</v>
      </c>
      <c r="J41">
        <v>0</v>
      </c>
      <c r="K41">
        <v>0</v>
      </c>
      <c r="L41">
        <v>0</v>
      </c>
      <c r="M41">
        <v>0</v>
      </c>
      <c r="N41">
        <v>0</v>
      </c>
      <c r="O41">
        <v>10</v>
      </c>
      <c r="P41">
        <v>4</v>
      </c>
      <c r="Q41">
        <v>4</v>
      </c>
      <c r="R41">
        <v>3</v>
      </c>
      <c r="S41">
        <v>3</v>
      </c>
      <c r="T41">
        <v>2</v>
      </c>
      <c r="U41">
        <v>3</v>
      </c>
      <c r="V41">
        <v>1</v>
      </c>
      <c r="W41">
        <v>2</v>
      </c>
      <c r="X41">
        <v>1</v>
      </c>
      <c r="Y41">
        <v>1</v>
      </c>
      <c r="Z41">
        <v>1</v>
      </c>
      <c r="AA41">
        <v>2</v>
      </c>
      <c r="AB41">
        <v>1</v>
      </c>
      <c r="AC41">
        <v>0</v>
      </c>
      <c r="AD41">
        <v>2</v>
      </c>
      <c r="AE41">
        <v>1</v>
      </c>
      <c r="AF41">
        <v>2</v>
      </c>
      <c r="AG41">
        <v>0</v>
      </c>
      <c r="AH41">
        <v>1</v>
      </c>
      <c r="AI41">
        <v>3</v>
      </c>
      <c r="AJ41">
        <v>11</v>
      </c>
      <c r="AK41">
        <v>5</v>
      </c>
      <c r="AL41">
        <v>4</v>
      </c>
      <c r="AM41">
        <v>3</v>
      </c>
      <c r="AN41">
        <v>3</v>
      </c>
      <c r="AO41">
        <v>5</v>
      </c>
      <c r="AP41">
        <v>3</v>
      </c>
      <c r="AQ41">
        <v>5</v>
      </c>
      <c r="AR41">
        <v>2</v>
      </c>
      <c r="AS41">
        <v>2</v>
      </c>
      <c r="AT41">
        <v>2</v>
      </c>
      <c r="AU41">
        <v>3</v>
      </c>
      <c r="AV41">
        <v>3</v>
      </c>
      <c r="AW41">
        <v>3</v>
      </c>
      <c r="AX41">
        <v>3</v>
      </c>
      <c r="AY41">
        <v>2</v>
      </c>
      <c r="AZ41">
        <v>2</v>
      </c>
      <c r="BA41">
        <v>3</v>
      </c>
      <c r="BB41">
        <v>2</v>
      </c>
      <c r="BC41">
        <v>11</v>
      </c>
      <c r="BD41">
        <v>12</v>
      </c>
      <c r="BE41">
        <v>8</v>
      </c>
      <c r="BF41">
        <v>8</v>
      </c>
      <c r="BG41">
        <v>5</v>
      </c>
      <c r="BH41">
        <v>7</v>
      </c>
      <c r="BI41">
        <v>7</v>
      </c>
      <c r="BJ41">
        <v>4</v>
      </c>
      <c r="BK41">
        <v>4</v>
      </c>
      <c r="BL41">
        <v>7</v>
      </c>
      <c r="BM41">
        <v>5</v>
      </c>
      <c r="BN41">
        <v>6</v>
      </c>
      <c r="BO41">
        <v>11</v>
      </c>
      <c r="BP41">
        <v>7</v>
      </c>
      <c r="BQ41">
        <v>8</v>
      </c>
      <c r="BR41">
        <v>6</v>
      </c>
      <c r="BS41">
        <v>8</v>
      </c>
      <c r="BT41">
        <v>6</v>
      </c>
      <c r="BU41">
        <v>7</v>
      </c>
      <c r="BV41">
        <v>6</v>
      </c>
      <c r="BW41">
        <v>8</v>
      </c>
      <c r="BX41">
        <v>26</v>
      </c>
      <c r="BY41">
        <v>45</v>
      </c>
      <c r="BZ41">
        <v>9</v>
      </c>
      <c r="CA41">
        <v>19</v>
      </c>
      <c r="CB41">
        <v>17</v>
      </c>
      <c r="CC41">
        <v>13</v>
      </c>
      <c r="CD41">
        <v>14</v>
      </c>
      <c r="CE41">
        <v>16</v>
      </c>
      <c r="CF41">
        <v>14</v>
      </c>
      <c r="CG41">
        <v>16</v>
      </c>
      <c r="CH41">
        <v>13</v>
      </c>
      <c r="CI41">
        <v>22</v>
      </c>
      <c r="CJ41">
        <v>15</v>
      </c>
      <c r="CK41">
        <v>12</v>
      </c>
      <c r="CL41">
        <v>13</v>
      </c>
      <c r="CM41">
        <v>19</v>
      </c>
      <c r="CN41">
        <v>18</v>
      </c>
      <c r="CO41">
        <v>8</v>
      </c>
      <c r="CP41">
        <v>10</v>
      </c>
      <c r="CQ41">
        <v>8</v>
      </c>
      <c r="CR41">
        <v>7</v>
      </c>
      <c r="CS41">
        <v>11</v>
      </c>
      <c r="CT41">
        <v>6</v>
      </c>
      <c r="CU41">
        <v>9</v>
      </c>
      <c r="CV41">
        <v>10</v>
      </c>
      <c r="CW41">
        <v>7</v>
      </c>
      <c r="CX41">
        <v>7</v>
      </c>
      <c r="CY41">
        <v>10</v>
      </c>
      <c r="CZ41">
        <v>9</v>
      </c>
      <c r="DA41">
        <v>11</v>
      </c>
      <c r="DB41">
        <v>10</v>
      </c>
      <c r="DC41">
        <v>11</v>
      </c>
      <c r="DD41">
        <v>11</v>
      </c>
      <c r="DE41">
        <v>10</v>
      </c>
      <c r="DF41">
        <v>16</v>
      </c>
      <c r="DG41">
        <v>12</v>
      </c>
      <c r="DH41">
        <v>15</v>
      </c>
      <c r="DI41">
        <v>17</v>
      </c>
      <c r="DJ41">
        <v>24</v>
      </c>
      <c r="DK41">
        <v>15</v>
      </c>
      <c r="DL41">
        <v>16</v>
      </c>
      <c r="DM41">
        <v>18</v>
      </c>
      <c r="DN41">
        <v>11</v>
      </c>
      <c r="DO41">
        <v>14</v>
      </c>
      <c r="DP41">
        <v>14</v>
      </c>
      <c r="DQ41">
        <v>10</v>
      </c>
      <c r="DR41">
        <v>12</v>
      </c>
      <c r="DS41">
        <v>13</v>
      </c>
      <c r="DT41">
        <v>29</v>
      </c>
      <c r="DU41">
        <v>25</v>
      </c>
      <c r="DV41">
        <v>12</v>
      </c>
      <c r="DW41">
        <v>14</v>
      </c>
      <c r="DX41">
        <v>11</v>
      </c>
      <c r="DY41">
        <v>15</v>
      </c>
      <c r="DZ41">
        <v>12</v>
      </c>
      <c r="EA41">
        <v>9</v>
      </c>
      <c r="EB41">
        <v>11</v>
      </c>
      <c r="EC41">
        <v>12</v>
      </c>
      <c r="ED41">
        <v>14</v>
      </c>
      <c r="EE41">
        <v>18</v>
      </c>
      <c r="EF41">
        <v>14</v>
      </c>
      <c r="EG41">
        <v>14</v>
      </c>
      <c r="EH41">
        <v>14</v>
      </c>
      <c r="EI41">
        <v>14</v>
      </c>
      <c r="EJ41">
        <v>15</v>
      </c>
      <c r="EK41">
        <v>27</v>
      </c>
      <c r="EL41">
        <v>20</v>
      </c>
      <c r="EM41">
        <v>24</v>
      </c>
      <c r="EN41">
        <v>24</v>
      </c>
      <c r="EO41">
        <v>23</v>
      </c>
      <c r="EP41">
        <v>19</v>
      </c>
      <c r="EQ41">
        <v>14</v>
      </c>
      <c r="ER41">
        <v>22</v>
      </c>
      <c r="ES41">
        <v>17</v>
      </c>
      <c r="ET41">
        <v>13</v>
      </c>
      <c r="EU41">
        <v>15</v>
      </c>
      <c r="EV41">
        <v>15</v>
      </c>
      <c r="EW41">
        <v>14</v>
      </c>
      <c r="EX41">
        <v>15</v>
      </c>
      <c r="EY41">
        <v>17</v>
      </c>
      <c r="EZ41">
        <v>18</v>
      </c>
      <c r="FA41">
        <v>31</v>
      </c>
      <c r="FB41">
        <v>38</v>
      </c>
      <c r="FC41">
        <v>28</v>
      </c>
      <c r="FD41">
        <v>27</v>
      </c>
      <c r="FE41">
        <v>22</v>
      </c>
      <c r="FF41">
        <v>19</v>
      </c>
      <c r="FG41">
        <v>25</v>
      </c>
      <c r="FH41">
        <v>17</v>
      </c>
      <c r="FI41">
        <v>14</v>
      </c>
      <c r="FJ41">
        <v>14</v>
      </c>
      <c r="FK41">
        <v>20</v>
      </c>
      <c r="FL41">
        <v>37</v>
      </c>
      <c r="FM41">
        <v>23</v>
      </c>
      <c r="FN41">
        <v>26</v>
      </c>
      <c r="FO41">
        <v>25</v>
      </c>
      <c r="FP41">
        <v>26</v>
      </c>
      <c r="FQ41">
        <v>50</v>
      </c>
      <c r="FR41">
        <v>58</v>
      </c>
      <c r="FS41">
        <v>57</v>
      </c>
      <c r="FT41">
        <v>70</v>
      </c>
      <c r="FU41">
        <v>631</v>
      </c>
    </row>
    <row r="42" spans="3:177">
      <c r="C42" t="s">
        <v>26</v>
      </c>
      <c r="J42">
        <v>0.4</v>
      </c>
      <c r="K42">
        <v>4</v>
      </c>
      <c r="L42">
        <v>1400</v>
      </c>
      <c r="M42">
        <v>600</v>
      </c>
      <c r="N42">
        <v>90</v>
      </c>
      <c r="O42">
        <v>200</v>
      </c>
      <c r="P42">
        <v>100000</v>
      </c>
      <c r="Q42">
        <v>8.4712144410000008</v>
      </c>
      <c r="R42">
        <v>10.87472891</v>
      </c>
      <c r="S42">
        <v>9.2170843779999991</v>
      </c>
      <c r="T42">
        <v>7.3281778759999998</v>
      </c>
      <c r="U42">
        <v>10.256610999999999</v>
      </c>
      <c r="V42">
        <v>8.2127872069999999</v>
      </c>
      <c r="W42">
        <v>6.1406575649999997</v>
      </c>
      <c r="X42">
        <v>11.20079655</v>
      </c>
      <c r="Y42">
        <v>7.2599407280000001</v>
      </c>
    </row>
    <row r="43" spans="3:177">
      <c r="C43" t="s">
        <v>27</v>
      </c>
      <c r="J43">
        <v>169</v>
      </c>
      <c r="K43">
        <v>45</v>
      </c>
      <c r="L43">
        <v>54</v>
      </c>
      <c r="M43">
        <v>44</v>
      </c>
      <c r="N43">
        <v>43</v>
      </c>
      <c r="O43">
        <v>48</v>
      </c>
      <c r="P43">
        <v>42</v>
      </c>
      <c r="Q43">
        <v>31</v>
      </c>
      <c r="R43">
        <v>40</v>
      </c>
      <c r="S43">
        <v>60</v>
      </c>
      <c r="T43">
        <v>43</v>
      </c>
      <c r="U43">
        <v>62</v>
      </c>
      <c r="V43">
        <v>63</v>
      </c>
      <c r="W43">
        <v>59</v>
      </c>
      <c r="X43">
        <v>61</v>
      </c>
      <c r="Y43">
        <v>75</v>
      </c>
      <c r="Z43">
        <v>72</v>
      </c>
      <c r="AA43">
        <v>83</v>
      </c>
      <c r="AB43">
        <v>65</v>
      </c>
      <c r="AC43">
        <v>79</v>
      </c>
      <c r="AD43">
        <v>108</v>
      </c>
      <c r="AE43">
        <v>79</v>
      </c>
      <c r="AF43">
        <v>84</v>
      </c>
      <c r="AG43">
        <v>95</v>
      </c>
      <c r="AH43">
        <v>108</v>
      </c>
      <c r="AI43">
        <v>149</v>
      </c>
      <c r="AJ43">
        <v>81</v>
      </c>
      <c r="AK43">
        <v>58</v>
      </c>
      <c r="AL43">
        <v>84</v>
      </c>
      <c r="AM43">
        <v>69</v>
      </c>
      <c r="AN43">
        <v>68</v>
      </c>
      <c r="AO43">
        <v>88</v>
      </c>
      <c r="AP43">
        <v>50</v>
      </c>
      <c r="AQ43">
        <v>60</v>
      </c>
      <c r="AR43">
        <v>90</v>
      </c>
      <c r="AS43">
        <v>57</v>
      </c>
      <c r="AT43">
        <v>53</v>
      </c>
      <c r="AU43">
        <v>49</v>
      </c>
      <c r="AV43">
        <v>75</v>
      </c>
      <c r="AW43">
        <v>78</v>
      </c>
      <c r="AX43">
        <v>87</v>
      </c>
      <c r="AY43">
        <v>72</v>
      </c>
      <c r="AZ43">
        <v>63</v>
      </c>
      <c r="BA43">
        <v>41</v>
      </c>
      <c r="BB43">
        <v>62</v>
      </c>
      <c r="BC43">
        <v>32</v>
      </c>
      <c r="BD43">
        <v>52</v>
      </c>
      <c r="BE43">
        <v>36</v>
      </c>
      <c r="BF43">
        <v>22</v>
      </c>
      <c r="BG43">
        <v>27</v>
      </c>
      <c r="BH43">
        <v>24</v>
      </c>
      <c r="BI43">
        <v>25</v>
      </c>
      <c r="BJ43">
        <v>25</v>
      </c>
      <c r="BK43">
        <v>32</v>
      </c>
      <c r="BL43">
        <v>28</v>
      </c>
      <c r="BM43">
        <v>27</v>
      </c>
      <c r="BN43">
        <v>24</v>
      </c>
      <c r="BO43">
        <v>23</v>
      </c>
      <c r="BP43">
        <v>26</v>
      </c>
      <c r="BQ43">
        <v>25</v>
      </c>
      <c r="BR43">
        <v>24</v>
      </c>
      <c r="BS43">
        <v>50</v>
      </c>
      <c r="BT43">
        <v>38</v>
      </c>
      <c r="BU43">
        <v>40</v>
      </c>
      <c r="BV43">
        <v>52</v>
      </c>
      <c r="BW43">
        <v>49</v>
      </c>
      <c r="BX43">
        <v>78</v>
      </c>
      <c r="BY43">
        <v>100</v>
      </c>
      <c r="BZ43">
        <v>82</v>
      </c>
      <c r="CA43">
        <v>80</v>
      </c>
      <c r="CB43">
        <v>63</v>
      </c>
      <c r="CC43">
        <v>69</v>
      </c>
      <c r="CD43">
        <v>68</v>
      </c>
      <c r="CE43">
        <v>61</v>
      </c>
      <c r="CF43">
        <v>53</v>
      </c>
      <c r="CG43">
        <v>80</v>
      </c>
      <c r="CH43">
        <v>72</v>
      </c>
      <c r="CI43">
        <v>79</v>
      </c>
      <c r="CJ43">
        <v>74</v>
      </c>
      <c r="CK43">
        <v>55</v>
      </c>
      <c r="CL43">
        <v>59</v>
      </c>
      <c r="CM43">
        <v>77</v>
      </c>
      <c r="CN43">
        <v>60</v>
      </c>
      <c r="CO43">
        <v>62</v>
      </c>
      <c r="CP43">
        <v>60</v>
      </c>
      <c r="CQ43">
        <v>53</v>
      </c>
      <c r="CR43">
        <v>84</v>
      </c>
      <c r="CS43">
        <v>64</v>
      </c>
      <c r="CT43">
        <v>84</v>
      </c>
      <c r="CU43">
        <v>100</v>
      </c>
      <c r="CV43">
        <v>91</v>
      </c>
      <c r="CW43">
        <v>87</v>
      </c>
      <c r="CX43">
        <v>93</v>
      </c>
      <c r="CY43">
        <v>110</v>
      </c>
      <c r="CZ43">
        <v>90</v>
      </c>
      <c r="DA43">
        <v>71</v>
      </c>
      <c r="DB43">
        <v>77</v>
      </c>
      <c r="DC43">
        <v>77</v>
      </c>
      <c r="DD43">
        <v>64</v>
      </c>
      <c r="DE43">
        <v>72</v>
      </c>
      <c r="DF43">
        <v>157</v>
      </c>
      <c r="DG43">
        <v>133</v>
      </c>
      <c r="DH43">
        <v>72</v>
      </c>
      <c r="DI43">
        <v>74</v>
      </c>
      <c r="DJ43">
        <v>89</v>
      </c>
      <c r="DK43">
        <v>51</v>
      </c>
      <c r="DL43">
        <v>46</v>
      </c>
      <c r="DM43">
        <v>45</v>
      </c>
      <c r="DN43">
        <v>50</v>
      </c>
      <c r="DO43">
        <v>31</v>
      </c>
      <c r="DP43">
        <v>36</v>
      </c>
      <c r="DQ43">
        <v>41</v>
      </c>
      <c r="DR43">
        <v>32</v>
      </c>
      <c r="DS43">
        <v>45</v>
      </c>
      <c r="DT43">
        <v>61</v>
      </c>
      <c r="DU43">
        <v>28</v>
      </c>
      <c r="DV43">
        <v>21</v>
      </c>
      <c r="DW43">
        <v>35</v>
      </c>
      <c r="DX43">
        <v>20</v>
      </c>
      <c r="DY43">
        <v>20</v>
      </c>
      <c r="DZ43">
        <v>21</v>
      </c>
      <c r="EA43">
        <v>23</v>
      </c>
      <c r="EB43">
        <v>24</v>
      </c>
      <c r="EC43">
        <v>29</v>
      </c>
      <c r="ED43">
        <v>34</v>
      </c>
      <c r="EE43">
        <v>26</v>
      </c>
      <c r="EF43">
        <v>13</v>
      </c>
      <c r="EG43">
        <v>25</v>
      </c>
      <c r="EH43">
        <v>13</v>
      </c>
      <c r="EI43">
        <v>22</v>
      </c>
      <c r="EJ43">
        <v>17</v>
      </c>
      <c r="EK43">
        <v>17</v>
      </c>
      <c r="EL43">
        <v>18</v>
      </c>
      <c r="EM43">
        <v>15</v>
      </c>
      <c r="EN43">
        <v>19</v>
      </c>
      <c r="EO43">
        <v>22</v>
      </c>
      <c r="EP43">
        <v>15</v>
      </c>
      <c r="EQ43">
        <v>19</v>
      </c>
      <c r="ER43">
        <v>16</v>
      </c>
      <c r="ES43">
        <v>18</v>
      </c>
      <c r="ET43">
        <v>23</v>
      </c>
      <c r="EU43">
        <v>17</v>
      </c>
      <c r="EV43">
        <v>21</v>
      </c>
      <c r="EW43">
        <v>19</v>
      </c>
      <c r="EX43">
        <v>21</v>
      </c>
      <c r="EY43">
        <v>22</v>
      </c>
      <c r="EZ43">
        <v>14</v>
      </c>
      <c r="FA43">
        <v>20</v>
      </c>
      <c r="FB43">
        <v>19</v>
      </c>
      <c r="FC43">
        <v>22</v>
      </c>
      <c r="FD43">
        <v>18</v>
      </c>
      <c r="FE43">
        <v>24</v>
      </c>
      <c r="FF43">
        <v>21</v>
      </c>
      <c r="FG43">
        <v>21</v>
      </c>
      <c r="FH43">
        <v>26</v>
      </c>
      <c r="FI43">
        <v>27</v>
      </c>
      <c r="FJ43">
        <v>26</v>
      </c>
      <c r="FK43">
        <v>25</v>
      </c>
      <c r="FL43">
        <v>24</v>
      </c>
      <c r="FM43">
        <v>33</v>
      </c>
      <c r="FN43">
        <v>25</v>
      </c>
      <c r="FO43">
        <v>30</v>
      </c>
      <c r="FP43">
        <v>43</v>
      </c>
      <c r="FQ43">
        <v>39</v>
      </c>
      <c r="FR43">
        <v>53</v>
      </c>
      <c r="FS43">
        <v>59</v>
      </c>
      <c r="FT43">
        <v>102</v>
      </c>
      <c r="FU43">
        <v>246</v>
      </c>
    </row>
    <row r="44" spans="3:177">
      <c r="C44" t="s">
        <v>39</v>
      </c>
      <c r="J44">
        <v>5</v>
      </c>
      <c r="K44">
        <v>3</v>
      </c>
      <c r="L44">
        <v>2</v>
      </c>
      <c r="M44">
        <v>8</v>
      </c>
      <c r="N44">
        <v>5</v>
      </c>
      <c r="O44">
        <v>3</v>
      </c>
      <c r="P44">
        <v>2</v>
      </c>
      <c r="Q44">
        <v>1</v>
      </c>
      <c r="R44">
        <v>1</v>
      </c>
      <c r="S44">
        <v>1</v>
      </c>
      <c r="T44">
        <v>2</v>
      </c>
      <c r="U44">
        <v>1</v>
      </c>
      <c r="V44">
        <v>7</v>
      </c>
      <c r="W44">
        <v>4</v>
      </c>
      <c r="X44">
        <v>3</v>
      </c>
      <c r="Y44">
        <v>4</v>
      </c>
      <c r="Z44">
        <v>12</v>
      </c>
      <c r="AA44">
        <v>6</v>
      </c>
      <c r="AB44">
        <v>8</v>
      </c>
      <c r="AC44">
        <v>4</v>
      </c>
      <c r="AD44">
        <v>6</v>
      </c>
      <c r="AE44">
        <v>5</v>
      </c>
      <c r="AF44">
        <v>6</v>
      </c>
      <c r="AG44">
        <v>3</v>
      </c>
      <c r="AH44">
        <v>5</v>
      </c>
      <c r="AI44">
        <v>8</v>
      </c>
      <c r="AJ44">
        <v>3</v>
      </c>
      <c r="AK44">
        <v>3</v>
      </c>
      <c r="AL44">
        <v>4</v>
      </c>
      <c r="AM44">
        <v>2</v>
      </c>
      <c r="AN44">
        <v>3</v>
      </c>
      <c r="AO44">
        <v>3</v>
      </c>
      <c r="AP44">
        <v>16</v>
      </c>
      <c r="AQ44">
        <v>207</v>
      </c>
      <c r="AR44">
        <v>48</v>
      </c>
      <c r="AS44">
        <v>25</v>
      </c>
      <c r="AT44">
        <v>13</v>
      </c>
      <c r="AU44">
        <v>21</v>
      </c>
      <c r="AV44">
        <v>24</v>
      </c>
      <c r="AW44">
        <v>17</v>
      </c>
      <c r="AX44">
        <v>21</v>
      </c>
      <c r="AY44">
        <v>26</v>
      </c>
      <c r="AZ44">
        <v>18</v>
      </c>
      <c r="BA44">
        <v>25</v>
      </c>
      <c r="BB44">
        <v>26</v>
      </c>
      <c r="BC44">
        <v>14</v>
      </c>
      <c r="BD44">
        <v>20</v>
      </c>
      <c r="BE44">
        <v>32</v>
      </c>
      <c r="BF44">
        <v>26</v>
      </c>
      <c r="BG44">
        <v>17</v>
      </c>
      <c r="BH44">
        <v>18</v>
      </c>
      <c r="BI44">
        <v>20</v>
      </c>
      <c r="BJ44">
        <v>18</v>
      </c>
      <c r="BK44">
        <v>22</v>
      </c>
      <c r="BL44">
        <v>22</v>
      </c>
      <c r="BM44">
        <v>18</v>
      </c>
      <c r="BN44">
        <v>24</v>
      </c>
      <c r="BO44">
        <v>18</v>
      </c>
      <c r="BP44">
        <v>15</v>
      </c>
      <c r="BQ44">
        <v>19</v>
      </c>
      <c r="BR44">
        <v>15</v>
      </c>
      <c r="BS44">
        <v>25</v>
      </c>
      <c r="BT44">
        <v>42</v>
      </c>
      <c r="BU44">
        <v>27</v>
      </c>
      <c r="BV44">
        <v>24</v>
      </c>
      <c r="BW44">
        <v>21</v>
      </c>
      <c r="BX44">
        <v>40</v>
      </c>
      <c r="BY44">
        <v>31</v>
      </c>
      <c r="BZ44">
        <v>22</v>
      </c>
      <c r="CA44">
        <v>27</v>
      </c>
      <c r="CB44">
        <v>22</v>
      </c>
      <c r="CC44">
        <v>16</v>
      </c>
      <c r="CD44">
        <v>20</v>
      </c>
      <c r="CE44">
        <v>17</v>
      </c>
      <c r="CF44">
        <v>18</v>
      </c>
      <c r="CG44">
        <v>22</v>
      </c>
      <c r="CH44">
        <v>18</v>
      </c>
      <c r="CI44">
        <v>16</v>
      </c>
      <c r="CJ44">
        <v>26</v>
      </c>
      <c r="CK44">
        <v>29</v>
      </c>
      <c r="CL44">
        <v>18</v>
      </c>
      <c r="CM44">
        <v>19</v>
      </c>
      <c r="CN44">
        <v>22</v>
      </c>
      <c r="CO44">
        <v>20</v>
      </c>
      <c r="CP44">
        <v>18</v>
      </c>
      <c r="CQ44">
        <v>15</v>
      </c>
      <c r="CR44">
        <v>23</v>
      </c>
      <c r="CS44">
        <v>23</v>
      </c>
      <c r="CT44">
        <v>25</v>
      </c>
      <c r="CU44">
        <v>16</v>
      </c>
      <c r="CV44">
        <v>28</v>
      </c>
      <c r="CW44">
        <v>16</v>
      </c>
      <c r="CX44">
        <v>15</v>
      </c>
      <c r="CY44">
        <v>31</v>
      </c>
      <c r="CZ44">
        <v>18</v>
      </c>
      <c r="DA44">
        <v>14</v>
      </c>
      <c r="DB44">
        <v>19</v>
      </c>
      <c r="DC44">
        <v>21</v>
      </c>
      <c r="DD44">
        <v>26</v>
      </c>
      <c r="DE44">
        <v>24</v>
      </c>
      <c r="DF44">
        <v>29</v>
      </c>
      <c r="DG44">
        <v>22</v>
      </c>
      <c r="DH44">
        <v>22</v>
      </c>
      <c r="DI44">
        <v>19</v>
      </c>
      <c r="DJ44">
        <v>33</v>
      </c>
      <c r="DK44">
        <v>43</v>
      </c>
      <c r="DL44">
        <v>23</v>
      </c>
      <c r="DM44">
        <v>28</v>
      </c>
      <c r="DN44">
        <v>16</v>
      </c>
      <c r="DO44">
        <v>22</v>
      </c>
      <c r="DP44">
        <v>18</v>
      </c>
      <c r="DQ44">
        <v>33</v>
      </c>
      <c r="DR44">
        <v>24</v>
      </c>
      <c r="DS44">
        <v>20</v>
      </c>
      <c r="DT44">
        <v>18</v>
      </c>
      <c r="DU44">
        <v>15</v>
      </c>
      <c r="DV44">
        <v>21</v>
      </c>
      <c r="DW44">
        <v>20</v>
      </c>
      <c r="DX44">
        <v>25</v>
      </c>
      <c r="DY44">
        <v>27</v>
      </c>
      <c r="DZ44">
        <v>34</v>
      </c>
      <c r="EA44">
        <v>26</v>
      </c>
      <c r="EB44">
        <v>21</v>
      </c>
      <c r="EC44">
        <v>15</v>
      </c>
      <c r="ED44">
        <v>21</v>
      </c>
      <c r="EE44">
        <v>26</v>
      </c>
      <c r="EF44">
        <v>24</v>
      </c>
      <c r="EG44">
        <v>22</v>
      </c>
      <c r="EH44">
        <v>12</v>
      </c>
      <c r="EI44">
        <v>17</v>
      </c>
      <c r="EJ44">
        <v>13</v>
      </c>
      <c r="EK44">
        <v>16</v>
      </c>
      <c r="EL44">
        <v>14</v>
      </c>
      <c r="EM44">
        <v>15</v>
      </c>
      <c r="EN44">
        <v>19</v>
      </c>
      <c r="EO44">
        <v>16</v>
      </c>
      <c r="EP44">
        <v>24</v>
      </c>
      <c r="EQ44">
        <v>47</v>
      </c>
      <c r="ER44">
        <v>24</v>
      </c>
      <c r="ES44">
        <v>20</v>
      </c>
      <c r="ET44">
        <v>12</v>
      </c>
      <c r="EU44">
        <v>18</v>
      </c>
      <c r="EV44">
        <v>16</v>
      </c>
      <c r="EW44">
        <v>19</v>
      </c>
      <c r="EX44">
        <v>17</v>
      </c>
      <c r="EY44">
        <v>17</v>
      </c>
      <c r="EZ44">
        <v>17</v>
      </c>
      <c r="FA44">
        <v>20</v>
      </c>
      <c r="FB44">
        <v>19</v>
      </c>
      <c r="FC44">
        <v>13</v>
      </c>
      <c r="FD44">
        <v>19</v>
      </c>
      <c r="FE44">
        <v>21</v>
      </c>
      <c r="FF44">
        <v>18</v>
      </c>
      <c r="FG44">
        <v>19</v>
      </c>
      <c r="FH44">
        <v>22</v>
      </c>
      <c r="FI44">
        <v>19</v>
      </c>
      <c r="FJ44">
        <v>17</v>
      </c>
      <c r="FK44">
        <v>19</v>
      </c>
      <c r="FL44">
        <v>22</v>
      </c>
      <c r="FM44">
        <v>24</v>
      </c>
      <c r="FN44">
        <v>33</v>
      </c>
      <c r="FO44">
        <v>27</v>
      </c>
      <c r="FP44">
        <v>52</v>
      </c>
      <c r="FQ44">
        <v>40</v>
      </c>
      <c r="FR44">
        <v>43</v>
      </c>
      <c r="FS44">
        <v>48</v>
      </c>
      <c r="FT44">
        <v>74</v>
      </c>
      <c r="FU44">
        <v>455</v>
      </c>
    </row>
    <row r="45" spans="3:177">
      <c r="J45">
        <v>0.4</v>
      </c>
      <c r="K45">
        <v>3</v>
      </c>
      <c r="L45">
        <v>1400</v>
      </c>
      <c r="M45">
        <v>600</v>
      </c>
      <c r="N45">
        <v>90</v>
      </c>
      <c r="O45">
        <v>200</v>
      </c>
      <c r="P45">
        <v>100000</v>
      </c>
      <c r="Q45">
        <v>8.5742971380000004</v>
      </c>
      <c r="R45">
        <v>11.28609756</v>
      </c>
      <c r="S45">
        <v>9.4155540050000006</v>
      </c>
      <c r="T45">
        <v>7.5335034729999997</v>
      </c>
      <c r="U45">
        <v>10.300606139999999</v>
      </c>
      <c r="V45">
        <v>8.3420821630000006</v>
      </c>
      <c r="W45">
        <v>5.6077292859999996</v>
      </c>
      <c r="X45">
        <v>10.803473090000001</v>
      </c>
      <c r="Y45">
        <v>6.7644301220000003</v>
      </c>
    </row>
    <row r="46" spans="3:177">
      <c r="J46">
        <v>181</v>
      </c>
      <c r="K46">
        <v>66</v>
      </c>
      <c r="L46">
        <v>43</v>
      </c>
      <c r="M46">
        <v>57</v>
      </c>
      <c r="N46">
        <v>54</v>
      </c>
      <c r="O46">
        <v>56</v>
      </c>
      <c r="P46">
        <v>45</v>
      </c>
      <c r="Q46">
        <v>43</v>
      </c>
      <c r="R46">
        <v>45</v>
      </c>
      <c r="S46">
        <v>65</v>
      </c>
      <c r="T46">
        <v>53</v>
      </c>
      <c r="U46">
        <v>54</v>
      </c>
      <c r="V46">
        <v>72</v>
      </c>
      <c r="W46">
        <v>58</v>
      </c>
      <c r="X46">
        <v>59</v>
      </c>
      <c r="Y46">
        <v>69</v>
      </c>
      <c r="Z46">
        <v>51</v>
      </c>
      <c r="AA46">
        <v>65</v>
      </c>
      <c r="AB46">
        <v>84</v>
      </c>
      <c r="AC46">
        <v>70</v>
      </c>
      <c r="AD46">
        <v>74</v>
      </c>
      <c r="AE46">
        <v>99</v>
      </c>
      <c r="AF46">
        <v>95</v>
      </c>
      <c r="AG46">
        <v>107</v>
      </c>
      <c r="AH46">
        <v>91</v>
      </c>
      <c r="AI46">
        <v>105</v>
      </c>
      <c r="AJ46">
        <v>76</v>
      </c>
      <c r="AK46">
        <v>65</v>
      </c>
      <c r="AL46">
        <v>93</v>
      </c>
      <c r="AM46">
        <v>76</v>
      </c>
      <c r="AN46">
        <v>83</v>
      </c>
      <c r="AO46">
        <v>83</v>
      </c>
      <c r="AP46">
        <v>85</v>
      </c>
      <c r="AQ46">
        <v>67</v>
      </c>
      <c r="AR46">
        <v>84</v>
      </c>
      <c r="AS46">
        <v>61</v>
      </c>
      <c r="AT46">
        <v>59</v>
      </c>
      <c r="AU46">
        <v>53</v>
      </c>
      <c r="AV46">
        <v>57</v>
      </c>
      <c r="AW46">
        <v>26</v>
      </c>
      <c r="AX46">
        <v>15</v>
      </c>
      <c r="AY46">
        <v>20</v>
      </c>
      <c r="AZ46">
        <v>22</v>
      </c>
      <c r="BA46">
        <v>23</v>
      </c>
      <c r="BB46">
        <v>21</v>
      </c>
      <c r="BC46">
        <v>21</v>
      </c>
      <c r="BD46">
        <v>17</v>
      </c>
      <c r="BE46">
        <v>21</v>
      </c>
      <c r="BF46">
        <v>21</v>
      </c>
      <c r="BG46">
        <v>25</v>
      </c>
      <c r="BH46">
        <v>22</v>
      </c>
      <c r="BI46">
        <v>19</v>
      </c>
      <c r="BJ46">
        <v>30</v>
      </c>
      <c r="BK46">
        <v>29</v>
      </c>
      <c r="BL46">
        <v>24</v>
      </c>
      <c r="BM46">
        <v>38</v>
      </c>
      <c r="BN46">
        <v>31</v>
      </c>
      <c r="BO46">
        <v>24</v>
      </c>
      <c r="BP46">
        <v>32</v>
      </c>
      <c r="BQ46">
        <v>34</v>
      </c>
      <c r="BR46">
        <v>47</v>
      </c>
      <c r="BS46">
        <v>64</v>
      </c>
      <c r="BT46">
        <v>77</v>
      </c>
      <c r="BU46">
        <v>80</v>
      </c>
      <c r="BV46">
        <v>65</v>
      </c>
      <c r="BW46">
        <v>50</v>
      </c>
      <c r="BX46">
        <v>79</v>
      </c>
      <c r="BY46">
        <v>107</v>
      </c>
      <c r="BZ46">
        <v>96</v>
      </c>
      <c r="CA46">
        <v>98</v>
      </c>
      <c r="CB46">
        <v>116</v>
      </c>
      <c r="CC46">
        <v>76</v>
      </c>
      <c r="CD46">
        <v>78</v>
      </c>
      <c r="CE46">
        <v>93</v>
      </c>
      <c r="CF46">
        <v>91</v>
      </c>
      <c r="CG46">
        <v>85</v>
      </c>
      <c r="CH46">
        <v>82</v>
      </c>
      <c r="CI46">
        <v>96</v>
      </c>
      <c r="CJ46">
        <v>112</v>
      </c>
      <c r="CK46">
        <v>135</v>
      </c>
      <c r="CL46">
        <v>167</v>
      </c>
      <c r="CM46">
        <v>113</v>
      </c>
      <c r="CN46">
        <v>92</v>
      </c>
      <c r="CO46">
        <v>132</v>
      </c>
      <c r="CP46">
        <v>112</v>
      </c>
      <c r="CQ46">
        <v>74</v>
      </c>
      <c r="CR46">
        <v>66</v>
      </c>
      <c r="CS46">
        <v>66</v>
      </c>
      <c r="CT46">
        <v>80</v>
      </c>
      <c r="CU46">
        <v>85</v>
      </c>
      <c r="CV46">
        <v>110</v>
      </c>
      <c r="CW46">
        <v>71</v>
      </c>
      <c r="CX46">
        <v>69</v>
      </c>
      <c r="CY46">
        <v>67</v>
      </c>
      <c r="CZ46">
        <v>95</v>
      </c>
      <c r="DA46">
        <v>88</v>
      </c>
      <c r="DB46">
        <v>101</v>
      </c>
      <c r="DC46">
        <v>76</v>
      </c>
      <c r="DD46">
        <v>51</v>
      </c>
      <c r="DE46">
        <v>40</v>
      </c>
      <c r="DF46">
        <v>39</v>
      </c>
      <c r="DG46">
        <v>31</v>
      </c>
      <c r="DH46">
        <v>39</v>
      </c>
      <c r="DI46">
        <v>58</v>
      </c>
      <c r="DJ46">
        <v>44</v>
      </c>
      <c r="DK46">
        <v>27</v>
      </c>
      <c r="DL46">
        <v>28</v>
      </c>
      <c r="DM46">
        <v>25</v>
      </c>
      <c r="DN46">
        <v>37</v>
      </c>
      <c r="DO46">
        <v>28</v>
      </c>
      <c r="DP46">
        <v>29</v>
      </c>
      <c r="DQ46">
        <v>24</v>
      </c>
      <c r="DR46">
        <v>25</v>
      </c>
      <c r="DS46">
        <v>22</v>
      </c>
      <c r="DT46">
        <v>21</v>
      </c>
      <c r="DU46">
        <v>19</v>
      </c>
      <c r="DV46">
        <v>25</v>
      </c>
      <c r="DW46">
        <v>21</v>
      </c>
      <c r="DX46">
        <v>16</v>
      </c>
      <c r="DY46">
        <v>25</v>
      </c>
      <c r="DZ46">
        <v>23</v>
      </c>
      <c r="EA46">
        <v>20</v>
      </c>
      <c r="EB46">
        <v>21</v>
      </c>
      <c r="EC46">
        <v>28</v>
      </c>
      <c r="ED46">
        <v>20</v>
      </c>
      <c r="EE46">
        <v>27</v>
      </c>
      <c r="EF46">
        <v>21</v>
      </c>
      <c r="EG46">
        <v>21</v>
      </c>
      <c r="EH46">
        <v>25</v>
      </c>
      <c r="EI46">
        <v>16</v>
      </c>
      <c r="EJ46">
        <v>23</v>
      </c>
      <c r="EK46">
        <v>23</v>
      </c>
      <c r="EL46">
        <v>21</v>
      </c>
      <c r="EM46">
        <v>19</v>
      </c>
      <c r="EN46">
        <v>22</v>
      </c>
      <c r="EO46">
        <v>19</v>
      </c>
      <c r="EP46">
        <v>20</v>
      </c>
      <c r="EQ46">
        <v>17</v>
      </c>
      <c r="ER46">
        <v>23</v>
      </c>
      <c r="ES46">
        <v>19</v>
      </c>
      <c r="ET46">
        <v>20</v>
      </c>
      <c r="EU46">
        <v>23</v>
      </c>
      <c r="EV46">
        <v>19</v>
      </c>
      <c r="EW46">
        <v>20</v>
      </c>
      <c r="EX46">
        <v>21</v>
      </c>
      <c r="EY46">
        <v>19</v>
      </c>
      <c r="EZ46">
        <v>20</v>
      </c>
      <c r="FA46">
        <v>24</v>
      </c>
      <c r="FB46">
        <v>21</v>
      </c>
      <c r="FC46">
        <v>24</v>
      </c>
      <c r="FD46">
        <v>21</v>
      </c>
      <c r="FE46">
        <v>27</v>
      </c>
      <c r="FF46">
        <v>22</v>
      </c>
      <c r="FG46">
        <v>23</v>
      </c>
      <c r="FH46">
        <v>27</v>
      </c>
      <c r="FI46">
        <v>23</v>
      </c>
      <c r="FJ46">
        <v>28</v>
      </c>
      <c r="FK46">
        <v>26</v>
      </c>
      <c r="FL46">
        <v>31</v>
      </c>
      <c r="FM46">
        <v>31</v>
      </c>
      <c r="FN46">
        <v>28</v>
      </c>
      <c r="FO46">
        <v>53</v>
      </c>
      <c r="FP46">
        <v>61</v>
      </c>
      <c r="FQ46">
        <v>52</v>
      </c>
      <c r="FR46">
        <v>74</v>
      </c>
      <c r="FS46">
        <v>91</v>
      </c>
      <c r="FT46">
        <v>120</v>
      </c>
      <c r="FU46">
        <v>391</v>
      </c>
    </row>
    <row r="47" spans="3:177">
      <c r="J47">
        <v>0</v>
      </c>
      <c r="K47">
        <v>0</v>
      </c>
      <c r="L47">
        <v>0</v>
      </c>
      <c r="M47">
        <v>0</v>
      </c>
      <c r="N47">
        <v>2</v>
      </c>
      <c r="O47">
        <v>1</v>
      </c>
      <c r="P47">
        <v>7</v>
      </c>
      <c r="Q47">
        <v>6</v>
      </c>
      <c r="R47">
        <v>5</v>
      </c>
      <c r="S47">
        <v>3</v>
      </c>
      <c r="T47">
        <v>4</v>
      </c>
      <c r="U47">
        <v>10</v>
      </c>
      <c r="V47">
        <v>8</v>
      </c>
      <c r="W47">
        <v>9</v>
      </c>
      <c r="X47">
        <v>9</v>
      </c>
      <c r="Y47">
        <v>16</v>
      </c>
      <c r="Z47">
        <v>19</v>
      </c>
      <c r="AA47">
        <v>21</v>
      </c>
      <c r="AB47">
        <v>26</v>
      </c>
      <c r="AC47">
        <v>24</v>
      </c>
      <c r="AD47">
        <v>10</v>
      </c>
      <c r="AE47">
        <v>25</v>
      </c>
      <c r="AF47">
        <v>19</v>
      </c>
      <c r="AG47">
        <v>19</v>
      </c>
      <c r="AH47">
        <v>13</v>
      </c>
      <c r="AI47">
        <v>13</v>
      </c>
      <c r="AJ47">
        <v>7</v>
      </c>
      <c r="AK47">
        <v>14</v>
      </c>
      <c r="AL47">
        <v>11</v>
      </c>
      <c r="AM47">
        <v>10</v>
      </c>
      <c r="AN47">
        <v>11</v>
      </c>
      <c r="AO47">
        <v>14</v>
      </c>
      <c r="AP47">
        <v>14</v>
      </c>
      <c r="AQ47">
        <v>9</v>
      </c>
      <c r="AR47">
        <v>67</v>
      </c>
      <c r="AS47">
        <v>50</v>
      </c>
      <c r="AT47">
        <v>53</v>
      </c>
      <c r="AU47">
        <v>49</v>
      </c>
      <c r="AV47">
        <v>30</v>
      </c>
      <c r="AW47">
        <v>35</v>
      </c>
      <c r="AX47">
        <v>14</v>
      </c>
      <c r="AY47">
        <v>25</v>
      </c>
      <c r="AZ47">
        <v>20</v>
      </c>
      <c r="BA47">
        <v>21</v>
      </c>
      <c r="BB47">
        <v>23</v>
      </c>
      <c r="BC47">
        <v>18</v>
      </c>
      <c r="BD47">
        <v>19</v>
      </c>
      <c r="BE47">
        <v>13</v>
      </c>
      <c r="BF47">
        <v>9</v>
      </c>
      <c r="BG47">
        <v>14</v>
      </c>
      <c r="BH47">
        <v>15</v>
      </c>
      <c r="BI47">
        <v>22</v>
      </c>
      <c r="BJ47">
        <v>16</v>
      </c>
      <c r="BK47">
        <v>16</v>
      </c>
      <c r="BL47">
        <v>18</v>
      </c>
      <c r="BM47">
        <v>15</v>
      </c>
      <c r="BN47">
        <v>16</v>
      </c>
      <c r="BO47">
        <v>37</v>
      </c>
      <c r="BP47">
        <v>24</v>
      </c>
      <c r="BQ47">
        <v>29</v>
      </c>
      <c r="BR47">
        <v>21</v>
      </c>
      <c r="BS47">
        <v>28</v>
      </c>
      <c r="BT47">
        <v>31</v>
      </c>
      <c r="BU47">
        <v>31</v>
      </c>
      <c r="BV47">
        <v>26</v>
      </c>
      <c r="BW47">
        <v>23</v>
      </c>
      <c r="BX47">
        <v>25</v>
      </c>
      <c r="BY47">
        <v>19</v>
      </c>
      <c r="BZ47">
        <v>18</v>
      </c>
      <c r="CA47">
        <v>16</v>
      </c>
      <c r="CB47">
        <v>11</v>
      </c>
      <c r="CC47">
        <v>14</v>
      </c>
      <c r="CD47">
        <v>13</v>
      </c>
      <c r="CE47">
        <v>9</v>
      </c>
      <c r="CF47">
        <v>12</v>
      </c>
      <c r="CG47">
        <v>9</v>
      </c>
      <c r="CH47">
        <v>13</v>
      </c>
      <c r="CI47">
        <v>12</v>
      </c>
      <c r="CJ47">
        <v>8</v>
      </c>
      <c r="CK47">
        <v>10</v>
      </c>
      <c r="CL47">
        <v>13</v>
      </c>
      <c r="CM47">
        <v>14</v>
      </c>
      <c r="CN47">
        <v>18</v>
      </c>
      <c r="CO47">
        <v>18</v>
      </c>
      <c r="CP47">
        <v>23</v>
      </c>
      <c r="CQ47">
        <v>16</v>
      </c>
      <c r="CR47">
        <v>17</v>
      </c>
      <c r="CS47">
        <v>25</v>
      </c>
      <c r="CT47">
        <v>26</v>
      </c>
      <c r="CU47">
        <v>16</v>
      </c>
      <c r="CV47">
        <v>11</v>
      </c>
      <c r="CW47">
        <v>17</v>
      </c>
      <c r="CX47">
        <v>12</v>
      </c>
      <c r="CY47">
        <v>13</v>
      </c>
      <c r="CZ47">
        <v>13</v>
      </c>
      <c r="DA47">
        <v>14</v>
      </c>
      <c r="DB47">
        <v>11</v>
      </c>
      <c r="DC47">
        <v>16</v>
      </c>
      <c r="DD47">
        <v>10</v>
      </c>
      <c r="DE47">
        <v>16</v>
      </c>
      <c r="DF47">
        <v>14</v>
      </c>
      <c r="DG47">
        <v>14</v>
      </c>
      <c r="DH47">
        <v>19</v>
      </c>
      <c r="DI47">
        <v>31</v>
      </c>
      <c r="DJ47">
        <v>28</v>
      </c>
      <c r="DK47">
        <v>19</v>
      </c>
      <c r="DL47">
        <v>29</v>
      </c>
      <c r="DM47">
        <v>23</v>
      </c>
      <c r="DN47">
        <v>17</v>
      </c>
      <c r="DO47">
        <v>21</v>
      </c>
      <c r="DP47">
        <v>18</v>
      </c>
      <c r="DQ47">
        <v>18</v>
      </c>
      <c r="DR47">
        <v>20</v>
      </c>
      <c r="DS47">
        <v>14</v>
      </c>
      <c r="DT47">
        <v>16</v>
      </c>
      <c r="DU47">
        <v>14</v>
      </c>
      <c r="DV47">
        <v>13</v>
      </c>
      <c r="DW47">
        <v>14</v>
      </c>
      <c r="DX47">
        <v>27</v>
      </c>
      <c r="DY47">
        <v>16</v>
      </c>
      <c r="DZ47">
        <v>23</v>
      </c>
      <c r="EA47">
        <v>13</v>
      </c>
      <c r="EB47">
        <v>16</v>
      </c>
      <c r="EC47">
        <v>22</v>
      </c>
      <c r="ED47">
        <v>29</v>
      </c>
      <c r="EE47">
        <v>21</v>
      </c>
      <c r="EF47">
        <v>26</v>
      </c>
      <c r="EG47">
        <v>33</v>
      </c>
      <c r="EH47">
        <v>31</v>
      </c>
      <c r="EI47">
        <v>27</v>
      </c>
      <c r="EJ47">
        <v>21</v>
      </c>
      <c r="EK47">
        <v>24</v>
      </c>
      <c r="EL47">
        <v>16</v>
      </c>
      <c r="EM47">
        <v>15</v>
      </c>
      <c r="EN47">
        <v>18</v>
      </c>
      <c r="EO47">
        <v>14</v>
      </c>
      <c r="EP47">
        <v>13</v>
      </c>
      <c r="EQ47">
        <v>18</v>
      </c>
      <c r="ER47">
        <v>15</v>
      </c>
      <c r="ES47">
        <v>18</v>
      </c>
      <c r="ET47">
        <v>33</v>
      </c>
      <c r="EU47">
        <v>31</v>
      </c>
      <c r="EV47">
        <v>13</v>
      </c>
      <c r="EW47">
        <v>14</v>
      </c>
      <c r="EX47">
        <v>13</v>
      </c>
      <c r="EY47">
        <v>15</v>
      </c>
      <c r="EZ47">
        <v>12</v>
      </c>
      <c r="FA47">
        <v>13</v>
      </c>
      <c r="FB47">
        <v>17</v>
      </c>
      <c r="FC47">
        <v>13</v>
      </c>
      <c r="FD47">
        <v>14</v>
      </c>
      <c r="FE47">
        <v>27</v>
      </c>
      <c r="FF47">
        <v>18</v>
      </c>
      <c r="FG47">
        <v>18</v>
      </c>
      <c r="FH47">
        <v>21</v>
      </c>
      <c r="FI47">
        <v>16</v>
      </c>
      <c r="FJ47">
        <v>19</v>
      </c>
      <c r="FK47">
        <v>28</v>
      </c>
      <c r="FL47">
        <v>56</v>
      </c>
      <c r="FM47">
        <v>59</v>
      </c>
      <c r="FN47">
        <v>73</v>
      </c>
      <c r="FO47">
        <v>78</v>
      </c>
      <c r="FP47">
        <v>106</v>
      </c>
      <c r="FQ47">
        <v>49</v>
      </c>
      <c r="FR47">
        <v>53</v>
      </c>
      <c r="FS47">
        <v>43</v>
      </c>
      <c r="FT47">
        <v>79</v>
      </c>
      <c r="FU47">
        <v>354</v>
      </c>
    </row>
    <row r="48" spans="3:177">
      <c r="J48">
        <v>0.4</v>
      </c>
      <c r="K48">
        <v>5</v>
      </c>
      <c r="L48">
        <v>1400</v>
      </c>
      <c r="M48">
        <v>600</v>
      </c>
      <c r="N48">
        <v>90</v>
      </c>
      <c r="O48">
        <v>200</v>
      </c>
      <c r="P48">
        <v>100000</v>
      </c>
      <c r="Q48">
        <v>8.3489914869999993</v>
      </c>
      <c r="R48">
        <v>14.922954470000001</v>
      </c>
      <c r="S48">
        <v>9.7843841050000009</v>
      </c>
      <c r="T48">
        <v>7.4887851459999997</v>
      </c>
      <c r="U48">
        <v>14.446068090000001</v>
      </c>
      <c r="V48">
        <v>8.8661747759999994</v>
      </c>
      <c r="W48">
        <v>7.1552230300000002</v>
      </c>
      <c r="X48">
        <v>14.30942857</v>
      </c>
      <c r="Y48">
        <v>8.5118641739999994</v>
      </c>
    </row>
    <row r="49" spans="8:177">
      <c r="J49">
        <v>75</v>
      </c>
      <c r="K49">
        <v>34</v>
      </c>
      <c r="L49">
        <v>15</v>
      </c>
      <c r="M49">
        <v>14</v>
      </c>
      <c r="N49">
        <v>9</v>
      </c>
      <c r="O49">
        <v>10</v>
      </c>
      <c r="P49">
        <v>17</v>
      </c>
      <c r="Q49">
        <v>22</v>
      </c>
      <c r="R49">
        <v>19</v>
      </c>
      <c r="S49">
        <v>15</v>
      </c>
      <c r="T49">
        <v>26</v>
      </c>
      <c r="U49">
        <v>27</v>
      </c>
      <c r="V49">
        <v>31</v>
      </c>
      <c r="W49">
        <v>27</v>
      </c>
      <c r="X49">
        <v>47</v>
      </c>
      <c r="Y49">
        <v>59</v>
      </c>
      <c r="Z49">
        <v>42</v>
      </c>
      <c r="AA49">
        <v>47</v>
      </c>
      <c r="AB49">
        <v>45</v>
      </c>
      <c r="AC49">
        <v>57</v>
      </c>
      <c r="AD49">
        <v>105</v>
      </c>
      <c r="AE49">
        <v>103</v>
      </c>
      <c r="AF49">
        <v>74</v>
      </c>
      <c r="AG49">
        <v>79</v>
      </c>
      <c r="AH49">
        <v>70</v>
      </c>
      <c r="AI49">
        <v>55</v>
      </c>
      <c r="AJ49">
        <v>59</v>
      </c>
      <c r="AK49">
        <v>71</v>
      </c>
      <c r="AL49">
        <v>73</v>
      </c>
      <c r="AM49">
        <v>66</v>
      </c>
      <c r="AN49">
        <v>68</v>
      </c>
      <c r="AO49">
        <v>74</v>
      </c>
      <c r="AP49">
        <v>45</v>
      </c>
      <c r="AQ49">
        <v>60</v>
      </c>
      <c r="AR49">
        <v>49</v>
      </c>
      <c r="AS49">
        <v>48</v>
      </c>
      <c r="AT49">
        <v>79</v>
      </c>
      <c r="AU49">
        <v>59</v>
      </c>
      <c r="AV49">
        <v>87</v>
      </c>
      <c r="AW49">
        <v>55</v>
      </c>
      <c r="AX49">
        <v>66</v>
      </c>
      <c r="AY49">
        <v>74</v>
      </c>
      <c r="AZ49">
        <v>55</v>
      </c>
      <c r="BA49">
        <v>53</v>
      </c>
      <c r="BB49">
        <v>72</v>
      </c>
      <c r="BC49">
        <v>54</v>
      </c>
      <c r="BD49">
        <v>68</v>
      </c>
      <c r="BE49">
        <v>107</v>
      </c>
      <c r="BF49">
        <v>67</v>
      </c>
      <c r="BG49">
        <v>77</v>
      </c>
      <c r="BH49">
        <v>72</v>
      </c>
      <c r="BI49">
        <v>64</v>
      </c>
      <c r="BJ49">
        <v>57</v>
      </c>
      <c r="BK49">
        <v>63</v>
      </c>
      <c r="BL49">
        <v>59</v>
      </c>
      <c r="BM49">
        <v>62</v>
      </c>
      <c r="BN49">
        <v>58</v>
      </c>
      <c r="BO49">
        <v>105</v>
      </c>
      <c r="BP49">
        <v>64</v>
      </c>
      <c r="BQ49">
        <v>76</v>
      </c>
      <c r="BR49">
        <v>80</v>
      </c>
      <c r="BS49">
        <v>100</v>
      </c>
      <c r="BT49">
        <v>83</v>
      </c>
      <c r="BU49">
        <v>81</v>
      </c>
      <c r="BV49">
        <v>74</v>
      </c>
      <c r="BW49">
        <v>87</v>
      </c>
      <c r="BX49">
        <v>121</v>
      </c>
      <c r="BY49">
        <v>207</v>
      </c>
      <c r="BZ49">
        <v>98</v>
      </c>
      <c r="CA49">
        <v>103</v>
      </c>
      <c r="CB49">
        <v>139</v>
      </c>
      <c r="CC49">
        <v>116</v>
      </c>
      <c r="CD49">
        <v>156</v>
      </c>
      <c r="CE49">
        <v>98</v>
      </c>
      <c r="CF49">
        <v>126</v>
      </c>
      <c r="CG49">
        <v>149</v>
      </c>
      <c r="CH49">
        <v>126</v>
      </c>
      <c r="CI49">
        <v>175</v>
      </c>
      <c r="CJ49">
        <v>114</v>
      </c>
      <c r="CK49">
        <v>151</v>
      </c>
      <c r="CL49">
        <v>111</v>
      </c>
      <c r="CM49">
        <v>111</v>
      </c>
      <c r="CN49">
        <v>83</v>
      </c>
      <c r="CO49">
        <v>102</v>
      </c>
      <c r="CP49">
        <v>121</v>
      </c>
      <c r="CQ49">
        <v>115</v>
      </c>
      <c r="CR49">
        <v>116</v>
      </c>
      <c r="CS49">
        <v>138</v>
      </c>
      <c r="CT49">
        <v>150</v>
      </c>
      <c r="CU49">
        <v>74</v>
      </c>
      <c r="CV49">
        <v>61</v>
      </c>
      <c r="CW49">
        <v>96</v>
      </c>
      <c r="CX49">
        <v>76</v>
      </c>
      <c r="CY49">
        <v>69</v>
      </c>
      <c r="CZ49">
        <v>83</v>
      </c>
      <c r="DA49">
        <v>50</v>
      </c>
      <c r="DB49">
        <v>35</v>
      </c>
      <c r="DC49">
        <v>37</v>
      </c>
      <c r="DD49">
        <v>40</v>
      </c>
      <c r="DE49">
        <v>47</v>
      </c>
      <c r="DF49">
        <v>91</v>
      </c>
      <c r="DG49">
        <v>36</v>
      </c>
      <c r="DH49">
        <v>37</v>
      </c>
      <c r="DI49">
        <v>39</v>
      </c>
      <c r="DJ49">
        <v>34</v>
      </c>
      <c r="DK49">
        <v>21</v>
      </c>
      <c r="DL49">
        <v>27</v>
      </c>
      <c r="DM49">
        <v>32</v>
      </c>
      <c r="DN49">
        <v>33</v>
      </c>
      <c r="DO49">
        <v>22</v>
      </c>
      <c r="DP49">
        <v>35</v>
      </c>
      <c r="DQ49">
        <v>28</v>
      </c>
      <c r="DR49">
        <v>52</v>
      </c>
      <c r="DS49">
        <v>50</v>
      </c>
      <c r="DT49">
        <v>22</v>
      </c>
      <c r="DU49">
        <v>14</v>
      </c>
      <c r="DV49">
        <v>22</v>
      </c>
      <c r="DW49">
        <v>21</v>
      </c>
      <c r="DX49">
        <v>14</v>
      </c>
      <c r="DY49">
        <v>21</v>
      </c>
      <c r="DZ49">
        <v>13</v>
      </c>
      <c r="EA49">
        <v>20</v>
      </c>
      <c r="EB49">
        <v>23</v>
      </c>
      <c r="EC49">
        <v>18</v>
      </c>
      <c r="ED49">
        <v>22</v>
      </c>
      <c r="EE49">
        <v>18</v>
      </c>
      <c r="EF49">
        <v>17</v>
      </c>
      <c r="EG49">
        <v>21</v>
      </c>
      <c r="EH49">
        <v>12</v>
      </c>
      <c r="EI49">
        <v>20</v>
      </c>
      <c r="EJ49">
        <v>17</v>
      </c>
      <c r="EK49">
        <v>18</v>
      </c>
      <c r="EL49">
        <v>16</v>
      </c>
      <c r="EM49">
        <v>14</v>
      </c>
      <c r="EN49">
        <v>16</v>
      </c>
      <c r="EO49">
        <v>14</v>
      </c>
      <c r="EP49">
        <v>12</v>
      </c>
      <c r="EQ49">
        <v>20</v>
      </c>
      <c r="ER49">
        <v>16</v>
      </c>
      <c r="ES49">
        <v>14</v>
      </c>
      <c r="ET49">
        <v>20</v>
      </c>
      <c r="EU49">
        <v>13</v>
      </c>
      <c r="EV49">
        <v>18</v>
      </c>
      <c r="EW49">
        <v>20</v>
      </c>
      <c r="EX49">
        <v>15</v>
      </c>
      <c r="EY49">
        <v>19</v>
      </c>
      <c r="EZ49">
        <v>16</v>
      </c>
      <c r="FA49">
        <v>27</v>
      </c>
      <c r="FB49">
        <v>12</v>
      </c>
      <c r="FC49">
        <v>23</v>
      </c>
      <c r="FD49">
        <v>20</v>
      </c>
      <c r="FE49">
        <v>26</v>
      </c>
      <c r="FF49">
        <v>19</v>
      </c>
      <c r="FG49">
        <v>18</v>
      </c>
      <c r="FH49">
        <v>22</v>
      </c>
      <c r="FI49">
        <v>19</v>
      </c>
      <c r="FJ49">
        <v>27</v>
      </c>
      <c r="FK49">
        <v>25</v>
      </c>
      <c r="FL49">
        <v>24</v>
      </c>
      <c r="FM49">
        <v>26</v>
      </c>
      <c r="FN49">
        <v>30</v>
      </c>
      <c r="FO49">
        <v>32</v>
      </c>
      <c r="FP49">
        <v>43</v>
      </c>
      <c r="FQ49">
        <v>37</v>
      </c>
      <c r="FR49">
        <v>53</v>
      </c>
      <c r="FS49">
        <v>65</v>
      </c>
      <c r="FT49">
        <v>95</v>
      </c>
      <c r="FU49">
        <v>275</v>
      </c>
    </row>
    <row r="50" spans="8:177"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8</v>
      </c>
      <c r="BP50">
        <v>2</v>
      </c>
      <c r="BQ50">
        <v>3</v>
      </c>
      <c r="BR50">
        <v>2</v>
      </c>
      <c r="BS50">
        <v>1</v>
      </c>
      <c r="BT50">
        <v>2</v>
      </c>
      <c r="BU50">
        <v>1</v>
      </c>
      <c r="BV50">
        <v>2</v>
      </c>
      <c r="BW50">
        <v>0</v>
      </c>
      <c r="BX50">
        <v>1</v>
      </c>
      <c r="BY50">
        <v>2</v>
      </c>
      <c r="BZ50">
        <v>1</v>
      </c>
      <c r="CA50">
        <v>2</v>
      </c>
      <c r="CB50">
        <v>10</v>
      </c>
      <c r="CC50">
        <v>14</v>
      </c>
      <c r="CD50">
        <v>11</v>
      </c>
      <c r="CE50">
        <v>6</v>
      </c>
      <c r="CF50">
        <v>9</v>
      </c>
      <c r="CG50">
        <v>10</v>
      </c>
      <c r="CH50">
        <v>11</v>
      </c>
      <c r="CI50">
        <v>9</v>
      </c>
      <c r="CJ50">
        <v>9</v>
      </c>
      <c r="CK50">
        <v>12</v>
      </c>
      <c r="CL50">
        <v>13</v>
      </c>
      <c r="CM50">
        <v>13</v>
      </c>
      <c r="CN50">
        <v>10</v>
      </c>
      <c r="CO50">
        <v>11</v>
      </c>
      <c r="CP50">
        <v>9</v>
      </c>
      <c r="CQ50">
        <v>7</v>
      </c>
      <c r="CR50">
        <v>8</v>
      </c>
      <c r="CS50">
        <v>8</v>
      </c>
      <c r="CT50">
        <v>17</v>
      </c>
      <c r="CU50">
        <v>13</v>
      </c>
      <c r="CV50">
        <v>9</v>
      </c>
      <c r="CW50">
        <v>11</v>
      </c>
      <c r="CX50">
        <v>8</v>
      </c>
      <c r="CY50">
        <v>9</v>
      </c>
      <c r="CZ50">
        <v>10</v>
      </c>
      <c r="DA50">
        <v>7</v>
      </c>
      <c r="DB50">
        <v>7</v>
      </c>
      <c r="DC50">
        <v>10</v>
      </c>
      <c r="DD50">
        <v>7</v>
      </c>
      <c r="DE50">
        <v>8</v>
      </c>
      <c r="DF50">
        <v>10</v>
      </c>
      <c r="DG50">
        <v>6</v>
      </c>
      <c r="DH50">
        <v>8</v>
      </c>
      <c r="DI50">
        <v>7</v>
      </c>
      <c r="DJ50">
        <v>8</v>
      </c>
      <c r="DK50">
        <v>5</v>
      </c>
      <c r="DL50">
        <v>11</v>
      </c>
      <c r="DM50">
        <v>6</v>
      </c>
      <c r="DN50">
        <v>7</v>
      </c>
      <c r="DO50">
        <v>6</v>
      </c>
      <c r="DP50">
        <v>8</v>
      </c>
      <c r="DQ50">
        <v>6</v>
      </c>
      <c r="DR50">
        <v>6</v>
      </c>
      <c r="DS50">
        <v>7</v>
      </c>
      <c r="DT50">
        <v>7</v>
      </c>
      <c r="DU50">
        <v>7</v>
      </c>
      <c r="DV50">
        <v>5</v>
      </c>
      <c r="DW50">
        <v>8</v>
      </c>
      <c r="DX50">
        <v>7</v>
      </c>
      <c r="DY50">
        <v>11</v>
      </c>
      <c r="DZ50">
        <v>9</v>
      </c>
      <c r="EA50">
        <v>7</v>
      </c>
      <c r="EB50">
        <v>9</v>
      </c>
      <c r="EC50">
        <v>8</v>
      </c>
      <c r="ED50">
        <v>7</v>
      </c>
      <c r="EE50">
        <v>9</v>
      </c>
      <c r="EF50">
        <v>12</v>
      </c>
      <c r="EG50">
        <v>11</v>
      </c>
      <c r="EH50">
        <v>13</v>
      </c>
      <c r="EI50">
        <v>11</v>
      </c>
      <c r="EJ50">
        <v>12</v>
      </c>
      <c r="EK50">
        <v>36</v>
      </c>
      <c r="EL50">
        <v>15</v>
      </c>
      <c r="EM50">
        <v>12</v>
      </c>
      <c r="EN50">
        <v>13</v>
      </c>
      <c r="EO50">
        <v>8</v>
      </c>
      <c r="EP50">
        <v>11</v>
      </c>
      <c r="EQ50">
        <v>9</v>
      </c>
      <c r="ER50">
        <v>26</v>
      </c>
      <c r="ES50">
        <v>22</v>
      </c>
      <c r="ET50">
        <v>17</v>
      </c>
      <c r="EU50">
        <v>19</v>
      </c>
      <c r="EV50">
        <v>20</v>
      </c>
      <c r="EW50">
        <v>16</v>
      </c>
      <c r="EX50">
        <v>26</v>
      </c>
      <c r="EY50">
        <v>13</v>
      </c>
      <c r="EZ50">
        <v>15</v>
      </c>
      <c r="FA50">
        <v>13</v>
      </c>
      <c r="FB50">
        <v>14</v>
      </c>
      <c r="FC50">
        <v>15</v>
      </c>
      <c r="FD50">
        <v>14</v>
      </c>
      <c r="FE50">
        <v>16</v>
      </c>
      <c r="FF50">
        <v>11</v>
      </c>
      <c r="FG50">
        <v>15</v>
      </c>
      <c r="FH50">
        <v>15</v>
      </c>
      <c r="FI50">
        <v>30</v>
      </c>
      <c r="FJ50">
        <v>39</v>
      </c>
      <c r="FK50">
        <v>20</v>
      </c>
      <c r="FL50">
        <v>38</v>
      </c>
      <c r="FM50">
        <v>41</v>
      </c>
      <c r="FN50">
        <v>41</v>
      </c>
      <c r="FO50">
        <v>24</v>
      </c>
      <c r="FP50">
        <v>29</v>
      </c>
      <c r="FQ50">
        <v>22</v>
      </c>
      <c r="FR50">
        <v>35</v>
      </c>
      <c r="FS50">
        <v>31</v>
      </c>
      <c r="FT50">
        <v>61</v>
      </c>
      <c r="FU50">
        <v>971</v>
      </c>
    </row>
    <row r="51" spans="8:177">
      <c r="J51">
        <v>0.4</v>
      </c>
      <c r="K51">
        <v>6</v>
      </c>
      <c r="L51">
        <v>1400</v>
      </c>
      <c r="M51">
        <v>600</v>
      </c>
      <c r="N51">
        <v>90</v>
      </c>
      <c r="O51">
        <v>200</v>
      </c>
      <c r="P51">
        <v>100000</v>
      </c>
      <c r="Q51">
        <v>8.8343673969999994</v>
      </c>
      <c r="R51">
        <v>11.84952988</v>
      </c>
      <c r="S51">
        <v>9.6441481069999995</v>
      </c>
      <c r="T51">
        <v>7.9667743250000003</v>
      </c>
      <c r="U51">
        <v>11.42411414</v>
      </c>
      <c r="V51">
        <v>8.9401357019999992</v>
      </c>
      <c r="W51">
        <v>6.4551357950000003</v>
      </c>
      <c r="X51">
        <v>9.6313642819999998</v>
      </c>
      <c r="Y51">
        <v>7.3458130449999999</v>
      </c>
    </row>
    <row r="52" spans="8:177">
      <c r="J52">
        <v>56</v>
      </c>
      <c r="K52">
        <v>31</v>
      </c>
      <c r="L52">
        <v>29</v>
      </c>
      <c r="M52">
        <v>32</v>
      </c>
      <c r="N52">
        <v>47</v>
      </c>
      <c r="O52">
        <v>44</v>
      </c>
      <c r="P52">
        <v>29</v>
      </c>
      <c r="Q52">
        <v>29</v>
      </c>
      <c r="R52">
        <v>39</v>
      </c>
      <c r="S52">
        <v>40</v>
      </c>
      <c r="T52">
        <v>45</v>
      </c>
      <c r="U52">
        <v>32</v>
      </c>
      <c r="V52">
        <v>43</v>
      </c>
      <c r="W52">
        <v>36</v>
      </c>
      <c r="X52">
        <v>46</v>
      </c>
      <c r="Y52">
        <v>36</v>
      </c>
      <c r="Z52">
        <v>56</v>
      </c>
      <c r="AA52">
        <v>57</v>
      </c>
      <c r="AB52">
        <v>61</v>
      </c>
      <c r="AC52">
        <v>63</v>
      </c>
      <c r="AD52">
        <v>71</v>
      </c>
      <c r="AE52">
        <v>70</v>
      </c>
      <c r="AF52">
        <v>45</v>
      </c>
      <c r="AG52">
        <v>84</v>
      </c>
      <c r="AH52">
        <v>88</v>
      </c>
      <c r="AI52">
        <v>85</v>
      </c>
      <c r="AJ52">
        <v>71</v>
      </c>
      <c r="AK52">
        <v>68</v>
      </c>
      <c r="AL52">
        <v>50</v>
      </c>
      <c r="AM52">
        <v>47</v>
      </c>
      <c r="AN52">
        <v>22</v>
      </c>
      <c r="AO52">
        <v>27</v>
      </c>
      <c r="AP52">
        <v>47</v>
      </c>
      <c r="AQ52">
        <v>47</v>
      </c>
      <c r="AR52">
        <v>46</v>
      </c>
      <c r="AS52">
        <v>36</v>
      </c>
      <c r="AT52">
        <v>29</v>
      </c>
      <c r="AU52">
        <v>30</v>
      </c>
      <c r="AV52">
        <v>22</v>
      </c>
      <c r="AW52">
        <v>23</v>
      </c>
      <c r="AX52">
        <v>21</v>
      </c>
      <c r="AY52">
        <v>25</v>
      </c>
      <c r="AZ52">
        <v>21</v>
      </c>
      <c r="BA52">
        <v>18</v>
      </c>
      <c r="BB52">
        <v>21</v>
      </c>
      <c r="BC52">
        <v>20</v>
      </c>
      <c r="BD52">
        <v>23</v>
      </c>
      <c r="BE52">
        <v>19</v>
      </c>
      <c r="BF52">
        <v>21</v>
      </c>
      <c r="BG52">
        <v>21</v>
      </c>
      <c r="BH52">
        <v>37</v>
      </c>
      <c r="BI52">
        <v>48</v>
      </c>
      <c r="BJ52">
        <v>59</v>
      </c>
      <c r="BK52">
        <v>57</v>
      </c>
      <c r="BL52">
        <v>70</v>
      </c>
      <c r="BM52">
        <v>59</v>
      </c>
      <c r="BN52">
        <v>60</v>
      </c>
      <c r="BO52">
        <v>73</v>
      </c>
      <c r="BP52">
        <v>81</v>
      </c>
      <c r="BQ52">
        <v>83</v>
      </c>
      <c r="BR52">
        <v>75</v>
      </c>
      <c r="BS52">
        <v>79</v>
      </c>
      <c r="BT52">
        <v>95</v>
      </c>
      <c r="BU52">
        <v>72</v>
      </c>
      <c r="BV52">
        <v>96</v>
      </c>
      <c r="BW52">
        <v>123</v>
      </c>
      <c r="BX52">
        <v>254</v>
      </c>
      <c r="BY52">
        <v>310</v>
      </c>
      <c r="BZ52">
        <v>130</v>
      </c>
      <c r="CA52">
        <v>105</v>
      </c>
      <c r="CB52">
        <v>78</v>
      </c>
      <c r="CC52">
        <v>99</v>
      </c>
      <c r="CD52">
        <v>114</v>
      </c>
      <c r="CE52">
        <v>148</v>
      </c>
      <c r="CF52">
        <v>96</v>
      </c>
      <c r="CG52">
        <v>115</v>
      </c>
      <c r="CH52">
        <v>94</v>
      </c>
      <c r="CI52">
        <v>134</v>
      </c>
      <c r="CJ52">
        <v>114</v>
      </c>
      <c r="CK52">
        <v>115</v>
      </c>
      <c r="CL52">
        <v>101</v>
      </c>
      <c r="CM52">
        <v>102</v>
      </c>
      <c r="CN52">
        <v>111</v>
      </c>
      <c r="CO52">
        <v>82</v>
      </c>
      <c r="CP52">
        <v>78</v>
      </c>
      <c r="CQ52">
        <v>99</v>
      </c>
      <c r="CR52">
        <v>48</v>
      </c>
      <c r="CS52">
        <v>41</v>
      </c>
      <c r="CT52">
        <v>62</v>
      </c>
      <c r="CU52">
        <v>55</v>
      </c>
      <c r="CV52">
        <v>71</v>
      </c>
      <c r="CW52">
        <v>41</v>
      </c>
      <c r="CX52">
        <v>45</v>
      </c>
      <c r="CY52">
        <v>42</v>
      </c>
      <c r="CZ52">
        <v>48</v>
      </c>
      <c r="DA52">
        <v>53</v>
      </c>
      <c r="DB52">
        <v>63</v>
      </c>
      <c r="DC52">
        <v>81</v>
      </c>
      <c r="DD52">
        <v>64</v>
      </c>
      <c r="DE52">
        <v>46</v>
      </c>
      <c r="DF52">
        <v>66</v>
      </c>
      <c r="DG52">
        <v>47</v>
      </c>
      <c r="DH52">
        <v>45</v>
      </c>
      <c r="DI52">
        <v>37</v>
      </c>
      <c r="DJ52">
        <v>49</v>
      </c>
      <c r="DK52">
        <v>44</v>
      </c>
      <c r="DL52">
        <v>36</v>
      </c>
      <c r="DM52">
        <v>37</v>
      </c>
      <c r="DN52">
        <v>59</v>
      </c>
      <c r="DO52">
        <v>60</v>
      </c>
      <c r="DP52">
        <v>41</v>
      </c>
      <c r="DQ52">
        <v>24</v>
      </c>
      <c r="DR52">
        <v>27</v>
      </c>
      <c r="DS52">
        <v>31</v>
      </c>
      <c r="DT52">
        <v>30</v>
      </c>
      <c r="DU52">
        <v>34</v>
      </c>
      <c r="DV52">
        <v>21</v>
      </c>
      <c r="DW52">
        <v>27</v>
      </c>
      <c r="DX52">
        <v>12</v>
      </c>
      <c r="DY52">
        <v>31</v>
      </c>
      <c r="DZ52">
        <v>18</v>
      </c>
      <c r="EA52">
        <v>21</v>
      </c>
      <c r="EB52">
        <v>21</v>
      </c>
      <c r="EC52">
        <v>22</v>
      </c>
      <c r="ED52">
        <v>22</v>
      </c>
      <c r="EE52">
        <v>19</v>
      </c>
      <c r="EF52">
        <v>21</v>
      </c>
      <c r="EG52">
        <v>20</v>
      </c>
      <c r="EH52">
        <v>23</v>
      </c>
      <c r="EI52">
        <v>21</v>
      </c>
      <c r="EJ52">
        <v>24</v>
      </c>
      <c r="EK52">
        <v>30</v>
      </c>
      <c r="EL52">
        <v>30</v>
      </c>
      <c r="EM52">
        <v>34</v>
      </c>
      <c r="EN52">
        <v>21</v>
      </c>
      <c r="EO52">
        <v>18</v>
      </c>
      <c r="EP52">
        <v>25</v>
      </c>
      <c r="EQ52">
        <v>22</v>
      </c>
      <c r="ER52">
        <v>24</v>
      </c>
      <c r="ES52">
        <v>22</v>
      </c>
      <c r="ET52">
        <v>21</v>
      </c>
      <c r="EU52">
        <v>26</v>
      </c>
      <c r="EV52">
        <v>22</v>
      </c>
      <c r="EW52">
        <v>27</v>
      </c>
      <c r="EX52">
        <v>19</v>
      </c>
      <c r="EY52">
        <v>28</v>
      </c>
      <c r="EZ52">
        <v>23</v>
      </c>
      <c r="FA52">
        <v>22</v>
      </c>
      <c r="FB52">
        <v>25</v>
      </c>
      <c r="FC52">
        <v>23</v>
      </c>
      <c r="FD52">
        <v>21</v>
      </c>
      <c r="FE52">
        <v>26</v>
      </c>
      <c r="FF52">
        <v>25</v>
      </c>
      <c r="FG52">
        <v>26</v>
      </c>
      <c r="FH52">
        <v>27</v>
      </c>
      <c r="FI52">
        <v>26</v>
      </c>
      <c r="FJ52">
        <v>35</v>
      </c>
      <c r="FK52">
        <v>35</v>
      </c>
      <c r="FL52">
        <v>31</v>
      </c>
      <c r="FM52">
        <v>35</v>
      </c>
      <c r="FN52">
        <v>35</v>
      </c>
      <c r="FO52">
        <v>41</v>
      </c>
      <c r="FP52">
        <v>45</v>
      </c>
      <c r="FQ52">
        <v>48</v>
      </c>
      <c r="FR52">
        <v>60</v>
      </c>
      <c r="FS52">
        <v>62</v>
      </c>
      <c r="FT52">
        <v>123</v>
      </c>
      <c r="FU52">
        <v>360</v>
      </c>
    </row>
    <row r="53" spans="8:177">
      <c r="J53">
        <v>17</v>
      </c>
      <c r="K53">
        <v>13</v>
      </c>
      <c r="L53">
        <v>8</v>
      </c>
      <c r="M53">
        <v>6</v>
      </c>
      <c r="N53">
        <v>8</v>
      </c>
      <c r="O53">
        <v>6</v>
      </c>
      <c r="P53">
        <v>15</v>
      </c>
      <c r="Q53">
        <v>11</v>
      </c>
      <c r="R53">
        <v>8</v>
      </c>
      <c r="S53">
        <v>6</v>
      </c>
      <c r="T53">
        <v>7</v>
      </c>
      <c r="U53">
        <v>6</v>
      </c>
      <c r="V53">
        <v>5</v>
      </c>
      <c r="W53">
        <v>2</v>
      </c>
      <c r="X53">
        <v>7</v>
      </c>
      <c r="Y53">
        <v>3</v>
      </c>
      <c r="Z53">
        <v>7</v>
      </c>
      <c r="AA53">
        <v>8</v>
      </c>
      <c r="AB53">
        <v>4</v>
      </c>
      <c r="AC53">
        <v>5</v>
      </c>
      <c r="AD53">
        <v>7</v>
      </c>
      <c r="AE53">
        <v>3</v>
      </c>
      <c r="AF53">
        <v>6</v>
      </c>
      <c r="AG53">
        <v>14</v>
      </c>
      <c r="AH53">
        <v>7</v>
      </c>
      <c r="AI53">
        <v>9</v>
      </c>
      <c r="AJ53">
        <v>8</v>
      </c>
      <c r="AK53">
        <v>5</v>
      </c>
      <c r="AL53">
        <v>5</v>
      </c>
      <c r="AM53">
        <v>5</v>
      </c>
      <c r="AN53">
        <v>6</v>
      </c>
      <c r="AO53">
        <v>14</v>
      </c>
      <c r="AP53">
        <v>7</v>
      </c>
      <c r="AQ53">
        <v>8</v>
      </c>
      <c r="AR53">
        <v>7</v>
      </c>
      <c r="AS53">
        <v>8</v>
      </c>
      <c r="AT53">
        <v>15</v>
      </c>
      <c r="AU53">
        <v>19</v>
      </c>
      <c r="AV53">
        <v>19</v>
      </c>
      <c r="AW53">
        <v>27</v>
      </c>
      <c r="AX53">
        <v>16</v>
      </c>
      <c r="AY53">
        <v>12</v>
      </c>
      <c r="AZ53">
        <v>7</v>
      </c>
      <c r="BA53">
        <v>11</v>
      </c>
      <c r="BB53">
        <v>13</v>
      </c>
      <c r="BC53">
        <v>10</v>
      </c>
      <c r="BD53">
        <v>8</v>
      </c>
      <c r="BE53">
        <v>9</v>
      </c>
      <c r="BF53">
        <v>9</v>
      </c>
      <c r="BG53">
        <v>10</v>
      </c>
      <c r="BH53">
        <v>11</v>
      </c>
      <c r="BI53">
        <v>10</v>
      </c>
      <c r="BJ53">
        <v>14</v>
      </c>
      <c r="BK53">
        <v>9</v>
      </c>
      <c r="BL53">
        <v>8</v>
      </c>
      <c r="BM53">
        <v>7</v>
      </c>
      <c r="BN53">
        <v>14</v>
      </c>
      <c r="BO53">
        <v>8</v>
      </c>
      <c r="BP53">
        <v>22</v>
      </c>
      <c r="BQ53">
        <v>30</v>
      </c>
      <c r="BR53">
        <v>23</v>
      </c>
      <c r="BS53">
        <v>18</v>
      </c>
      <c r="BT53">
        <v>24</v>
      </c>
      <c r="BU53">
        <v>14</v>
      </c>
      <c r="BV53">
        <v>22</v>
      </c>
      <c r="BW53">
        <v>15</v>
      </c>
      <c r="BX53">
        <v>14</v>
      </c>
      <c r="BY53">
        <v>13</v>
      </c>
      <c r="BZ53">
        <v>14</v>
      </c>
      <c r="CA53">
        <v>17</v>
      </c>
      <c r="CB53">
        <v>12</v>
      </c>
      <c r="CC53">
        <v>20</v>
      </c>
      <c r="CD53">
        <v>24</v>
      </c>
      <c r="CE53">
        <v>26</v>
      </c>
      <c r="CF53">
        <v>26</v>
      </c>
      <c r="CG53">
        <v>49</v>
      </c>
      <c r="CH53">
        <v>33</v>
      </c>
      <c r="CI53">
        <v>25</v>
      </c>
      <c r="CJ53">
        <v>37</v>
      </c>
      <c r="CK53">
        <v>23</v>
      </c>
      <c r="CL53">
        <v>13</v>
      </c>
      <c r="CM53">
        <v>15</v>
      </c>
      <c r="CN53">
        <v>12</v>
      </c>
      <c r="CO53">
        <v>28</v>
      </c>
      <c r="CP53">
        <v>22</v>
      </c>
      <c r="CQ53">
        <v>27</v>
      </c>
      <c r="CR53">
        <v>19</v>
      </c>
      <c r="CS53">
        <v>14</v>
      </c>
      <c r="CT53">
        <v>14</v>
      </c>
      <c r="CU53">
        <v>10</v>
      </c>
      <c r="CV53">
        <v>14</v>
      </c>
      <c r="CW53">
        <v>10</v>
      </c>
      <c r="CX53">
        <v>18</v>
      </c>
      <c r="CY53">
        <v>11</v>
      </c>
      <c r="CZ53">
        <v>9</v>
      </c>
      <c r="DA53">
        <v>8</v>
      </c>
      <c r="DB53">
        <v>8</v>
      </c>
      <c r="DC53">
        <v>10</v>
      </c>
      <c r="DD53">
        <v>9</v>
      </c>
      <c r="DE53">
        <v>10</v>
      </c>
      <c r="DF53">
        <v>8</v>
      </c>
      <c r="DG53">
        <v>13</v>
      </c>
      <c r="DH53">
        <v>12</v>
      </c>
      <c r="DI53">
        <v>6</v>
      </c>
      <c r="DJ53">
        <v>22</v>
      </c>
      <c r="DK53">
        <v>16</v>
      </c>
      <c r="DL53">
        <v>17</v>
      </c>
      <c r="DM53">
        <v>16</v>
      </c>
      <c r="DN53">
        <v>14</v>
      </c>
      <c r="DO53">
        <v>16</v>
      </c>
      <c r="DP53">
        <v>25</v>
      </c>
      <c r="DQ53">
        <v>20</v>
      </c>
      <c r="DR53">
        <v>21</v>
      </c>
      <c r="DS53">
        <v>19</v>
      </c>
      <c r="DT53">
        <v>18</v>
      </c>
      <c r="DU53">
        <v>17</v>
      </c>
      <c r="DV53">
        <v>17</v>
      </c>
      <c r="DW53">
        <v>24</v>
      </c>
      <c r="DX53">
        <v>24</v>
      </c>
      <c r="DY53">
        <v>16</v>
      </c>
      <c r="DZ53">
        <v>13</v>
      </c>
      <c r="EA53">
        <v>19</v>
      </c>
      <c r="EB53">
        <v>14</v>
      </c>
      <c r="EC53">
        <v>15</v>
      </c>
      <c r="ED53">
        <v>15</v>
      </c>
      <c r="EE53">
        <v>16</v>
      </c>
      <c r="EF53">
        <v>18</v>
      </c>
      <c r="EG53">
        <v>18</v>
      </c>
      <c r="EH53">
        <v>15</v>
      </c>
      <c r="EI53">
        <v>16</v>
      </c>
      <c r="EJ53">
        <v>17</v>
      </c>
      <c r="EK53">
        <v>26</v>
      </c>
      <c r="EL53">
        <v>18</v>
      </c>
      <c r="EM53">
        <v>15</v>
      </c>
      <c r="EN53">
        <v>16</v>
      </c>
      <c r="EO53">
        <v>16</v>
      </c>
      <c r="EP53">
        <v>15</v>
      </c>
      <c r="EQ53">
        <v>23</v>
      </c>
      <c r="ER53">
        <v>20</v>
      </c>
      <c r="ES53">
        <v>14</v>
      </c>
      <c r="ET53">
        <v>23</v>
      </c>
      <c r="EU53">
        <v>22</v>
      </c>
      <c r="EV53">
        <v>15</v>
      </c>
      <c r="EW53">
        <v>17</v>
      </c>
      <c r="EX53">
        <v>21</v>
      </c>
      <c r="EY53">
        <v>18</v>
      </c>
      <c r="EZ53">
        <v>15</v>
      </c>
      <c r="FA53">
        <v>17</v>
      </c>
      <c r="FB53">
        <v>31</v>
      </c>
      <c r="FC53">
        <v>28</v>
      </c>
      <c r="FD53">
        <v>18</v>
      </c>
      <c r="FE53">
        <v>28</v>
      </c>
      <c r="FF53">
        <v>19</v>
      </c>
      <c r="FG53">
        <v>21</v>
      </c>
      <c r="FH53">
        <v>19</v>
      </c>
      <c r="FI53">
        <v>34</v>
      </c>
      <c r="FJ53">
        <v>40</v>
      </c>
      <c r="FK53">
        <v>42</v>
      </c>
      <c r="FL53">
        <v>35</v>
      </c>
      <c r="FM53">
        <v>36</v>
      </c>
      <c r="FN53">
        <v>23</v>
      </c>
      <c r="FO53">
        <v>96</v>
      </c>
      <c r="FP53">
        <v>64</v>
      </c>
      <c r="FQ53">
        <v>35</v>
      </c>
      <c r="FR53">
        <v>38</v>
      </c>
      <c r="FS53">
        <v>23</v>
      </c>
      <c r="FT53">
        <v>48</v>
      </c>
      <c r="FU53">
        <v>697</v>
      </c>
    </row>
    <row r="54" spans="8:177">
      <c r="I54" t="s">
        <v>37</v>
      </c>
      <c r="J54">
        <f>J40+J43+J46+J49+J52</f>
        <v>597</v>
      </c>
      <c r="K54">
        <f t="shared" ref="K54:BV54" si="26">K40+K43+K46+K49+K52</f>
        <v>227</v>
      </c>
      <c r="L54">
        <f t="shared" si="26"/>
        <v>190</v>
      </c>
      <c r="M54">
        <f t="shared" si="26"/>
        <v>211</v>
      </c>
      <c r="N54">
        <f t="shared" si="26"/>
        <v>209</v>
      </c>
      <c r="O54">
        <f t="shared" si="26"/>
        <v>226</v>
      </c>
      <c r="P54">
        <f t="shared" si="26"/>
        <v>196</v>
      </c>
      <c r="Q54">
        <f t="shared" si="26"/>
        <v>174</v>
      </c>
      <c r="R54">
        <f t="shared" si="26"/>
        <v>211</v>
      </c>
      <c r="S54">
        <f t="shared" si="26"/>
        <v>250</v>
      </c>
      <c r="T54">
        <f t="shared" si="26"/>
        <v>241</v>
      </c>
      <c r="U54">
        <f t="shared" si="26"/>
        <v>253</v>
      </c>
      <c r="V54">
        <f t="shared" si="26"/>
        <v>306</v>
      </c>
      <c r="W54">
        <f t="shared" si="26"/>
        <v>257</v>
      </c>
      <c r="X54">
        <f t="shared" si="26"/>
        <v>290</v>
      </c>
      <c r="Y54">
        <f t="shared" si="26"/>
        <v>355</v>
      </c>
      <c r="Z54">
        <f t="shared" si="26"/>
        <v>350</v>
      </c>
      <c r="AA54">
        <f t="shared" si="26"/>
        <v>404</v>
      </c>
      <c r="AB54">
        <f t="shared" si="26"/>
        <v>397</v>
      </c>
      <c r="AC54">
        <f t="shared" si="26"/>
        <v>408</v>
      </c>
      <c r="AD54">
        <f t="shared" si="26"/>
        <v>501</v>
      </c>
      <c r="AE54">
        <f t="shared" si="26"/>
        <v>541</v>
      </c>
      <c r="AF54">
        <f t="shared" si="26"/>
        <v>501</v>
      </c>
      <c r="AG54">
        <f t="shared" si="26"/>
        <v>578</v>
      </c>
      <c r="AH54">
        <f t="shared" si="26"/>
        <v>497</v>
      </c>
      <c r="AI54">
        <f t="shared" si="26"/>
        <v>555</v>
      </c>
      <c r="AJ54">
        <f t="shared" si="26"/>
        <v>393</v>
      </c>
      <c r="AK54">
        <f t="shared" si="26"/>
        <v>340</v>
      </c>
      <c r="AL54">
        <f t="shared" si="26"/>
        <v>379</v>
      </c>
      <c r="AM54">
        <f t="shared" si="26"/>
        <v>333</v>
      </c>
      <c r="AN54">
        <f t="shared" si="26"/>
        <v>307</v>
      </c>
      <c r="AO54">
        <f t="shared" si="26"/>
        <v>347</v>
      </c>
      <c r="AP54">
        <f t="shared" si="26"/>
        <v>264</v>
      </c>
      <c r="AQ54">
        <f t="shared" si="26"/>
        <v>269</v>
      </c>
      <c r="AR54">
        <f t="shared" si="26"/>
        <v>324</v>
      </c>
      <c r="AS54">
        <f t="shared" si="26"/>
        <v>237</v>
      </c>
      <c r="AT54">
        <f t="shared" si="26"/>
        <v>265</v>
      </c>
      <c r="AU54">
        <f t="shared" si="26"/>
        <v>220</v>
      </c>
      <c r="AV54">
        <f t="shared" si="26"/>
        <v>283</v>
      </c>
      <c r="AW54">
        <f t="shared" si="26"/>
        <v>217</v>
      </c>
      <c r="AX54">
        <f t="shared" si="26"/>
        <v>222</v>
      </c>
      <c r="AY54">
        <f t="shared" si="26"/>
        <v>224</v>
      </c>
      <c r="AZ54">
        <f t="shared" si="26"/>
        <v>198</v>
      </c>
      <c r="BA54">
        <f t="shared" si="26"/>
        <v>169</v>
      </c>
      <c r="BB54">
        <f t="shared" si="26"/>
        <v>222</v>
      </c>
      <c r="BC54">
        <f t="shared" si="26"/>
        <v>166</v>
      </c>
      <c r="BD54">
        <f t="shared" si="26"/>
        <v>204</v>
      </c>
      <c r="BE54">
        <f t="shared" si="26"/>
        <v>226</v>
      </c>
      <c r="BF54">
        <f t="shared" si="26"/>
        <v>181</v>
      </c>
      <c r="BG54">
        <f t="shared" si="26"/>
        <v>190</v>
      </c>
      <c r="BH54">
        <f t="shared" si="26"/>
        <v>201</v>
      </c>
      <c r="BI54">
        <f t="shared" si="26"/>
        <v>211</v>
      </c>
      <c r="BJ54">
        <f t="shared" si="26"/>
        <v>232</v>
      </c>
      <c r="BK54">
        <f t="shared" si="26"/>
        <v>242</v>
      </c>
      <c r="BL54">
        <f t="shared" si="26"/>
        <v>238</v>
      </c>
      <c r="BM54">
        <f t="shared" si="26"/>
        <v>253</v>
      </c>
      <c r="BN54">
        <f t="shared" si="26"/>
        <v>238</v>
      </c>
      <c r="BO54">
        <f t="shared" si="26"/>
        <v>286</v>
      </c>
      <c r="BP54">
        <f t="shared" si="26"/>
        <v>282</v>
      </c>
      <c r="BQ54">
        <f t="shared" si="26"/>
        <v>309</v>
      </c>
      <c r="BR54">
        <f t="shared" si="26"/>
        <v>312</v>
      </c>
      <c r="BS54">
        <f t="shared" si="26"/>
        <v>381</v>
      </c>
      <c r="BT54">
        <f t="shared" si="26"/>
        <v>390</v>
      </c>
      <c r="BU54">
        <f t="shared" si="26"/>
        <v>371</v>
      </c>
      <c r="BV54">
        <f t="shared" si="26"/>
        <v>383</v>
      </c>
      <c r="BW54">
        <f t="shared" ref="BW54:EH54" si="27">BW40+BW43+BW46+BW49+BW52</f>
        <v>426</v>
      </c>
      <c r="BX54">
        <f t="shared" si="27"/>
        <v>715</v>
      </c>
      <c r="BY54">
        <f t="shared" si="27"/>
        <v>934</v>
      </c>
      <c r="BZ54">
        <f t="shared" si="27"/>
        <v>530</v>
      </c>
      <c r="CA54">
        <f t="shared" si="27"/>
        <v>517</v>
      </c>
      <c r="CB54">
        <f t="shared" si="27"/>
        <v>490</v>
      </c>
      <c r="CC54">
        <f t="shared" si="27"/>
        <v>445</v>
      </c>
      <c r="CD54">
        <f t="shared" si="27"/>
        <v>531</v>
      </c>
      <c r="CE54">
        <f t="shared" si="27"/>
        <v>490</v>
      </c>
      <c r="CF54">
        <f t="shared" si="27"/>
        <v>444</v>
      </c>
      <c r="CG54">
        <f t="shared" si="27"/>
        <v>525</v>
      </c>
      <c r="CH54">
        <f t="shared" si="27"/>
        <v>454</v>
      </c>
      <c r="CI54">
        <f t="shared" si="27"/>
        <v>594</v>
      </c>
      <c r="CJ54">
        <f t="shared" si="27"/>
        <v>524</v>
      </c>
      <c r="CK54">
        <f t="shared" si="27"/>
        <v>534</v>
      </c>
      <c r="CL54">
        <f t="shared" si="27"/>
        <v>497</v>
      </c>
      <c r="CM54">
        <f t="shared" si="27"/>
        <v>470</v>
      </c>
      <c r="CN54">
        <f t="shared" si="27"/>
        <v>404</v>
      </c>
      <c r="CO54">
        <f t="shared" si="27"/>
        <v>453</v>
      </c>
      <c r="CP54">
        <f t="shared" si="27"/>
        <v>452</v>
      </c>
      <c r="CQ54">
        <f t="shared" si="27"/>
        <v>452</v>
      </c>
      <c r="CR54">
        <f t="shared" si="27"/>
        <v>396</v>
      </c>
      <c r="CS54">
        <f t="shared" si="27"/>
        <v>367</v>
      </c>
      <c r="CT54">
        <f t="shared" si="27"/>
        <v>452</v>
      </c>
      <c r="CU54">
        <f t="shared" si="27"/>
        <v>386</v>
      </c>
      <c r="CV54">
        <f t="shared" si="27"/>
        <v>388</v>
      </c>
      <c r="CW54">
        <f t="shared" si="27"/>
        <v>357</v>
      </c>
      <c r="CX54">
        <f t="shared" si="27"/>
        <v>344</v>
      </c>
      <c r="CY54">
        <f t="shared" si="27"/>
        <v>349</v>
      </c>
      <c r="CZ54">
        <f t="shared" si="27"/>
        <v>372</v>
      </c>
      <c r="DA54">
        <f t="shared" si="27"/>
        <v>329</v>
      </c>
      <c r="DB54">
        <f t="shared" si="27"/>
        <v>350</v>
      </c>
      <c r="DC54">
        <f t="shared" si="27"/>
        <v>346</v>
      </c>
      <c r="DD54">
        <f t="shared" si="27"/>
        <v>288</v>
      </c>
      <c r="DE54">
        <f t="shared" si="27"/>
        <v>265</v>
      </c>
      <c r="DF54">
        <f t="shared" si="27"/>
        <v>399</v>
      </c>
      <c r="DG54">
        <f t="shared" si="27"/>
        <v>290</v>
      </c>
      <c r="DH54">
        <f t="shared" si="27"/>
        <v>232</v>
      </c>
      <c r="DI54">
        <f t="shared" si="27"/>
        <v>240</v>
      </c>
      <c r="DJ54">
        <f t="shared" si="27"/>
        <v>246</v>
      </c>
      <c r="DK54">
        <f t="shared" si="27"/>
        <v>173</v>
      </c>
      <c r="DL54">
        <f t="shared" si="27"/>
        <v>166</v>
      </c>
      <c r="DM54">
        <f t="shared" si="27"/>
        <v>174</v>
      </c>
      <c r="DN54">
        <f t="shared" si="27"/>
        <v>225</v>
      </c>
      <c r="DO54">
        <f t="shared" si="27"/>
        <v>173</v>
      </c>
      <c r="DP54">
        <f t="shared" si="27"/>
        <v>170</v>
      </c>
      <c r="DQ54">
        <f t="shared" si="27"/>
        <v>146</v>
      </c>
      <c r="DR54">
        <f t="shared" si="27"/>
        <v>174</v>
      </c>
      <c r="DS54">
        <f t="shared" si="27"/>
        <v>167</v>
      </c>
      <c r="DT54">
        <f t="shared" si="27"/>
        <v>163</v>
      </c>
      <c r="DU54">
        <f t="shared" si="27"/>
        <v>105</v>
      </c>
      <c r="DV54">
        <f t="shared" si="27"/>
        <v>115</v>
      </c>
      <c r="DW54">
        <f t="shared" si="27"/>
        <v>125</v>
      </c>
      <c r="DX54">
        <f t="shared" si="27"/>
        <v>87</v>
      </c>
      <c r="DY54">
        <f t="shared" si="27"/>
        <v>123</v>
      </c>
      <c r="DZ54">
        <f t="shared" si="27"/>
        <v>96</v>
      </c>
      <c r="EA54">
        <f t="shared" si="27"/>
        <v>101</v>
      </c>
      <c r="EB54">
        <f t="shared" si="27"/>
        <v>108</v>
      </c>
      <c r="EC54">
        <f t="shared" si="27"/>
        <v>110</v>
      </c>
      <c r="ED54">
        <f t="shared" si="27"/>
        <v>115</v>
      </c>
      <c r="EE54">
        <f t="shared" si="27"/>
        <v>105</v>
      </c>
      <c r="EF54">
        <f t="shared" si="27"/>
        <v>92</v>
      </c>
      <c r="EG54">
        <f t="shared" si="27"/>
        <v>101</v>
      </c>
      <c r="EH54">
        <f t="shared" si="27"/>
        <v>93</v>
      </c>
      <c r="EI54">
        <f t="shared" ref="EI54:FU54" si="28">EI40+EI43+EI46+EI49+EI52</f>
        <v>103</v>
      </c>
      <c r="EJ54">
        <f t="shared" si="28"/>
        <v>93</v>
      </c>
      <c r="EK54">
        <f t="shared" si="28"/>
        <v>113</v>
      </c>
      <c r="EL54">
        <f t="shared" si="28"/>
        <v>105</v>
      </c>
      <c r="EM54">
        <f t="shared" si="28"/>
        <v>93</v>
      </c>
      <c r="EN54">
        <f t="shared" si="28"/>
        <v>94</v>
      </c>
      <c r="EO54">
        <f t="shared" si="28"/>
        <v>90</v>
      </c>
      <c r="EP54">
        <f t="shared" si="28"/>
        <v>83</v>
      </c>
      <c r="EQ54">
        <f t="shared" si="28"/>
        <v>96</v>
      </c>
      <c r="ER54">
        <f t="shared" si="28"/>
        <v>93</v>
      </c>
      <c r="ES54">
        <f t="shared" si="28"/>
        <v>87</v>
      </c>
      <c r="ET54">
        <f t="shared" si="28"/>
        <v>101</v>
      </c>
      <c r="EU54">
        <f t="shared" si="28"/>
        <v>93</v>
      </c>
      <c r="EV54">
        <f t="shared" si="28"/>
        <v>101</v>
      </c>
      <c r="EW54">
        <f t="shared" si="28"/>
        <v>102</v>
      </c>
      <c r="EX54">
        <f t="shared" si="28"/>
        <v>96</v>
      </c>
      <c r="EY54">
        <f t="shared" si="28"/>
        <v>107</v>
      </c>
      <c r="EZ54">
        <f t="shared" si="28"/>
        <v>91</v>
      </c>
      <c r="FA54">
        <f t="shared" si="28"/>
        <v>111</v>
      </c>
      <c r="FB54">
        <f t="shared" si="28"/>
        <v>98</v>
      </c>
      <c r="FC54">
        <f t="shared" si="28"/>
        <v>113</v>
      </c>
      <c r="FD54">
        <f t="shared" si="28"/>
        <v>101</v>
      </c>
      <c r="FE54">
        <f t="shared" si="28"/>
        <v>122</v>
      </c>
      <c r="FF54">
        <f t="shared" si="28"/>
        <v>113</v>
      </c>
      <c r="FG54">
        <f t="shared" si="28"/>
        <v>115</v>
      </c>
      <c r="FH54">
        <f t="shared" si="28"/>
        <v>123</v>
      </c>
      <c r="FI54">
        <f t="shared" si="28"/>
        <v>115</v>
      </c>
      <c r="FJ54">
        <f t="shared" si="28"/>
        <v>143</v>
      </c>
      <c r="FK54">
        <f t="shared" si="28"/>
        <v>135</v>
      </c>
      <c r="FL54">
        <f t="shared" si="28"/>
        <v>129</v>
      </c>
      <c r="FM54">
        <f t="shared" si="28"/>
        <v>158</v>
      </c>
      <c r="FN54">
        <f t="shared" si="28"/>
        <v>155</v>
      </c>
      <c r="FO54">
        <f t="shared" si="28"/>
        <v>198</v>
      </c>
      <c r="FP54">
        <f t="shared" si="28"/>
        <v>241</v>
      </c>
      <c r="FQ54">
        <f t="shared" si="28"/>
        <v>218</v>
      </c>
      <c r="FR54">
        <f t="shared" si="28"/>
        <v>299</v>
      </c>
      <c r="FS54">
        <f t="shared" si="28"/>
        <v>343</v>
      </c>
      <c r="FT54">
        <f t="shared" si="28"/>
        <v>542</v>
      </c>
      <c r="FU54">
        <f t="shared" si="28"/>
        <v>1479</v>
      </c>
    </row>
    <row r="55" spans="8:177">
      <c r="I55" t="s">
        <v>38</v>
      </c>
      <c r="J55">
        <f>J41+J44+J47+J50+J53</f>
        <v>22</v>
      </c>
      <c r="K55">
        <f t="shared" ref="K55:BV55" si="29">K41+K44+K47+K50+K53</f>
        <v>16</v>
      </c>
      <c r="L55">
        <f t="shared" si="29"/>
        <v>10</v>
      </c>
      <c r="M55">
        <f t="shared" si="29"/>
        <v>14</v>
      </c>
      <c r="N55">
        <f t="shared" si="29"/>
        <v>15</v>
      </c>
      <c r="O55">
        <f t="shared" si="29"/>
        <v>20</v>
      </c>
      <c r="P55">
        <f t="shared" si="29"/>
        <v>28</v>
      </c>
      <c r="Q55">
        <f t="shared" si="29"/>
        <v>22</v>
      </c>
      <c r="R55">
        <f t="shared" si="29"/>
        <v>17</v>
      </c>
      <c r="S55">
        <f t="shared" si="29"/>
        <v>13</v>
      </c>
      <c r="T55">
        <f t="shared" si="29"/>
        <v>15</v>
      </c>
      <c r="U55">
        <f t="shared" si="29"/>
        <v>20</v>
      </c>
      <c r="V55">
        <f t="shared" si="29"/>
        <v>21</v>
      </c>
      <c r="W55">
        <f t="shared" si="29"/>
        <v>17</v>
      </c>
      <c r="X55">
        <f t="shared" si="29"/>
        <v>20</v>
      </c>
      <c r="Y55">
        <f t="shared" si="29"/>
        <v>24</v>
      </c>
      <c r="Z55">
        <f t="shared" si="29"/>
        <v>39</v>
      </c>
      <c r="AA55">
        <f t="shared" si="29"/>
        <v>37</v>
      </c>
      <c r="AB55">
        <f t="shared" si="29"/>
        <v>39</v>
      </c>
      <c r="AC55">
        <f t="shared" si="29"/>
        <v>33</v>
      </c>
      <c r="AD55">
        <f t="shared" si="29"/>
        <v>25</v>
      </c>
      <c r="AE55">
        <f t="shared" si="29"/>
        <v>34</v>
      </c>
      <c r="AF55">
        <f t="shared" si="29"/>
        <v>33</v>
      </c>
      <c r="AG55">
        <f t="shared" si="29"/>
        <v>36</v>
      </c>
      <c r="AH55">
        <f t="shared" si="29"/>
        <v>26</v>
      </c>
      <c r="AI55">
        <f t="shared" si="29"/>
        <v>33</v>
      </c>
      <c r="AJ55">
        <f t="shared" si="29"/>
        <v>29</v>
      </c>
      <c r="AK55">
        <f t="shared" si="29"/>
        <v>27</v>
      </c>
      <c r="AL55">
        <f t="shared" si="29"/>
        <v>24</v>
      </c>
      <c r="AM55">
        <f t="shared" si="29"/>
        <v>20</v>
      </c>
      <c r="AN55">
        <f t="shared" si="29"/>
        <v>23</v>
      </c>
      <c r="AO55">
        <f t="shared" si="29"/>
        <v>36</v>
      </c>
      <c r="AP55">
        <f t="shared" si="29"/>
        <v>40</v>
      </c>
      <c r="AQ55">
        <f t="shared" si="29"/>
        <v>229</v>
      </c>
      <c r="AR55">
        <f t="shared" si="29"/>
        <v>124</v>
      </c>
      <c r="AS55">
        <f t="shared" si="29"/>
        <v>85</v>
      </c>
      <c r="AT55">
        <f t="shared" si="29"/>
        <v>83</v>
      </c>
      <c r="AU55">
        <f t="shared" si="29"/>
        <v>92</v>
      </c>
      <c r="AV55">
        <f t="shared" si="29"/>
        <v>76</v>
      </c>
      <c r="AW55">
        <f t="shared" si="29"/>
        <v>82</v>
      </c>
      <c r="AX55">
        <f t="shared" si="29"/>
        <v>54</v>
      </c>
      <c r="AY55">
        <f t="shared" si="29"/>
        <v>65</v>
      </c>
      <c r="AZ55">
        <f t="shared" si="29"/>
        <v>47</v>
      </c>
      <c r="BA55">
        <f t="shared" si="29"/>
        <v>60</v>
      </c>
      <c r="BB55">
        <f t="shared" si="29"/>
        <v>64</v>
      </c>
      <c r="BC55">
        <f t="shared" si="29"/>
        <v>53</v>
      </c>
      <c r="BD55">
        <f t="shared" si="29"/>
        <v>59</v>
      </c>
      <c r="BE55">
        <f t="shared" si="29"/>
        <v>62</v>
      </c>
      <c r="BF55">
        <f t="shared" si="29"/>
        <v>52</v>
      </c>
      <c r="BG55">
        <f t="shared" si="29"/>
        <v>46</v>
      </c>
      <c r="BH55">
        <f t="shared" si="29"/>
        <v>51</v>
      </c>
      <c r="BI55">
        <f t="shared" si="29"/>
        <v>59</v>
      </c>
      <c r="BJ55">
        <f t="shared" si="29"/>
        <v>52</v>
      </c>
      <c r="BK55">
        <f t="shared" si="29"/>
        <v>51</v>
      </c>
      <c r="BL55">
        <f t="shared" si="29"/>
        <v>55</v>
      </c>
      <c r="BM55">
        <f t="shared" si="29"/>
        <v>45</v>
      </c>
      <c r="BN55">
        <f t="shared" si="29"/>
        <v>60</v>
      </c>
      <c r="BO55">
        <f t="shared" si="29"/>
        <v>82</v>
      </c>
      <c r="BP55">
        <f t="shared" si="29"/>
        <v>70</v>
      </c>
      <c r="BQ55">
        <f t="shared" si="29"/>
        <v>89</v>
      </c>
      <c r="BR55">
        <f t="shared" si="29"/>
        <v>67</v>
      </c>
      <c r="BS55">
        <f t="shared" si="29"/>
        <v>80</v>
      </c>
      <c r="BT55">
        <f t="shared" si="29"/>
        <v>105</v>
      </c>
      <c r="BU55">
        <f t="shared" si="29"/>
        <v>80</v>
      </c>
      <c r="BV55">
        <f t="shared" si="29"/>
        <v>80</v>
      </c>
      <c r="BW55">
        <f t="shared" ref="BW55:EH55" si="30">BW41+BW44+BW47+BW50+BW53</f>
        <v>67</v>
      </c>
      <c r="BX55">
        <f t="shared" si="30"/>
        <v>106</v>
      </c>
      <c r="BY55">
        <f t="shared" si="30"/>
        <v>110</v>
      </c>
      <c r="BZ55">
        <f t="shared" si="30"/>
        <v>64</v>
      </c>
      <c r="CA55">
        <f t="shared" si="30"/>
        <v>81</v>
      </c>
      <c r="CB55">
        <f t="shared" si="30"/>
        <v>72</v>
      </c>
      <c r="CC55">
        <f t="shared" si="30"/>
        <v>77</v>
      </c>
      <c r="CD55">
        <f t="shared" si="30"/>
        <v>82</v>
      </c>
      <c r="CE55">
        <f t="shared" si="30"/>
        <v>74</v>
      </c>
      <c r="CF55">
        <f t="shared" si="30"/>
        <v>79</v>
      </c>
      <c r="CG55">
        <f t="shared" si="30"/>
        <v>106</v>
      </c>
      <c r="CH55">
        <f t="shared" si="30"/>
        <v>88</v>
      </c>
      <c r="CI55">
        <f t="shared" si="30"/>
        <v>84</v>
      </c>
      <c r="CJ55">
        <f t="shared" si="30"/>
        <v>95</v>
      </c>
      <c r="CK55">
        <f t="shared" si="30"/>
        <v>86</v>
      </c>
      <c r="CL55">
        <f t="shared" si="30"/>
        <v>70</v>
      </c>
      <c r="CM55">
        <f t="shared" si="30"/>
        <v>80</v>
      </c>
      <c r="CN55">
        <f t="shared" si="30"/>
        <v>80</v>
      </c>
      <c r="CO55">
        <f t="shared" si="30"/>
        <v>85</v>
      </c>
      <c r="CP55">
        <f t="shared" si="30"/>
        <v>82</v>
      </c>
      <c r="CQ55">
        <f t="shared" si="30"/>
        <v>73</v>
      </c>
      <c r="CR55">
        <f t="shared" si="30"/>
        <v>74</v>
      </c>
      <c r="CS55">
        <f t="shared" si="30"/>
        <v>81</v>
      </c>
      <c r="CT55">
        <f t="shared" si="30"/>
        <v>88</v>
      </c>
      <c r="CU55">
        <f t="shared" si="30"/>
        <v>64</v>
      </c>
      <c r="CV55">
        <f t="shared" si="30"/>
        <v>72</v>
      </c>
      <c r="CW55">
        <f t="shared" si="30"/>
        <v>61</v>
      </c>
      <c r="CX55">
        <f t="shared" si="30"/>
        <v>60</v>
      </c>
      <c r="CY55">
        <f t="shared" si="30"/>
        <v>74</v>
      </c>
      <c r="CZ55">
        <f t="shared" si="30"/>
        <v>59</v>
      </c>
      <c r="DA55">
        <f t="shared" si="30"/>
        <v>54</v>
      </c>
      <c r="DB55">
        <f t="shared" si="30"/>
        <v>55</v>
      </c>
      <c r="DC55">
        <f t="shared" si="30"/>
        <v>68</v>
      </c>
      <c r="DD55">
        <f t="shared" si="30"/>
        <v>63</v>
      </c>
      <c r="DE55">
        <f t="shared" si="30"/>
        <v>68</v>
      </c>
      <c r="DF55">
        <f t="shared" si="30"/>
        <v>77</v>
      </c>
      <c r="DG55">
        <f t="shared" si="30"/>
        <v>67</v>
      </c>
      <c r="DH55">
        <f t="shared" si="30"/>
        <v>76</v>
      </c>
      <c r="DI55">
        <f t="shared" si="30"/>
        <v>80</v>
      </c>
      <c r="DJ55">
        <f t="shared" si="30"/>
        <v>115</v>
      </c>
      <c r="DK55">
        <f t="shared" si="30"/>
        <v>98</v>
      </c>
      <c r="DL55">
        <f t="shared" si="30"/>
        <v>96</v>
      </c>
      <c r="DM55">
        <f t="shared" si="30"/>
        <v>91</v>
      </c>
      <c r="DN55">
        <f t="shared" si="30"/>
        <v>65</v>
      </c>
      <c r="DO55">
        <f t="shared" si="30"/>
        <v>79</v>
      </c>
      <c r="DP55">
        <f t="shared" si="30"/>
        <v>83</v>
      </c>
      <c r="DQ55">
        <f t="shared" si="30"/>
        <v>87</v>
      </c>
      <c r="DR55">
        <f t="shared" si="30"/>
        <v>83</v>
      </c>
      <c r="DS55">
        <f t="shared" si="30"/>
        <v>73</v>
      </c>
      <c r="DT55">
        <f t="shared" si="30"/>
        <v>88</v>
      </c>
      <c r="DU55">
        <f t="shared" si="30"/>
        <v>78</v>
      </c>
      <c r="DV55">
        <f t="shared" si="30"/>
        <v>68</v>
      </c>
      <c r="DW55">
        <f t="shared" si="30"/>
        <v>80</v>
      </c>
      <c r="DX55">
        <f t="shared" si="30"/>
        <v>94</v>
      </c>
      <c r="DY55">
        <f t="shared" si="30"/>
        <v>85</v>
      </c>
      <c r="DZ55">
        <f t="shared" si="30"/>
        <v>91</v>
      </c>
      <c r="EA55">
        <f t="shared" si="30"/>
        <v>74</v>
      </c>
      <c r="EB55">
        <f t="shared" si="30"/>
        <v>71</v>
      </c>
      <c r="EC55">
        <f t="shared" si="30"/>
        <v>72</v>
      </c>
      <c r="ED55">
        <f t="shared" si="30"/>
        <v>86</v>
      </c>
      <c r="EE55">
        <f t="shared" si="30"/>
        <v>90</v>
      </c>
      <c r="EF55">
        <f t="shared" si="30"/>
        <v>94</v>
      </c>
      <c r="EG55">
        <f t="shared" si="30"/>
        <v>98</v>
      </c>
      <c r="EH55">
        <f t="shared" si="30"/>
        <v>85</v>
      </c>
      <c r="EI55">
        <f t="shared" ref="EI55:FU55" si="31">EI41+EI44+EI47+EI50+EI53</f>
        <v>85</v>
      </c>
      <c r="EJ55">
        <f t="shared" si="31"/>
        <v>78</v>
      </c>
      <c r="EK55">
        <f t="shared" si="31"/>
        <v>129</v>
      </c>
      <c r="EL55">
        <f t="shared" si="31"/>
        <v>83</v>
      </c>
      <c r="EM55">
        <f t="shared" si="31"/>
        <v>81</v>
      </c>
      <c r="EN55">
        <f t="shared" si="31"/>
        <v>90</v>
      </c>
      <c r="EO55">
        <f t="shared" si="31"/>
        <v>77</v>
      </c>
      <c r="EP55">
        <f t="shared" si="31"/>
        <v>82</v>
      </c>
      <c r="EQ55">
        <f t="shared" si="31"/>
        <v>111</v>
      </c>
      <c r="ER55">
        <f t="shared" si="31"/>
        <v>107</v>
      </c>
      <c r="ES55">
        <f t="shared" si="31"/>
        <v>91</v>
      </c>
      <c r="ET55">
        <f t="shared" si="31"/>
        <v>98</v>
      </c>
      <c r="EU55">
        <f t="shared" si="31"/>
        <v>105</v>
      </c>
      <c r="EV55">
        <f t="shared" si="31"/>
        <v>79</v>
      </c>
      <c r="EW55">
        <f t="shared" si="31"/>
        <v>80</v>
      </c>
      <c r="EX55">
        <f t="shared" si="31"/>
        <v>92</v>
      </c>
      <c r="EY55">
        <f t="shared" si="31"/>
        <v>80</v>
      </c>
      <c r="EZ55">
        <f t="shared" si="31"/>
        <v>77</v>
      </c>
      <c r="FA55">
        <f t="shared" si="31"/>
        <v>94</v>
      </c>
      <c r="FB55">
        <f t="shared" si="31"/>
        <v>119</v>
      </c>
      <c r="FC55">
        <f t="shared" si="31"/>
        <v>97</v>
      </c>
      <c r="FD55">
        <f t="shared" si="31"/>
        <v>92</v>
      </c>
      <c r="FE55">
        <f t="shared" si="31"/>
        <v>114</v>
      </c>
      <c r="FF55">
        <f t="shared" si="31"/>
        <v>85</v>
      </c>
      <c r="FG55">
        <f t="shared" si="31"/>
        <v>98</v>
      </c>
      <c r="FH55">
        <f t="shared" si="31"/>
        <v>94</v>
      </c>
      <c r="FI55">
        <f t="shared" si="31"/>
        <v>113</v>
      </c>
      <c r="FJ55">
        <f t="shared" si="31"/>
        <v>129</v>
      </c>
      <c r="FK55">
        <f t="shared" si="31"/>
        <v>129</v>
      </c>
      <c r="FL55">
        <f t="shared" si="31"/>
        <v>188</v>
      </c>
      <c r="FM55">
        <f t="shared" si="31"/>
        <v>183</v>
      </c>
      <c r="FN55">
        <f t="shared" si="31"/>
        <v>196</v>
      </c>
      <c r="FO55">
        <f t="shared" si="31"/>
        <v>250</v>
      </c>
      <c r="FP55">
        <f t="shared" si="31"/>
        <v>277</v>
      </c>
      <c r="FQ55">
        <f t="shared" si="31"/>
        <v>196</v>
      </c>
      <c r="FR55">
        <f t="shared" si="31"/>
        <v>227</v>
      </c>
      <c r="FS55">
        <f t="shared" si="31"/>
        <v>202</v>
      </c>
      <c r="FT55">
        <f t="shared" si="31"/>
        <v>332</v>
      </c>
      <c r="FU55">
        <f t="shared" si="31"/>
        <v>3108</v>
      </c>
    </row>
    <row r="57" spans="8:177">
      <c r="H57" t="s">
        <v>50</v>
      </c>
      <c r="J57">
        <v>0.4</v>
      </c>
      <c r="K57">
        <v>3</v>
      </c>
      <c r="L57">
        <v>1400</v>
      </c>
      <c r="M57">
        <v>600</v>
      </c>
      <c r="N57">
        <v>90</v>
      </c>
      <c r="O57">
        <v>200</v>
      </c>
      <c r="P57">
        <v>100000</v>
      </c>
      <c r="Q57">
        <v>8.4492734980000002</v>
      </c>
      <c r="R57">
        <v>11.35019623</v>
      </c>
      <c r="S57">
        <v>9.3641994299999993</v>
      </c>
      <c r="T57">
        <v>7.3612195529999997</v>
      </c>
      <c r="U57">
        <v>10.39632819</v>
      </c>
      <c r="V57">
        <v>8.2671761260000007</v>
      </c>
      <c r="W57">
        <v>5.2551778230000004</v>
      </c>
      <c r="X57">
        <v>11.09438757</v>
      </c>
      <c r="Y57">
        <v>6.61434707</v>
      </c>
    </row>
    <row r="58" spans="8:177">
      <c r="J58">
        <v>118</v>
      </c>
      <c r="K58">
        <v>52</v>
      </c>
      <c r="L58">
        <v>44</v>
      </c>
      <c r="M58">
        <v>40</v>
      </c>
      <c r="N58">
        <v>42</v>
      </c>
      <c r="O58">
        <v>43</v>
      </c>
      <c r="P58">
        <v>63</v>
      </c>
      <c r="Q58">
        <v>40</v>
      </c>
      <c r="R58">
        <v>55</v>
      </c>
      <c r="S58">
        <v>86</v>
      </c>
      <c r="T58">
        <v>69</v>
      </c>
      <c r="U58">
        <v>63</v>
      </c>
      <c r="V58">
        <v>85</v>
      </c>
      <c r="W58">
        <v>81</v>
      </c>
      <c r="X58">
        <v>91</v>
      </c>
      <c r="Y58">
        <v>84</v>
      </c>
      <c r="Z58">
        <v>111</v>
      </c>
      <c r="AA58">
        <v>101</v>
      </c>
      <c r="AB58">
        <v>102</v>
      </c>
      <c r="AC58">
        <v>123</v>
      </c>
      <c r="AD58">
        <v>108</v>
      </c>
      <c r="AE58">
        <v>108</v>
      </c>
      <c r="AF58">
        <v>106</v>
      </c>
      <c r="AG58">
        <v>113</v>
      </c>
      <c r="AH58">
        <v>152</v>
      </c>
      <c r="AI58">
        <v>109</v>
      </c>
      <c r="AJ58">
        <v>118</v>
      </c>
      <c r="AK58">
        <v>104</v>
      </c>
      <c r="AL58">
        <v>75</v>
      </c>
      <c r="AM58">
        <v>60</v>
      </c>
      <c r="AN58">
        <v>49</v>
      </c>
      <c r="AO58">
        <v>44</v>
      </c>
      <c r="AP58">
        <v>33</v>
      </c>
      <c r="AQ58">
        <v>21</v>
      </c>
      <c r="AR58">
        <v>35</v>
      </c>
      <c r="AS58">
        <v>27</v>
      </c>
      <c r="AT58">
        <v>30</v>
      </c>
      <c r="AU58">
        <v>26</v>
      </c>
      <c r="AV58">
        <v>28</v>
      </c>
      <c r="AW58">
        <v>34</v>
      </c>
      <c r="AX58">
        <v>23</v>
      </c>
      <c r="AY58">
        <v>27</v>
      </c>
      <c r="AZ58">
        <v>27</v>
      </c>
      <c r="BA58">
        <v>30</v>
      </c>
      <c r="BB58">
        <v>28</v>
      </c>
      <c r="BC58">
        <v>30</v>
      </c>
      <c r="BD58">
        <v>31</v>
      </c>
      <c r="BE58">
        <v>39</v>
      </c>
      <c r="BF58">
        <v>25</v>
      </c>
      <c r="BG58">
        <v>25</v>
      </c>
      <c r="BH58">
        <v>30</v>
      </c>
      <c r="BI58">
        <v>27</v>
      </c>
      <c r="BJ58">
        <v>36</v>
      </c>
      <c r="BK58">
        <v>31</v>
      </c>
      <c r="BL58">
        <v>29</v>
      </c>
      <c r="BM58">
        <v>37</v>
      </c>
      <c r="BN58">
        <v>50</v>
      </c>
      <c r="BO58">
        <v>35</v>
      </c>
      <c r="BP58">
        <v>32</v>
      </c>
      <c r="BQ58">
        <v>33</v>
      </c>
      <c r="BR58">
        <v>44</v>
      </c>
      <c r="BS58">
        <v>45</v>
      </c>
      <c r="BT58">
        <v>41</v>
      </c>
      <c r="BU58">
        <v>30</v>
      </c>
      <c r="BV58">
        <v>36</v>
      </c>
      <c r="BW58">
        <v>38</v>
      </c>
      <c r="BX58">
        <v>66</v>
      </c>
      <c r="BY58">
        <v>115</v>
      </c>
      <c r="BZ58">
        <v>85</v>
      </c>
      <c r="CA58">
        <v>111</v>
      </c>
      <c r="CB58">
        <v>120</v>
      </c>
      <c r="CC58">
        <v>60</v>
      </c>
      <c r="CD58">
        <v>72</v>
      </c>
      <c r="CE58">
        <v>83</v>
      </c>
      <c r="CF58">
        <v>89</v>
      </c>
      <c r="CG58">
        <v>86</v>
      </c>
      <c r="CH58">
        <v>86</v>
      </c>
      <c r="CI58">
        <v>84</v>
      </c>
      <c r="CJ58">
        <v>100</v>
      </c>
      <c r="CK58">
        <v>127</v>
      </c>
      <c r="CL58">
        <v>133</v>
      </c>
      <c r="CM58">
        <v>133</v>
      </c>
      <c r="CN58">
        <v>103</v>
      </c>
      <c r="CO58">
        <v>108</v>
      </c>
      <c r="CP58">
        <v>135</v>
      </c>
      <c r="CQ58">
        <v>83</v>
      </c>
      <c r="CR58">
        <v>65</v>
      </c>
      <c r="CS58">
        <v>49</v>
      </c>
      <c r="CT58">
        <v>64</v>
      </c>
      <c r="CU58">
        <v>58</v>
      </c>
      <c r="CV58">
        <v>118</v>
      </c>
      <c r="CW58">
        <v>88</v>
      </c>
      <c r="CX58">
        <v>101</v>
      </c>
      <c r="CY58">
        <v>56</v>
      </c>
      <c r="CZ58">
        <v>85</v>
      </c>
      <c r="DA58">
        <v>91</v>
      </c>
      <c r="DB58">
        <v>96</v>
      </c>
      <c r="DC58">
        <v>75</v>
      </c>
      <c r="DD58">
        <v>49</v>
      </c>
      <c r="DE58">
        <v>42</v>
      </c>
      <c r="DF58">
        <v>36</v>
      </c>
      <c r="DG58">
        <v>33</v>
      </c>
      <c r="DH58">
        <v>39</v>
      </c>
      <c r="DI58">
        <v>57</v>
      </c>
      <c r="DJ58">
        <v>40</v>
      </c>
      <c r="DK58">
        <v>29</v>
      </c>
      <c r="DL58">
        <v>28</v>
      </c>
      <c r="DM58">
        <v>23</v>
      </c>
      <c r="DN58">
        <v>33</v>
      </c>
      <c r="DO58">
        <v>31</v>
      </c>
      <c r="DP58">
        <v>25</v>
      </c>
      <c r="DQ58">
        <v>27</v>
      </c>
      <c r="DR58">
        <v>22</v>
      </c>
      <c r="DS58">
        <v>23</v>
      </c>
      <c r="DT58">
        <v>18</v>
      </c>
      <c r="DU58">
        <v>18</v>
      </c>
      <c r="DV58">
        <v>23</v>
      </c>
      <c r="DW58">
        <v>19</v>
      </c>
      <c r="DX58">
        <v>16</v>
      </c>
      <c r="DY58">
        <v>24</v>
      </c>
      <c r="DZ58">
        <v>19</v>
      </c>
      <c r="EA58">
        <v>17</v>
      </c>
      <c r="EB58">
        <v>24</v>
      </c>
      <c r="EC58">
        <v>19</v>
      </c>
      <c r="ED58">
        <v>21</v>
      </c>
      <c r="EE58">
        <v>26</v>
      </c>
      <c r="EF58">
        <v>14</v>
      </c>
      <c r="EG58">
        <v>22</v>
      </c>
      <c r="EH58">
        <v>18</v>
      </c>
      <c r="EI58">
        <v>18</v>
      </c>
      <c r="EJ58">
        <v>22</v>
      </c>
      <c r="EK58">
        <v>18</v>
      </c>
      <c r="EL58">
        <v>22</v>
      </c>
      <c r="EM58">
        <v>18</v>
      </c>
      <c r="EN58">
        <v>19</v>
      </c>
      <c r="EO58">
        <v>17</v>
      </c>
      <c r="EP58">
        <v>19</v>
      </c>
      <c r="EQ58">
        <v>13</v>
      </c>
      <c r="ER58">
        <v>21</v>
      </c>
      <c r="ES58">
        <v>17</v>
      </c>
      <c r="ET58">
        <v>22</v>
      </c>
      <c r="EU58">
        <v>17</v>
      </c>
      <c r="EV58">
        <v>18</v>
      </c>
      <c r="EW58">
        <v>22</v>
      </c>
      <c r="EX58">
        <v>17</v>
      </c>
      <c r="EY58">
        <v>18</v>
      </c>
      <c r="EZ58">
        <v>20</v>
      </c>
      <c r="FA58">
        <v>20</v>
      </c>
      <c r="FB58">
        <v>21</v>
      </c>
      <c r="FC58">
        <v>23</v>
      </c>
      <c r="FD58">
        <v>22</v>
      </c>
      <c r="FE58">
        <v>24</v>
      </c>
      <c r="FF58">
        <v>25</v>
      </c>
      <c r="FG58">
        <v>22</v>
      </c>
      <c r="FH58">
        <v>22</v>
      </c>
      <c r="FI58">
        <v>28</v>
      </c>
      <c r="FJ58">
        <v>23</v>
      </c>
      <c r="FK58">
        <v>30</v>
      </c>
      <c r="FL58">
        <v>23</v>
      </c>
      <c r="FM58">
        <v>29</v>
      </c>
      <c r="FN58">
        <v>31</v>
      </c>
      <c r="FO58">
        <v>51</v>
      </c>
      <c r="FP58">
        <v>57</v>
      </c>
      <c r="FQ58">
        <v>50</v>
      </c>
      <c r="FR58">
        <v>67</v>
      </c>
      <c r="FS58">
        <v>73</v>
      </c>
      <c r="FT58">
        <v>115</v>
      </c>
      <c r="FU58">
        <v>394</v>
      </c>
    </row>
    <row r="59" spans="8:177"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6</v>
      </c>
      <c r="Q59">
        <v>5</v>
      </c>
      <c r="R59">
        <v>4</v>
      </c>
      <c r="S59">
        <v>3</v>
      </c>
      <c r="T59">
        <v>3</v>
      </c>
      <c r="U59">
        <v>9</v>
      </c>
      <c r="V59">
        <v>8</v>
      </c>
      <c r="W59">
        <v>8</v>
      </c>
      <c r="X59">
        <v>9</v>
      </c>
      <c r="Y59">
        <v>12</v>
      </c>
      <c r="Z59">
        <v>8</v>
      </c>
      <c r="AA59">
        <v>15</v>
      </c>
      <c r="AB59">
        <v>12</v>
      </c>
      <c r="AC59">
        <v>12</v>
      </c>
      <c r="AD59">
        <v>6</v>
      </c>
      <c r="AE59">
        <v>19</v>
      </c>
      <c r="AF59">
        <v>16</v>
      </c>
      <c r="AG59">
        <v>14</v>
      </c>
      <c r="AH59">
        <v>11</v>
      </c>
      <c r="AI59">
        <v>9</v>
      </c>
      <c r="AJ59">
        <v>5</v>
      </c>
      <c r="AK59">
        <v>10</v>
      </c>
      <c r="AL59">
        <v>9</v>
      </c>
      <c r="AM59">
        <v>6</v>
      </c>
      <c r="AN59">
        <v>10</v>
      </c>
      <c r="AO59">
        <v>6</v>
      </c>
      <c r="AP59">
        <v>6</v>
      </c>
      <c r="AQ59">
        <v>6</v>
      </c>
      <c r="AR59">
        <v>64</v>
      </c>
      <c r="AS59">
        <v>52</v>
      </c>
      <c r="AT59">
        <v>53</v>
      </c>
      <c r="AU59">
        <v>46</v>
      </c>
      <c r="AV59">
        <v>31</v>
      </c>
      <c r="AW59">
        <v>34</v>
      </c>
      <c r="AX59">
        <v>13</v>
      </c>
      <c r="AY59">
        <v>23</v>
      </c>
      <c r="AZ59">
        <v>19</v>
      </c>
      <c r="BA59">
        <v>30</v>
      </c>
      <c r="BB59">
        <v>30</v>
      </c>
      <c r="BC59">
        <v>24</v>
      </c>
      <c r="BD59">
        <v>15</v>
      </c>
      <c r="BE59">
        <v>13</v>
      </c>
      <c r="BF59">
        <v>13</v>
      </c>
      <c r="BG59">
        <v>12</v>
      </c>
      <c r="BH59">
        <v>13</v>
      </c>
      <c r="BI59">
        <v>11</v>
      </c>
      <c r="BJ59">
        <v>9</v>
      </c>
      <c r="BK59">
        <v>12</v>
      </c>
      <c r="BL59">
        <v>12</v>
      </c>
      <c r="BM59">
        <v>9</v>
      </c>
      <c r="BN59">
        <v>22</v>
      </c>
      <c r="BO59">
        <v>41</v>
      </c>
      <c r="BP59">
        <v>23</v>
      </c>
      <c r="BQ59">
        <v>28</v>
      </c>
      <c r="BR59">
        <v>24</v>
      </c>
      <c r="BS59">
        <v>27</v>
      </c>
      <c r="BT59">
        <v>37</v>
      </c>
      <c r="BU59">
        <v>44</v>
      </c>
      <c r="BV59">
        <v>22</v>
      </c>
      <c r="BW59">
        <v>20</v>
      </c>
      <c r="BX59">
        <v>29</v>
      </c>
      <c r="BY59">
        <v>55</v>
      </c>
      <c r="BZ59">
        <v>28</v>
      </c>
      <c r="CA59">
        <v>33</v>
      </c>
      <c r="CB59">
        <v>23</v>
      </c>
      <c r="CC59">
        <v>20</v>
      </c>
      <c r="CD59">
        <v>18</v>
      </c>
      <c r="CE59">
        <v>18</v>
      </c>
      <c r="CF59">
        <v>19</v>
      </c>
      <c r="CG59">
        <v>20</v>
      </c>
      <c r="CH59">
        <v>13</v>
      </c>
      <c r="CI59">
        <v>14</v>
      </c>
      <c r="CJ59">
        <v>12</v>
      </c>
      <c r="CK59">
        <v>16</v>
      </c>
      <c r="CL59">
        <v>22</v>
      </c>
      <c r="CM59">
        <v>21</v>
      </c>
      <c r="CN59">
        <v>20</v>
      </c>
      <c r="CO59">
        <v>21</v>
      </c>
      <c r="CP59">
        <v>23</v>
      </c>
      <c r="CQ59">
        <v>16</v>
      </c>
      <c r="CR59">
        <v>13</v>
      </c>
      <c r="CS59">
        <v>15</v>
      </c>
      <c r="CT59">
        <v>18</v>
      </c>
      <c r="CU59">
        <v>16</v>
      </c>
      <c r="CV59">
        <v>30</v>
      </c>
      <c r="CW59">
        <v>26</v>
      </c>
      <c r="CX59">
        <v>15</v>
      </c>
      <c r="CY59">
        <v>14</v>
      </c>
      <c r="CZ59">
        <v>14</v>
      </c>
      <c r="DA59">
        <v>15</v>
      </c>
      <c r="DB59">
        <v>12</v>
      </c>
      <c r="DC59">
        <v>15</v>
      </c>
      <c r="DD59">
        <v>16</v>
      </c>
      <c r="DE59">
        <v>11</v>
      </c>
      <c r="DF59">
        <v>18</v>
      </c>
      <c r="DG59">
        <v>15</v>
      </c>
      <c r="DH59">
        <v>19</v>
      </c>
      <c r="DI59">
        <v>22</v>
      </c>
      <c r="DJ59">
        <v>25</v>
      </c>
      <c r="DK59">
        <v>30</v>
      </c>
      <c r="DL59">
        <v>37</v>
      </c>
      <c r="DM59">
        <v>29</v>
      </c>
      <c r="DN59">
        <v>28</v>
      </c>
      <c r="DO59">
        <v>16</v>
      </c>
      <c r="DP59">
        <v>19</v>
      </c>
      <c r="DQ59">
        <v>19</v>
      </c>
      <c r="DR59">
        <v>19</v>
      </c>
      <c r="DS59">
        <v>18</v>
      </c>
      <c r="DT59">
        <v>12</v>
      </c>
      <c r="DU59">
        <v>19</v>
      </c>
      <c r="DV59">
        <v>15</v>
      </c>
      <c r="DW59">
        <v>17</v>
      </c>
      <c r="DX59">
        <v>31</v>
      </c>
      <c r="DY59">
        <v>17</v>
      </c>
      <c r="DZ59">
        <v>20</v>
      </c>
      <c r="EA59">
        <v>19</v>
      </c>
      <c r="EB59">
        <v>20</v>
      </c>
      <c r="EC59">
        <v>23</v>
      </c>
      <c r="ED59">
        <v>32</v>
      </c>
      <c r="EE59">
        <v>22</v>
      </c>
      <c r="EF59">
        <v>28</v>
      </c>
      <c r="EG59">
        <v>33</v>
      </c>
      <c r="EH59">
        <v>25</v>
      </c>
      <c r="EI59">
        <v>25</v>
      </c>
      <c r="EJ59">
        <v>14</v>
      </c>
      <c r="EK59">
        <v>19</v>
      </c>
      <c r="EL59">
        <v>13</v>
      </c>
      <c r="EM59">
        <v>9</v>
      </c>
      <c r="EN59">
        <v>15</v>
      </c>
      <c r="EO59">
        <v>14</v>
      </c>
      <c r="EP59">
        <v>11</v>
      </c>
      <c r="EQ59">
        <v>13</v>
      </c>
      <c r="ER59">
        <v>14</v>
      </c>
      <c r="ES59">
        <v>16</v>
      </c>
      <c r="ET59">
        <v>17</v>
      </c>
      <c r="EU59">
        <v>24</v>
      </c>
      <c r="EV59">
        <v>13</v>
      </c>
      <c r="EW59">
        <v>10</v>
      </c>
      <c r="EX59">
        <v>16</v>
      </c>
      <c r="EY59">
        <v>11</v>
      </c>
      <c r="EZ59">
        <v>12</v>
      </c>
      <c r="FA59">
        <v>14</v>
      </c>
      <c r="FB59">
        <v>17</v>
      </c>
      <c r="FC59">
        <v>9</v>
      </c>
      <c r="FD59">
        <v>16</v>
      </c>
      <c r="FE59">
        <v>26</v>
      </c>
      <c r="FF59">
        <v>22</v>
      </c>
      <c r="FG59">
        <v>17</v>
      </c>
      <c r="FH59">
        <v>22</v>
      </c>
      <c r="FI59">
        <v>19</v>
      </c>
      <c r="FJ59">
        <v>34</v>
      </c>
      <c r="FK59">
        <v>25</v>
      </c>
      <c r="FL59">
        <v>55</v>
      </c>
      <c r="FM59">
        <v>47</v>
      </c>
      <c r="FN59">
        <v>57</v>
      </c>
      <c r="FO59">
        <v>60</v>
      </c>
      <c r="FP59">
        <v>85</v>
      </c>
      <c r="FQ59">
        <v>54</v>
      </c>
      <c r="FR59">
        <v>64</v>
      </c>
      <c r="FS59">
        <v>55</v>
      </c>
      <c r="FT59">
        <v>98</v>
      </c>
      <c r="FU59">
        <v>368</v>
      </c>
    </row>
    <row r="60" spans="8:177">
      <c r="J60">
        <v>0.4</v>
      </c>
      <c r="K60">
        <v>2</v>
      </c>
      <c r="L60">
        <v>1400</v>
      </c>
      <c r="M60">
        <v>600</v>
      </c>
      <c r="N60">
        <v>90</v>
      </c>
      <c r="O60">
        <v>200</v>
      </c>
      <c r="P60">
        <v>100000</v>
      </c>
      <c r="Q60">
        <v>7.6741366170000003</v>
      </c>
      <c r="R60">
        <v>13.421512310000001</v>
      </c>
      <c r="S60">
        <v>8.9374263079999992</v>
      </c>
      <c r="T60">
        <v>6.5748477120000004</v>
      </c>
      <c r="U60">
        <v>12.61775503</v>
      </c>
      <c r="V60">
        <v>7.8583261240000004</v>
      </c>
      <c r="W60">
        <v>5.7330077770000001</v>
      </c>
      <c r="X60">
        <v>12.13513483</v>
      </c>
      <c r="Y60">
        <v>7.2253841730000001</v>
      </c>
    </row>
    <row r="61" spans="8:177">
      <c r="J61">
        <v>116</v>
      </c>
      <c r="K61">
        <v>51</v>
      </c>
      <c r="L61">
        <v>49</v>
      </c>
      <c r="M61">
        <v>64</v>
      </c>
      <c r="N61">
        <v>56</v>
      </c>
      <c r="O61">
        <v>68</v>
      </c>
      <c r="P61">
        <v>63</v>
      </c>
      <c r="Q61">
        <v>49</v>
      </c>
      <c r="R61">
        <v>68</v>
      </c>
      <c r="S61">
        <v>70</v>
      </c>
      <c r="T61">
        <v>74</v>
      </c>
      <c r="U61">
        <v>78</v>
      </c>
      <c r="V61">
        <v>97</v>
      </c>
      <c r="W61">
        <v>77</v>
      </c>
      <c r="X61">
        <v>77</v>
      </c>
      <c r="Y61">
        <v>116</v>
      </c>
      <c r="Z61">
        <v>129</v>
      </c>
      <c r="AA61">
        <v>152</v>
      </c>
      <c r="AB61">
        <v>142</v>
      </c>
      <c r="AC61">
        <v>139</v>
      </c>
      <c r="AD61">
        <v>143</v>
      </c>
      <c r="AE61">
        <v>190</v>
      </c>
      <c r="AF61">
        <v>203</v>
      </c>
      <c r="AG61">
        <v>213</v>
      </c>
      <c r="AH61">
        <v>140</v>
      </c>
      <c r="AI61">
        <v>161</v>
      </c>
      <c r="AJ61">
        <v>106</v>
      </c>
      <c r="AK61">
        <v>78</v>
      </c>
      <c r="AL61">
        <v>79</v>
      </c>
      <c r="AM61">
        <v>75</v>
      </c>
      <c r="AN61">
        <v>66</v>
      </c>
      <c r="AO61">
        <v>75</v>
      </c>
      <c r="AP61">
        <v>37</v>
      </c>
      <c r="AQ61">
        <v>35</v>
      </c>
      <c r="AR61">
        <v>55</v>
      </c>
      <c r="AS61">
        <v>35</v>
      </c>
      <c r="AT61">
        <v>45</v>
      </c>
      <c r="AU61">
        <v>29</v>
      </c>
      <c r="AV61">
        <v>42</v>
      </c>
      <c r="AW61">
        <v>35</v>
      </c>
      <c r="AX61">
        <v>33</v>
      </c>
      <c r="AY61">
        <v>33</v>
      </c>
      <c r="AZ61">
        <v>37</v>
      </c>
      <c r="BA61">
        <v>34</v>
      </c>
      <c r="BB61">
        <v>46</v>
      </c>
      <c r="BC61">
        <v>39</v>
      </c>
      <c r="BD61">
        <v>44</v>
      </c>
      <c r="BE61">
        <v>43</v>
      </c>
      <c r="BF61">
        <v>50</v>
      </c>
      <c r="BG61">
        <v>40</v>
      </c>
      <c r="BH61">
        <v>46</v>
      </c>
      <c r="BI61">
        <v>55</v>
      </c>
      <c r="BJ61">
        <v>61</v>
      </c>
      <c r="BK61">
        <v>61</v>
      </c>
      <c r="BL61">
        <v>57</v>
      </c>
      <c r="BM61">
        <v>67</v>
      </c>
      <c r="BN61">
        <v>65</v>
      </c>
      <c r="BO61">
        <v>61</v>
      </c>
      <c r="BP61">
        <v>79</v>
      </c>
      <c r="BQ61">
        <v>91</v>
      </c>
      <c r="BR61">
        <v>86</v>
      </c>
      <c r="BS61">
        <v>88</v>
      </c>
      <c r="BT61">
        <v>97</v>
      </c>
      <c r="BU61">
        <v>98</v>
      </c>
      <c r="BV61">
        <v>96</v>
      </c>
      <c r="BW61">
        <v>117</v>
      </c>
      <c r="BX61">
        <v>183</v>
      </c>
      <c r="BY61">
        <v>210</v>
      </c>
      <c r="BZ61">
        <v>124</v>
      </c>
      <c r="CA61">
        <v>131</v>
      </c>
      <c r="CB61">
        <v>94</v>
      </c>
      <c r="CC61">
        <v>85</v>
      </c>
      <c r="CD61">
        <v>115</v>
      </c>
      <c r="CE61">
        <v>90</v>
      </c>
      <c r="CF61">
        <v>78</v>
      </c>
      <c r="CG61">
        <v>96</v>
      </c>
      <c r="CH61">
        <v>80</v>
      </c>
      <c r="CI61">
        <v>110</v>
      </c>
      <c r="CJ61">
        <v>110</v>
      </c>
      <c r="CK61">
        <v>78</v>
      </c>
      <c r="CL61">
        <v>59</v>
      </c>
      <c r="CM61">
        <v>67</v>
      </c>
      <c r="CN61">
        <v>58</v>
      </c>
      <c r="CO61">
        <v>75</v>
      </c>
      <c r="CP61">
        <v>81</v>
      </c>
      <c r="CQ61">
        <v>111</v>
      </c>
      <c r="CR61">
        <v>82</v>
      </c>
      <c r="CS61">
        <v>58</v>
      </c>
      <c r="CT61">
        <v>76</v>
      </c>
      <c r="CU61">
        <v>72</v>
      </c>
      <c r="CV61">
        <v>55</v>
      </c>
      <c r="CW61">
        <v>62</v>
      </c>
      <c r="CX61">
        <v>61</v>
      </c>
      <c r="CY61">
        <v>61</v>
      </c>
      <c r="CZ61">
        <v>56</v>
      </c>
      <c r="DA61">
        <v>67</v>
      </c>
      <c r="DB61">
        <v>74</v>
      </c>
      <c r="DC61">
        <v>75</v>
      </c>
      <c r="DD61">
        <v>69</v>
      </c>
      <c r="DE61">
        <v>60</v>
      </c>
      <c r="DF61">
        <v>46</v>
      </c>
      <c r="DG61">
        <v>43</v>
      </c>
      <c r="DH61">
        <v>39</v>
      </c>
      <c r="DI61">
        <v>32</v>
      </c>
      <c r="DJ61">
        <v>30</v>
      </c>
      <c r="DK61">
        <v>30</v>
      </c>
      <c r="DL61">
        <v>29</v>
      </c>
      <c r="DM61">
        <v>35</v>
      </c>
      <c r="DN61">
        <v>46</v>
      </c>
      <c r="DO61">
        <v>32</v>
      </c>
      <c r="DP61">
        <v>29</v>
      </c>
      <c r="DQ61">
        <v>29</v>
      </c>
      <c r="DR61">
        <v>38</v>
      </c>
      <c r="DS61">
        <v>19</v>
      </c>
      <c r="DT61">
        <v>29</v>
      </c>
      <c r="DU61">
        <v>10</v>
      </c>
      <c r="DV61">
        <v>26</v>
      </c>
      <c r="DW61">
        <v>21</v>
      </c>
      <c r="DX61">
        <v>25</v>
      </c>
      <c r="DY61">
        <v>26</v>
      </c>
      <c r="DZ61">
        <v>21</v>
      </c>
      <c r="EA61">
        <v>17</v>
      </c>
      <c r="EB61">
        <v>19</v>
      </c>
      <c r="EC61">
        <v>13</v>
      </c>
      <c r="ED61">
        <v>17</v>
      </c>
      <c r="EE61">
        <v>15</v>
      </c>
      <c r="EF61">
        <v>20</v>
      </c>
      <c r="EG61">
        <v>14</v>
      </c>
      <c r="EH61">
        <v>20</v>
      </c>
      <c r="EI61">
        <v>24</v>
      </c>
      <c r="EJ61">
        <v>12</v>
      </c>
      <c r="EK61">
        <v>25</v>
      </c>
      <c r="EL61">
        <v>20</v>
      </c>
      <c r="EM61">
        <v>11</v>
      </c>
      <c r="EN61">
        <v>16</v>
      </c>
      <c r="EO61">
        <v>17</v>
      </c>
      <c r="EP61">
        <v>11</v>
      </c>
      <c r="EQ61">
        <v>18</v>
      </c>
      <c r="ER61">
        <v>14</v>
      </c>
      <c r="ES61">
        <v>14</v>
      </c>
      <c r="ET61">
        <v>17</v>
      </c>
      <c r="EU61">
        <v>14</v>
      </c>
      <c r="EV61">
        <v>21</v>
      </c>
      <c r="EW61">
        <v>16</v>
      </c>
      <c r="EX61">
        <v>20</v>
      </c>
      <c r="EY61">
        <v>19</v>
      </c>
      <c r="EZ61">
        <v>18</v>
      </c>
      <c r="FA61">
        <v>18</v>
      </c>
      <c r="FB61">
        <v>21</v>
      </c>
      <c r="FC61">
        <v>21</v>
      </c>
      <c r="FD61">
        <v>21</v>
      </c>
      <c r="FE61">
        <v>19</v>
      </c>
      <c r="FF61">
        <v>26</v>
      </c>
      <c r="FG61">
        <v>27</v>
      </c>
      <c r="FH61">
        <v>21</v>
      </c>
      <c r="FI61">
        <v>20</v>
      </c>
      <c r="FJ61">
        <v>27</v>
      </c>
      <c r="FK61">
        <v>24</v>
      </c>
      <c r="FL61">
        <v>19</v>
      </c>
      <c r="FM61">
        <v>33</v>
      </c>
      <c r="FN61">
        <v>37</v>
      </c>
      <c r="FO61">
        <v>42</v>
      </c>
      <c r="FP61">
        <v>49</v>
      </c>
      <c r="FQ61">
        <v>42</v>
      </c>
      <c r="FR61">
        <v>59</v>
      </c>
      <c r="FS61">
        <v>66</v>
      </c>
      <c r="FT61">
        <v>102</v>
      </c>
      <c r="FU61">
        <v>207</v>
      </c>
    </row>
    <row r="62" spans="8:177">
      <c r="J62">
        <v>0</v>
      </c>
      <c r="K62">
        <v>0</v>
      </c>
      <c r="L62">
        <v>0</v>
      </c>
      <c r="M62">
        <v>0</v>
      </c>
      <c r="N62">
        <v>0</v>
      </c>
      <c r="O62">
        <v>10</v>
      </c>
      <c r="P62">
        <v>4</v>
      </c>
      <c r="Q62">
        <v>4</v>
      </c>
      <c r="R62">
        <v>3</v>
      </c>
      <c r="S62">
        <v>3</v>
      </c>
      <c r="T62">
        <v>2</v>
      </c>
      <c r="U62">
        <v>3</v>
      </c>
      <c r="V62">
        <v>1</v>
      </c>
      <c r="W62">
        <v>2</v>
      </c>
      <c r="X62">
        <v>1</v>
      </c>
      <c r="Y62">
        <v>1</v>
      </c>
      <c r="Z62">
        <v>1</v>
      </c>
      <c r="AA62">
        <v>2</v>
      </c>
      <c r="AB62">
        <v>1</v>
      </c>
      <c r="AC62">
        <v>0</v>
      </c>
      <c r="AD62">
        <v>2</v>
      </c>
      <c r="AE62">
        <v>1</v>
      </c>
      <c r="AF62">
        <v>2</v>
      </c>
      <c r="AG62">
        <v>0</v>
      </c>
      <c r="AH62">
        <v>1</v>
      </c>
      <c r="AI62">
        <v>3</v>
      </c>
      <c r="AJ62">
        <v>11</v>
      </c>
      <c r="AK62">
        <v>5</v>
      </c>
      <c r="AL62">
        <v>4</v>
      </c>
      <c r="AM62">
        <v>3</v>
      </c>
      <c r="AN62">
        <v>3</v>
      </c>
      <c r="AO62">
        <v>5</v>
      </c>
      <c r="AP62">
        <v>3</v>
      </c>
      <c r="AQ62">
        <v>5</v>
      </c>
      <c r="AR62">
        <v>2</v>
      </c>
      <c r="AS62">
        <v>2</v>
      </c>
      <c r="AT62">
        <v>2</v>
      </c>
      <c r="AU62">
        <v>3</v>
      </c>
      <c r="AV62">
        <v>3</v>
      </c>
      <c r="AW62">
        <v>3</v>
      </c>
      <c r="AX62">
        <v>3</v>
      </c>
      <c r="AY62">
        <v>2</v>
      </c>
      <c r="AZ62">
        <v>2</v>
      </c>
      <c r="BA62">
        <v>3</v>
      </c>
      <c r="BB62">
        <v>2</v>
      </c>
      <c r="BC62">
        <v>11</v>
      </c>
      <c r="BD62">
        <v>12</v>
      </c>
      <c r="BE62">
        <v>8</v>
      </c>
      <c r="BF62">
        <v>8</v>
      </c>
      <c r="BG62">
        <v>5</v>
      </c>
      <c r="BH62">
        <v>7</v>
      </c>
      <c r="BI62">
        <v>7</v>
      </c>
      <c r="BJ62">
        <v>4</v>
      </c>
      <c r="BK62">
        <v>4</v>
      </c>
      <c r="BL62">
        <v>7</v>
      </c>
      <c r="BM62">
        <v>5</v>
      </c>
      <c r="BN62">
        <v>6</v>
      </c>
      <c r="BO62">
        <v>11</v>
      </c>
      <c r="BP62">
        <v>7</v>
      </c>
      <c r="BQ62">
        <v>8</v>
      </c>
      <c r="BR62">
        <v>6</v>
      </c>
      <c r="BS62">
        <v>8</v>
      </c>
      <c r="BT62">
        <v>6</v>
      </c>
      <c r="BU62">
        <v>7</v>
      </c>
      <c r="BV62">
        <v>6</v>
      </c>
      <c r="BW62">
        <v>8</v>
      </c>
      <c r="BX62">
        <v>26</v>
      </c>
      <c r="BY62">
        <v>45</v>
      </c>
      <c r="BZ62">
        <v>9</v>
      </c>
      <c r="CA62">
        <v>19</v>
      </c>
      <c r="CB62">
        <v>17</v>
      </c>
      <c r="CC62">
        <v>13</v>
      </c>
      <c r="CD62">
        <v>14</v>
      </c>
      <c r="CE62">
        <v>16</v>
      </c>
      <c r="CF62">
        <v>14</v>
      </c>
      <c r="CG62">
        <v>16</v>
      </c>
      <c r="CH62">
        <v>13</v>
      </c>
      <c r="CI62">
        <v>22</v>
      </c>
      <c r="CJ62">
        <v>15</v>
      </c>
      <c r="CK62">
        <v>12</v>
      </c>
      <c r="CL62">
        <v>13</v>
      </c>
      <c r="CM62">
        <v>19</v>
      </c>
      <c r="CN62">
        <v>18</v>
      </c>
      <c r="CO62">
        <v>8</v>
      </c>
      <c r="CP62">
        <v>10</v>
      </c>
      <c r="CQ62">
        <v>8</v>
      </c>
      <c r="CR62">
        <v>7</v>
      </c>
      <c r="CS62">
        <v>11</v>
      </c>
      <c r="CT62">
        <v>6</v>
      </c>
      <c r="CU62">
        <v>9</v>
      </c>
      <c r="CV62">
        <v>10</v>
      </c>
      <c r="CW62">
        <v>7</v>
      </c>
      <c r="CX62">
        <v>7</v>
      </c>
      <c r="CY62">
        <v>10</v>
      </c>
      <c r="CZ62">
        <v>9</v>
      </c>
      <c r="DA62">
        <v>11</v>
      </c>
      <c r="DB62">
        <v>10</v>
      </c>
      <c r="DC62">
        <v>11</v>
      </c>
      <c r="DD62">
        <v>11</v>
      </c>
      <c r="DE62">
        <v>10</v>
      </c>
      <c r="DF62">
        <v>16</v>
      </c>
      <c r="DG62">
        <v>12</v>
      </c>
      <c r="DH62">
        <v>15</v>
      </c>
      <c r="DI62">
        <v>17</v>
      </c>
      <c r="DJ62">
        <v>24</v>
      </c>
      <c r="DK62">
        <v>15</v>
      </c>
      <c r="DL62">
        <v>16</v>
      </c>
      <c r="DM62">
        <v>18</v>
      </c>
      <c r="DN62">
        <v>11</v>
      </c>
      <c r="DO62">
        <v>14</v>
      </c>
      <c r="DP62">
        <v>14</v>
      </c>
      <c r="DQ62">
        <v>10</v>
      </c>
      <c r="DR62">
        <v>12</v>
      </c>
      <c r="DS62">
        <v>13</v>
      </c>
      <c r="DT62">
        <v>29</v>
      </c>
      <c r="DU62">
        <v>25</v>
      </c>
      <c r="DV62">
        <v>12</v>
      </c>
      <c r="DW62">
        <v>14</v>
      </c>
      <c r="DX62">
        <v>11</v>
      </c>
      <c r="DY62">
        <v>15</v>
      </c>
      <c r="DZ62">
        <v>12</v>
      </c>
      <c r="EA62">
        <v>9</v>
      </c>
      <c r="EB62">
        <v>11</v>
      </c>
      <c r="EC62">
        <v>12</v>
      </c>
      <c r="ED62">
        <v>14</v>
      </c>
      <c r="EE62">
        <v>18</v>
      </c>
      <c r="EF62">
        <v>14</v>
      </c>
      <c r="EG62">
        <v>14</v>
      </c>
      <c r="EH62">
        <v>14</v>
      </c>
      <c r="EI62">
        <v>14</v>
      </c>
      <c r="EJ62">
        <v>15</v>
      </c>
      <c r="EK62">
        <v>27</v>
      </c>
      <c r="EL62">
        <v>20</v>
      </c>
      <c r="EM62">
        <v>24</v>
      </c>
      <c r="EN62">
        <v>24</v>
      </c>
      <c r="EO62">
        <v>23</v>
      </c>
      <c r="EP62">
        <v>19</v>
      </c>
      <c r="EQ62">
        <v>14</v>
      </c>
      <c r="ER62">
        <v>22</v>
      </c>
      <c r="ES62">
        <v>17</v>
      </c>
      <c r="ET62">
        <v>13</v>
      </c>
      <c r="EU62">
        <v>15</v>
      </c>
      <c r="EV62">
        <v>15</v>
      </c>
      <c r="EW62">
        <v>14</v>
      </c>
      <c r="EX62">
        <v>15</v>
      </c>
      <c r="EY62">
        <v>17</v>
      </c>
      <c r="EZ62">
        <v>18</v>
      </c>
      <c r="FA62">
        <v>31</v>
      </c>
      <c r="FB62">
        <v>38</v>
      </c>
      <c r="FC62">
        <v>28</v>
      </c>
      <c r="FD62">
        <v>27</v>
      </c>
      <c r="FE62">
        <v>22</v>
      </c>
      <c r="FF62">
        <v>19</v>
      </c>
      <c r="FG62">
        <v>25</v>
      </c>
      <c r="FH62">
        <v>17</v>
      </c>
      <c r="FI62">
        <v>14</v>
      </c>
      <c r="FJ62">
        <v>14</v>
      </c>
      <c r="FK62">
        <v>20</v>
      </c>
      <c r="FL62">
        <v>37</v>
      </c>
      <c r="FM62">
        <v>23</v>
      </c>
      <c r="FN62">
        <v>26</v>
      </c>
      <c r="FO62">
        <v>25</v>
      </c>
      <c r="FP62">
        <v>26</v>
      </c>
      <c r="FQ62">
        <v>50</v>
      </c>
      <c r="FR62">
        <v>58</v>
      </c>
      <c r="FS62">
        <v>57</v>
      </c>
      <c r="FT62">
        <v>70</v>
      </c>
      <c r="FU62">
        <v>631</v>
      </c>
    </row>
    <row r="63" spans="8:177">
      <c r="J63">
        <v>0.4</v>
      </c>
      <c r="K63">
        <v>4</v>
      </c>
      <c r="L63">
        <v>1400</v>
      </c>
      <c r="M63">
        <v>600</v>
      </c>
      <c r="N63">
        <v>90</v>
      </c>
      <c r="O63">
        <v>200</v>
      </c>
      <c r="P63">
        <v>100000</v>
      </c>
      <c r="Q63">
        <v>8.4712144410000008</v>
      </c>
      <c r="R63">
        <v>10.87472891</v>
      </c>
      <c r="S63">
        <v>9.2170843779999991</v>
      </c>
      <c r="T63">
        <v>7.3281778759999998</v>
      </c>
      <c r="U63">
        <v>10.256610999999999</v>
      </c>
      <c r="V63">
        <v>8.2127872069999999</v>
      </c>
      <c r="W63">
        <v>6.1406575649999997</v>
      </c>
      <c r="X63">
        <v>11.20079655</v>
      </c>
      <c r="Y63">
        <v>7.2599407280000001</v>
      </c>
    </row>
    <row r="64" spans="8:177">
      <c r="J64">
        <v>169</v>
      </c>
      <c r="K64">
        <v>45</v>
      </c>
      <c r="L64">
        <v>54</v>
      </c>
      <c r="M64">
        <v>44</v>
      </c>
      <c r="N64">
        <v>43</v>
      </c>
      <c r="O64">
        <v>48</v>
      </c>
      <c r="P64">
        <v>42</v>
      </c>
      <c r="Q64">
        <v>31</v>
      </c>
      <c r="R64">
        <v>40</v>
      </c>
      <c r="S64">
        <v>60</v>
      </c>
      <c r="T64">
        <v>43</v>
      </c>
      <c r="U64">
        <v>62</v>
      </c>
      <c r="V64">
        <v>63</v>
      </c>
      <c r="W64">
        <v>59</v>
      </c>
      <c r="X64">
        <v>61</v>
      </c>
      <c r="Y64">
        <v>75</v>
      </c>
      <c r="Z64">
        <v>72</v>
      </c>
      <c r="AA64">
        <v>83</v>
      </c>
      <c r="AB64">
        <v>65</v>
      </c>
      <c r="AC64">
        <v>79</v>
      </c>
      <c r="AD64">
        <v>108</v>
      </c>
      <c r="AE64">
        <v>79</v>
      </c>
      <c r="AF64">
        <v>84</v>
      </c>
      <c r="AG64">
        <v>95</v>
      </c>
      <c r="AH64">
        <v>108</v>
      </c>
      <c r="AI64">
        <v>149</v>
      </c>
      <c r="AJ64">
        <v>81</v>
      </c>
      <c r="AK64">
        <v>58</v>
      </c>
      <c r="AL64">
        <v>84</v>
      </c>
      <c r="AM64">
        <v>69</v>
      </c>
      <c r="AN64">
        <v>68</v>
      </c>
      <c r="AO64">
        <v>88</v>
      </c>
      <c r="AP64">
        <v>50</v>
      </c>
      <c r="AQ64">
        <v>60</v>
      </c>
      <c r="AR64">
        <v>90</v>
      </c>
      <c r="AS64">
        <v>57</v>
      </c>
      <c r="AT64">
        <v>53</v>
      </c>
      <c r="AU64">
        <v>49</v>
      </c>
      <c r="AV64">
        <v>75</v>
      </c>
      <c r="AW64">
        <v>78</v>
      </c>
      <c r="AX64">
        <v>87</v>
      </c>
      <c r="AY64">
        <v>72</v>
      </c>
      <c r="AZ64">
        <v>63</v>
      </c>
      <c r="BA64">
        <v>41</v>
      </c>
      <c r="BB64">
        <v>62</v>
      </c>
      <c r="BC64">
        <v>32</v>
      </c>
      <c r="BD64">
        <v>52</v>
      </c>
      <c r="BE64">
        <v>36</v>
      </c>
      <c r="BF64">
        <v>22</v>
      </c>
      <c r="BG64">
        <v>27</v>
      </c>
      <c r="BH64">
        <v>24</v>
      </c>
      <c r="BI64">
        <v>25</v>
      </c>
      <c r="BJ64">
        <v>25</v>
      </c>
      <c r="BK64">
        <v>32</v>
      </c>
      <c r="BL64">
        <v>28</v>
      </c>
      <c r="BM64">
        <v>27</v>
      </c>
      <c r="BN64">
        <v>24</v>
      </c>
      <c r="BO64">
        <v>23</v>
      </c>
      <c r="BP64">
        <v>26</v>
      </c>
      <c r="BQ64">
        <v>25</v>
      </c>
      <c r="BR64">
        <v>24</v>
      </c>
      <c r="BS64">
        <v>50</v>
      </c>
      <c r="BT64">
        <v>38</v>
      </c>
      <c r="BU64">
        <v>40</v>
      </c>
      <c r="BV64">
        <v>52</v>
      </c>
      <c r="BW64">
        <v>49</v>
      </c>
      <c r="BX64">
        <v>78</v>
      </c>
      <c r="BY64">
        <v>100</v>
      </c>
      <c r="BZ64">
        <v>82</v>
      </c>
      <c r="CA64">
        <v>80</v>
      </c>
      <c r="CB64">
        <v>63</v>
      </c>
      <c r="CC64">
        <v>69</v>
      </c>
      <c r="CD64">
        <v>68</v>
      </c>
      <c r="CE64">
        <v>61</v>
      </c>
      <c r="CF64">
        <v>53</v>
      </c>
      <c r="CG64">
        <v>80</v>
      </c>
      <c r="CH64">
        <v>72</v>
      </c>
      <c r="CI64">
        <v>79</v>
      </c>
      <c r="CJ64">
        <v>74</v>
      </c>
      <c r="CK64">
        <v>55</v>
      </c>
      <c r="CL64">
        <v>59</v>
      </c>
      <c r="CM64">
        <v>77</v>
      </c>
      <c r="CN64">
        <v>60</v>
      </c>
      <c r="CO64">
        <v>62</v>
      </c>
      <c r="CP64">
        <v>60</v>
      </c>
      <c r="CQ64">
        <v>53</v>
      </c>
      <c r="CR64">
        <v>84</v>
      </c>
      <c r="CS64">
        <v>64</v>
      </c>
      <c r="CT64">
        <v>84</v>
      </c>
      <c r="CU64">
        <v>100</v>
      </c>
      <c r="CV64">
        <v>91</v>
      </c>
      <c r="CW64">
        <v>87</v>
      </c>
      <c r="CX64">
        <v>93</v>
      </c>
      <c r="CY64">
        <v>110</v>
      </c>
      <c r="CZ64">
        <v>90</v>
      </c>
      <c r="DA64">
        <v>71</v>
      </c>
      <c r="DB64">
        <v>77</v>
      </c>
      <c r="DC64">
        <v>77</v>
      </c>
      <c r="DD64">
        <v>64</v>
      </c>
      <c r="DE64">
        <v>72</v>
      </c>
      <c r="DF64">
        <v>157</v>
      </c>
      <c r="DG64">
        <v>133</v>
      </c>
      <c r="DH64">
        <v>72</v>
      </c>
      <c r="DI64">
        <v>74</v>
      </c>
      <c r="DJ64">
        <v>89</v>
      </c>
      <c r="DK64">
        <v>51</v>
      </c>
      <c r="DL64">
        <v>46</v>
      </c>
      <c r="DM64">
        <v>45</v>
      </c>
      <c r="DN64">
        <v>50</v>
      </c>
      <c r="DO64">
        <v>31</v>
      </c>
      <c r="DP64">
        <v>36</v>
      </c>
      <c r="DQ64">
        <v>41</v>
      </c>
      <c r="DR64">
        <v>32</v>
      </c>
      <c r="DS64">
        <v>45</v>
      </c>
      <c r="DT64">
        <v>61</v>
      </c>
      <c r="DU64">
        <v>28</v>
      </c>
      <c r="DV64">
        <v>21</v>
      </c>
      <c r="DW64">
        <v>35</v>
      </c>
      <c r="DX64">
        <v>20</v>
      </c>
      <c r="DY64">
        <v>20</v>
      </c>
      <c r="DZ64">
        <v>21</v>
      </c>
      <c r="EA64">
        <v>23</v>
      </c>
      <c r="EB64">
        <v>24</v>
      </c>
      <c r="EC64">
        <v>29</v>
      </c>
      <c r="ED64">
        <v>34</v>
      </c>
      <c r="EE64">
        <v>26</v>
      </c>
      <c r="EF64">
        <v>13</v>
      </c>
      <c r="EG64">
        <v>25</v>
      </c>
      <c r="EH64">
        <v>13</v>
      </c>
      <c r="EI64">
        <v>22</v>
      </c>
      <c r="EJ64">
        <v>17</v>
      </c>
      <c r="EK64">
        <v>17</v>
      </c>
      <c r="EL64">
        <v>18</v>
      </c>
      <c r="EM64">
        <v>15</v>
      </c>
      <c r="EN64">
        <v>19</v>
      </c>
      <c r="EO64">
        <v>22</v>
      </c>
      <c r="EP64">
        <v>15</v>
      </c>
      <c r="EQ64">
        <v>19</v>
      </c>
      <c r="ER64">
        <v>16</v>
      </c>
      <c r="ES64">
        <v>18</v>
      </c>
      <c r="ET64">
        <v>23</v>
      </c>
      <c r="EU64">
        <v>17</v>
      </c>
      <c r="EV64">
        <v>21</v>
      </c>
      <c r="EW64">
        <v>19</v>
      </c>
      <c r="EX64">
        <v>21</v>
      </c>
      <c r="EY64">
        <v>22</v>
      </c>
      <c r="EZ64">
        <v>14</v>
      </c>
      <c r="FA64">
        <v>20</v>
      </c>
      <c r="FB64">
        <v>19</v>
      </c>
      <c r="FC64">
        <v>22</v>
      </c>
      <c r="FD64">
        <v>18</v>
      </c>
      <c r="FE64">
        <v>24</v>
      </c>
      <c r="FF64">
        <v>21</v>
      </c>
      <c r="FG64">
        <v>21</v>
      </c>
      <c r="FH64">
        <v>26</v>
      </c>
      <c r="FI64">
        <v>27</v>
      </c>
      <c r="FJ64">
        <v>26</v>
      </c>
      <c r="FK64">
        <v>25</v>
      </c>
      <c r="FL64">
        <v>24</v>
      </c>
      <c r="FM64">
        <v>33</v>
      </c>
      <c r="FN64">
        <v>25</v>
      </c>
      <c r="FO64">
        <v>30</v>
      </c>
      <c r="FP64">
        <v>43</v>
      </c>
      <c r="FQ64">
        <v>39</v>
      </c>
      <c r="FR64">
        <v>53</v>
      </c>
      <c r="FS64">
        <v>59</v>
      </c>
      <c r="FT64">
        <v>102</v>
      </c>
      <c r="FU64">
        <v>246</v>
      </c>
    </row>
    <row r="65" spans="8:177">
      <c r="J65">
        <v>5</v>
      </c>
      <c r="K65">
        <v>3</v>
      </c>
      <c r="L65">
        <v>2</v>
      </c>
      <c r="M65">
        <v>8</v>
      </c>
      <c r="N65">
        <v>5</v>
      </c>
      <c r="O65">
        <v>3</v>
      </c>
      <c r="P65">
        <v>2</v>
      </c>
      <c r="Q65">
        <v>1</v>
      </c>
      <c r="R65">
        <v>1</v>
      </c>
      <c r="S65">
        <v>1</v>
      </c>
      <c r="T65">
        <v>2</v>
      </c>
      <c r="U65">
        <v>1</v>
      </c>
      <c r="V65">
        <v>7</v>
      </c>
      <c r="W65">
        <v>4</v>
      </c>
      <c r="X65">
        <v>3</v>
      </c>
      <c r="Y65">
        <v>4</v>
      </c>
      <c r="Z65">
        <v>12</v>
      </c>
      <c r="AA65">
        <v>6</v>
      </c>
      <c r="AB65">
        <v>8</v>
      </c>
      <c r="AC65">
        <v>4</v>
      </c>
      <c r="AD65">
        <v>6</v>
      </c>
      <c r="AE65">
        <v>5</v>
      </c>
      <c r="AF65">
        <v>6</v>
      </c>
      <c r="AG65">
        <v>3</v>
      </c>
      <c r="AH65">
        <v>5</v>
      </c>
      <c r="AI65">
        <v>8</v>
      </c>
      <c r="AJ65">
        <v>3</v>
      </c>
      <c r="AK65">
        <v>3</v>
      </c>
      <c r="AL65">
        <v>4</v>
      </c>
      <c r="AM65">
        <v>2</v>
      </c>
      <c r="AN65">
        <v>3</v>
      </c>
      <c r="AO65">
        <v>3</v>
      </c>
      <c r="AP65">
        <v>16</v>
      </c>
      <c r="AQ65">
        <v>207</v>
      </c>
      <c r="AR65">
        <v>48</v>
      </c>
      <c r="AS65">
        <v>25</v>
      </c>
      <c r="AT65">
        <v>13</v>
      </c>
      <c r="AU65">
        <v>21</v>
      </c>
      <c r="AV65">
        <v>24</v>
      </c>
      <c r="AW65">
        <v>17</v>
      </c>
      <c r="AX65">
        <v>21</v>
      </c>
      <c r="AY65">
        <v>26</v>
      </c>
      <c r="AZ65">
        <v>18</v>
      </c>
      <c r="BA65">
        <v>25</v>
      </c>
      <c r="BB65">
        <v>26</v>
      </c>
      <c r="BC65">
        <v>14</v>
      </c>
      <c r="BD65">
        <v>20</v>
      </c>
      <c r="BE65">
        <v>32</v>
      </c>
      <c r="BF65">
        <v>26</v>
      </c>
      <c r="BG65">
        <v>17</v>
      </c>
      <c r="BH65">
        <v>18</v>
      </c>
      <c r="BI65">
        <v>20</v>
      </c>
      <c r="BJ65">
        <v>18</v>
      </c>
      <c r="BK65">
        <v>22</v>
      </c>
      <c r="BL65">
        <v>22</v>
      </c>
      <c r="BM65">
        <v>18</v>
      </c>
      <c r="BN65">
        <v>24</v>
      </c>
      <c r="BO65">
        <v>18</v>
      </c>
      <c r="BP65">
        <v>15</v>
      </c>
      <c r="BQ65">
        <v>19</v>
      </c>
      <c r="BR65">
        <v>15</v>
      </c>
      <c r="BS65">
        <v>25</v>
      </c>
      <c r="BT65">
        <v>42</v>
      </c>
      <c r="BU65">
        <v>27</v>
      </c>
      <c r="BV65">
        <v>24</v>
      </c>
      <c r="BW65">
        <v>21</v>
      </c>
      <c r="BX65">
        <v>40</v>
      </c>
      <c r="BY65">
        <v>31</v>
      </c>
      <c r="BZ65">
        <v>22</v>
      </c>
      <c r="CA65">
        <v>27</v>
      </c>
      <c r="CB65">
        <v>22</v>
      </c>
      <c r="CC65">
        <v>16</v>
      </c>
      <c r="CD65">
        <v>20</v>
      </c>
      <c r="CE65">
        <v>17</v>
      </c>
      <c r="CF65">
        <v>18</v>
      </c>
      <c r="CG65">
        <v>22</v>
      </c>
      <c r="CH65">
        <v>18</v>
      </c>
      <c r="CI65">
        <v>16</v>
      </c>
      <c r="CJ65">
        <v>26</v>
      </c>
      <c r="CK65">
        <v>29</v>
      </c>
      <c r="CL65">
        <v>18</v>
      </c>
      <c r="CM65">
        <v>19</v>
      </c>
      <c r="CN65">
        <v>22</v>
      </c>
      <c r="CO65">
        <v>20</v>
      </c>
      <c r="CP65">
        <v>18</v>
      </c>
      <c r="CQ65">
        <v>15</v>
      </c>
      <c r="CR65">
        <v>23</v>
      </c>
      <c r="CS65">
        <v>23</v>
      </c>
      <c r="CT65">
        <v>25</v>
      </c>
      <c r="CU65">
        <v>16</v>
      </c>
      <c r="CV65">
        <v>28</v>
      </c>
      <c r="CW65">
        <v>16</v>
      </c>
      <c r="CX65">
        <v>15</v>
      </c>
      <c r="CY65">
        <v>31</v>
      </c>
      <c r="CZ65">
        <v>18</v>
      </c>
      <c r="DA65">
        <v>14</v>
      </c>
      <c r="DB65">
        <v>19</v>
      </c>
      <c r="DC65">
        <v>21</v>
      </c>
      <c r="DD65">
        <v>26</v>
      </c>
      <c r="DE65">
        <v>24</v>
      </c>
      <c r="DF65">
        <v>29</v>
      </c>
      <c r="DG65">
        <v>22</v>
      </c>
      <c r="DH65">
        <v>22</v>
      </c>
      <c r="DI65">
        <v>19</v>
      </c>
      <c r="DJ65">
        <v>33</v>
      </c>
      <c r="DK65">
        <v>43</v>
      </c>
      <c r="DL65">
        <v>23</v>
      </c>
      <c r="DM65">
        <v>28</v>
      </c>
      <c r="DN65">
        <v>16</v>
      </c>
      <c r="DO65">
        <v>22</v>
      </c>
      <c r="DP65">
        <v>18</v>
      </c>
      <c r="DQ65">
        <v>33</v>
      </c>
      <c r="DR65">
        <v>24</v>
      </c>
      <c r="DS65">
        <v>20</v>
      </c>
      <c r="DT65">
        <v>18</v>
      </c>
      <c r="DU65">
        <v>15</v>
      </c>
      <c r="DV65">
        <v>21</v>
      </c>
      <c r="DW65">
        <v>20</v>
      </c>
      <c r="DX65">
        <v>25</v>
      </c>
      <c r="DY65">
        <v>27</v>
      </c>
      <c r="DZ65">
        <v>34</v>
      </c>
      <c r="EA65">
        <v>26</v>
      </c>
      <c r="EB65">
        <v>21</v>
      </c>
      <c r="EC65">
        <v>15</v>
      </c>
      <c r="ED65">
        <v>21</v>
      </c>
      <c r="EE65">
        <v>26</v>
      </c>
      <c r="EF65">
        <v>24</v>
      </c>
      <c r="EG65">
        <v>22</v>
      </c>
      <c r="EH65">
        <v>12</v>
      </c>
      <c r="EI65">
        <v>17</v>
      </c>
      <c r="EJ65">
        <v>13</v>
      </c>
      <c r="EK65">
        <v>16</v>
      </c>
      <c r="EL65">
        <v>14</v>
      </c>
      <c r="EM65">
        <v>15</v>
      </c>
      <c r="EN65">
        <v>19</v>
      </c>
      <c r="EO65">
        <v>16</v>
      </c>
      <c r="EP65">
        <v>24</v>
      </c>
      <c r="EQ65">
        <v>47</v>
      </c>
      <c r="ER65">
        <v>24</v>
      </c>
      <c r="ES65">
        <v>20</v>
      </c>
      <c r="ET65">
        <v>12</v>
      </c>
      <c r="EU65">
        <v>18</v>
      </c>
      <c r="EV65">
        <v>16</v>
      </c>
      <c r="EW65">
        <v>19</v>
      </c>
      <c r="EX65">
        <v>17</v>
      </c>
      <c r="EY65">
        <v>17</v>
      </c>
      <c r="EZ65">
        <v>17</v>
      </c>
      <c r="FA65">
        <v>20</v>
      </c>
      <c r="FB65">
        <v>19</v>
      </c>
      <c r="FC65">
        <v>13</v>
      </c>
      <c r="FD65">
        <v>19</v>
      </c>
      <c r="FE65">
        <v>21</v>
      </c>
      <c r="FF65">
        <v>18</v>
      </c>
      <c r="FG65">
        <v>19</v>
      </c>
      <c r="FH65">
        <v>22</v>
      </c>
      <c r="FI65">
        <v>19</v>
      </c>
      <c r="FJ65">
        <v>17</v>
      </c>
      <c r="FK65">
        <v>19</v>
      </c>
      <c r="FL65">
        <v>22</v>
      </c>
      <c r="FM65">
        <v>24</v>
      </c>
      <c r="FN65">
        <v>33</v>
      </c>
      <c r="FO65">
        <v>27</v>
      </c>
      <c r="FP65">
        <v>52</v>
      </c>
      <c r="FQ65">
        <v>40</v>
      </c>
      <c r="FR65">
        <v>43</v>
      </c>
      <c r="FS65">
        <v>48</v>
      </c>
      <c r="FT65">
        <v>74</v>
      </c>
      <c r="FU65">
        <v>455</v>
      </c>
    </row>
    <row r="66" spans="8:177">
      <c r="J66">
        <v>0.4</v>
      </c>
      <c r="K66">
        <v>6</v>
      </c>
      <c r="L66">
        <v>1400</v>
      </c>
      <c r="M66">
        <v>600</v>
      </c>
      <c r="N66">
        <v>90</v>
      </c>
      <c r="O66">
        <v>200</v>
      </c>
      <c r="P66">
        <v>100000</v>
      </c>
      <c r="Q66">
        <v>8.8343673969999994</v>
      </c>
      <c r="R66">
        <v>11.84952988</v>
      </c>
      <c r="S66">
        <v>9.6441481069999995</v>
      </c>
      <c r="T66">
        <v>7.9667743250000003</v>
      </c>
      <c r="U66">
        <v>11.42411414</v>
      </c>
      <c r="V66">
        <v>8.9401357019999992</v>
      </c>
      <c r="W66">
        <v>6.4551357950000003</v>
      </c>
      <c r="X66">
        <v>9.6313642819999998</v>
      </c>
      <c r="Y66">
        <v>7.3458130449999999</v>
      </c>
    </row>
    <row r="67" spans="8:177">
      <c r="J67">
        <v>56</v>
      </c>
      <c r="K67">
        <v>31</v>
      </c>
      <c r="L67">
        <v>29</v>
      </c>
      <c r="M67">
        <v>32</v>
      </c>
      <c r="N67">
        <v>47</v>
      </c>
      <c r="O67">
        <v>44</v>
      </c>
      <c r="P67">
        <v>29</v>
      </c>
      <c r="Q67">
        <v>29</v>
      </c>
      <c r="R67">
        <v>39</v>
      </c>
      <c r="S67">
        <v>40</v>
      </c>
      <c r="T67">
        <v>45</v>
      </c>
      <c r="U67">
        <v>32</v>
      </c>
      <c r="V67">
        <v>43</v>
      </c>
      <c r="W67">
        <v>36</v>
      </c>
      <c r="X67">
        <v>46</v>
      </c>
      <c r="Y67">
        <v>36</v>
      </c>
      <c r="Z67">
        <v>56</v>
      </c>
      <c r="AA67">
        <v>57</v>
      </c>
      <c r="AB67">
        <v>61</v>
      </c>
      <c r="AC67">
        <v>63</v>
      </c>
      <c r="AD67">
        <v>71</v>
      </c>
      <c r="AE67">
        <v>70</v>
      </c>
      <c r="AF67">
        <v>45</v>
      </c>
      <c r="AG67">
        <v>84</v>
      </c>
      <c r="AH67">
        <v>88</v>
      </c>
      <c r="AI67">
        <v>85</v>
      </c>
      <c r="AJ67">
        <v>71</v>
      </c>
      <c r="AK67">
        <v>68</v>
      </c>
      <c r="AL67">
        <v>50</v>
      </c>
      <c r="AM67">
        <v>47</v>
      </c>
      <c r="AN67">
        <v>22</v>
      </c>
      <c r="AO67">
        <v>27</v>
      </c>
      <c r="AP67">
        <v>47</v>
      </c>
      <c r="AQ67">
        <v>47</v>
      </c>
      <c r="AR67">
        <v>46</v>
      </c>
      <c r="AS67">
        <v>36</v>
      </c>
      <c r="AT67">
        <v>29</v>
      </c>
      <c r="AU67">
        <v>30</v>
      </c>
      <c r="AV67">
        <v>22</v>
      </c>
      <c r="AW67">
        <v>23</v>
      </c>
      <c r="AX67">
        <v>21</v>
      </c>
      <c r="AY67">
        <v>25</v>
      </c>
      <c r="AZ67">
        <v>21</v>
      </c>
      <c r="BA67">
        <v>18</v>
      </c>
      <c r="BB67">
        <v>21</v>
      </c>
      <c r="BC67">
        <v>20</v>
      </c>
      <c r="BD67">
        <v>23</v>
      </c>
      <c r="BE67">
        <v>19</v>
      </c>
      <c r="BF67">
        <v>21</v>
      </c>
      <c r="BG67">
        <v>21</v>
      </c>
      <c r="BH67">
        <v>37</v>
      </c>
      <c r="BI67">
        <v>48</v>
      </c>
      <c r="BJ67">
        <v>59</v>
      </c>
      <c r="BK67">
        <v>57</v>
      </c>
      <c r="BL67">
        <v>70</v>
      </c>
      <c r="BM67">
        <v>59</v>
      </c>
      <c r="BN67">
        <v>60</v>
      </c>
      <c r="BO67">
        <v>73</v>
      </c>
      <c r="BP67">
        <v>81</v>
      </c>
      <c r="BQ67">
        <v>83</v>
      </c>
      <c r="BR67">
        <v>75</v>
      </c>
      <c r="BS67">
        <v>79</v>
      </c>
      <c r="BT67">
        <v>95</v>
      </c>
      <c r="BU67">
        <v>72</v>
      </c>
      <c r="BV67">
        <v>96</v>
      </c>
      <c r="BW67">
        <v>123</v>
      </c>
      <c r="BX67">
        <v>254</v>
      </c>
      <c r="BY67">
        <v>310</v>
      </c>
      <c r="BZ67">
        <v>130</v>
      </c>
      <c r="CA67">
        <v>105</v>
      </c>
      <c r="CB67">
        <v>78</v>
      </c>
      <c r="CC67">
        <v>99</v>
      </c>
      <c r="CD67">
        <v>114</v>
      </c>
      <c r="CE67">
        <v>148</v>
      </c>
      <c r="CF67">
        <v>96</v>
      </c>
      <c r="CG67">
        <v>115</v>
      </c>
      <c r="CH67">
        <v>94</v>
      </c>
      <c r="CI67">
        <v>134</v>
      </c>
      <c r="CJ67">
        <v>114</v>
      </c>
      <c r="CK67">
        <v>115</v>
      </c>
      <c r="CL67">
        <v>101</v>
      </c>
      <c r="CM67">
        <v>102</v>
      </c>
      <c r="CN67">
        <v>111</v>
      </c>
      <c r="CO67">
        <v>82</v>
      </c>
      <c r="CP67">
        <v>78</v>
      </c>
      <c r="CQ67">
        <v>99</v>
      </c>
      <c r="CR67">
        <v>48</v>
      </c>
      <c r="CS67">
        <v>41</v>
      </c>
      <c r="CT67">
        <v>62</v>
      </c>
      <c r="CU67">
        <v>55</v>
      </c>
      <c r="CV67">
        <v>71</v>
      </c>
      <c r="CW67">
        <v>41</v>
      </c>
      <c r="CX67">
        <v>45</v>
      </c>
      <c r="CY67">
        <v>42</v>
      </c>
      <c r="CZ67">
        <v>48</v>
      </c>
      <c r="DA67">
        <v>53</v>
      </c>
      <c r="DB67">
        <v>63</v>
      </c>
      <c r="DC67">
        <v>81</v>
      </c>
      <c r="DD67">
        <v>64</v>
      </c>
      <c r="DE67">
        <v>46</v>
      </c>
      <c r="DF67">
        <v>66</v>
      </c>
      <c r="DG67">
        <v>47</v>
      </c>
      <c r="DH67">
        <v>45</v>
      </c>
      <c r="DI67">
        <v>37</v>
      </c>
      <c r="DJ67">
        <v>49</v>
      </c>
      <c r="DK67">
        <v>44</v>
      </c>
      <c r="DL67">
        <v>36</v>
      </c>
      <c r="DM67">
        <v>37</v>
      </c>
      <c r="DN67">
        <v>59</v>
      </c>
      <c r="DO67">
        <v>60</v>
      </c>
      <c r="DP67">
        <v>41</v>
      </c>
      <c r="DQ67">
        <v>24</v>
      </c>
      <c r="DR67">
        <v>27</v>
      </c>
      <c r="DS67">
        <v>31</v>
      </c>
      <c r="DT67">
        <v>30</v>
      </c>
      <c r="DU67">
        <v>34</v>
      </c>
      <c r="DV67">
        <v>21</v>
      </c>
      <c r="DW67">
        <v>27</v>
      </c>
      <c r="DX67">
        <v>12</v>
      </c>
      <c r="DY67">
        <v>31</v>
      </c>
      <c r="DZ67">
        <v>18</v>
      </c>
      <c r="EA67">
        <v>21</v>
      </c>
      <c r="EB67">
        <v>21</v>
      </c>
      <c r="EC67">
        <v>22</v>
      </c>
      <c r="ED67">
        <v>22</v>
      </c>
      <c r="EE67">
        <v>19</v>
      </c>
      <c r="EF67">
        <v>21</v>
      </c>
      <c r="EG67">
        <v>20</v>
      </c>
      <c r="EH67">
        <v>23</v>
      </c>
      <c r="EI67">
        <v>21</v>
      </c>
      <c r="EJ67">
        <v>24</v>
      </c>
      <c r="EK67">
        <v>30</v>
      </c>
      <c r="EL67">
        <v>30</v>
      </c>
      <c r="EM67">
        <v>34</v>
      </c>
      <c r="EN67">
        <v>21</v>
      </c>
      <c r="EO67">
        <v>18</v>
      </c>
      <c r="EP67">
        <v>25</v>
      </c>
      <c r="EQ67">
        <v>22</v>
      </c>
      <c r="ER67">
        <v>24</v>
      </c>
      <c r="ES67">
        <v>22</v>
      </c>
      <c r="ET67">
        <v>21</v>
      </c>
      <c r="EU67">
        <v>26</v>
      </c>
      <c r="EV67">
        <v>22</v>
      </c>
      <c r="EW67">
        <v>27</v>
      </c>
      <c r="EX67">
        <v>19</v>
      </c>
      <c r="EY67">
        <v>28</v>
      </c>
      <c r="EZ67">
        <v>23</v>
      </c>
      <c r="FA67">
        <v>22</v>
      </c>
      <c r="FB67">
        <v>25</v>
      </c>
      <c r="FC67">
        <v>23</v>
      </c>
      <c r="FD67">
        <v>21</v>
      </c>
      <c r="FE67">
        <v>26</v>
      </c>
      <c r="FF67">
        <v>25</v>
      </c>
      <c r="FG67">
        <v>26</v>
      </c>
      <c r="FH67">
        <v>27</v>
      </c>
      <c r="FI67">
        <v>26</v>
      </c>
      <c r="FJ67">
        <v>35</v>
      </c>
      <c r="FK67">
        <v>35</v>
      </c>
      <c r="FL67">
        <v>31</v>
      </c>
      <c r="FM67">
        <v>35</v>
      </c>
      <c r="FN67">
        <v>35</v>
      </c>
      <c r="FO67">
        <v>41</v>
      </c>
      <c r="FP67">
        <v>45</v>
      </c>
      <c r="FQ67">
        <v>48</v>
      </c>
      <c r="FR67">
        <v>60</v>
      </c>
      <c r="FS67">
        <v>62</v>
      </c>
      <c r="FT67">
        <v>123</v>
      </c>
      <c r="FU67">
        <v>360</v>
      </c>
    </row>
    <row r="68" spans="8:177">
      <c r="J68">
        <v>17</v>
      </c>
      <c r="K68">
        <v>13</v>
      </c>
      <c r="L68">
        <v>8</v>
      </c>
      <c r="M68">
        <v>6</v>
      </c>
      <c r="N68">
        <v>8</v>
      </c>
      <c r="O68">
        <v>6</v>
      </c>
      <c r="P68">
        <v>15</v>
      </c>
      <c r="Q68">
        <v>11</v>
      </c>
      <c r="R68">
        <v>8</v>
      </c>
      <c r="S68">
        <v>6</v>
      </c>
      <c r="T68">
        <v>7</v>
      </c>
      <c r="U68">
        <v>6</v>
      </c>
      <c r="V68">
        <v>5</v>
      </c>
      <c r="W68">
        <v>2</v>
      </c>
      <c r="X68">
        <v>7</v>
      </c>
      <c r="Y68">
        <v>3</v>
      </c>
      <c r="Z68">
        <v>7</v>
      </c>
      <c r="AA68">
        <v>8</v>
      </c>
      <c r="AB68">
        <v>4</v>
      </c>
      <c r="AC68">
        <v>5</v>
      </c>
      <c r="AD68">
        <v>7</v>
      </c>
      <c r="AE68">
        <v>3</v>
      </c>
      <c r="AF68">
        <v>6</v>
      </c>
      <c r="AG68">
        <v>14</v>
      </c>
      <c r="AH68">
        <v>7</v>
      </c>
      <c r="AI68">
        <v>9</v>
      </c>
      <c r="AJ68">
        <v>8</v>
      </c>
      <c r="AK68">
        <v>5</v>
      </c>
      <c r="AL68">
        <v>5</v>
      </c>
      <c r="AM68">
        <v>5</v>
      </c>
      <c r="AN68">
        <v>6</v>
      </c>
      <c r="AO68">
        <v>14</v>
      </c>
      <c r="AP68">
        <v>7</v>
      </c>
      <c r="AQ68">
        <v>8</v>
      </c>
      <c r="AR68">
        <v>7</v>
      </c>
      <c r="AS68">
        <v>8</v>
      </c>
      <c r="AT68">
        <v>15</v>
      </c>
      <c r="AU68">
        <v>19</v>
      </c>
      <c r="AV68">
        <v>19</v>
      </c>
      <c r="AW68">
        <v>27</v>
      </c>
      <c r="AX68">
        <v>16</v>
      </c>
      <c r="AY68">
        <v>12</v>
      </c>
      <c r="AZ68">
        <v>7</v>
      </c>
      <c r="BA68">
        <v>11</v>
      </c>
      <c r="BB68">
        <v>13</v>
      </c>
      <c r="BC68">
        <v>10</v>
      </c>
      <c r="BD68">
        <v>8</v>
      </c>
      <c r="BE68">
        <v>9</v>
      </c>
      <c r="BF68">
        <v>9</v>
      </c>
      <c r="BG68">
        <v>10</v>
      </c>
      <c r="BH68">
        <v>11</v>
      </c>
      <c r="BI68">
        <v>10</v>
      </c>
      <c r="BJ68">
        <v>14</v>
      </c>
      <c r="BK68">
        <v>9</v>
      </c>
      <c r="BL68">
        <v>8</v>
      </c>
      <c r="BM68">
        <v>7</v>
      </c>
      <c r="BN68">
        <v>14</v>
      </c>
      <c r="BO68">
        <v>8</v>
      </c>
      <c r="BP68">
        <v>22</v>
      </c>
      <c r="BQ68">
        <v>30</v>
      </c>
      <c r="BR68">
        <v>23</v>
      </c>
      <c r="BS68">
        <v>18</v>
      </c>
      <c r="BT68">
        <v>24</v>
      </c>
      <c r="BU68">
        <v>14</v>
      </c>
      <c r="BV68">
        <v>22</v>
      </c>
      <c r="BW68">
        <v>15</v>
      </c>
      <c r="BX68">
        <v>14</v>
      </c>
      <c r="BY68">
        <v>13</v>
      </c>
      <c r="BZ68">
        <v>14</v>
      </c>
      <c r="CA68">
        <v>17</v>
      </c>
      <c r="CB68">
        <v>12</v>
      </c>
      <c r="CC68">
        <v>20</v>
      </c>
      <c r="CD68">
        <v>24</v>
      </c>
      <c r="CE68">
        <v>26</v>
      </c>
      <c r="CF68">
        <v>26</v>
      </c>
      <c r="CG68">
        <v>49</v>
      </c>
      <c r="CH68">
        <v>33</v>
      </c>
      <c r="CI68">
        <v>25</v>
      </c>
      <c r="CJ68">
        <v>37</v>
      </c>
      <c r="CK68">
        <v>23</v>
      </c>
      <c r="CL68">
        <v>13</v>
      </c>
      <c r="CM68">
        <v>15</v>
      </c>
      <c r="CN68">
        <v>12</v>
      </c>
      <c r="CO68">
        <v>28</v>
      </c>
      <c r="CP68">
        <v>22</v>
      </c>
      <c r="CQ68">
        <v>27</v>
      </c>
      <c r="CR68">
        <v>19</v>
      </c>
      <c r="CS68">
        <v>14</v>
      </c>
      <c r="CT68">
        <v>14</v>
      </c>
      <c r="CU68">
        <v>10</v>
      </c>
      <c r="CV68">
        <v>14</v>
      </c>
      <c r="CW68">
        <v>10</v>
      </c>
      <c r="CX68">
        <v>18</v>
      </c>
      <c r="CY68">
        <v>11</v>
      </c>
      <c r="CZ68">
        <v>9</v>
      </c>
      <c r="DA68">
        <v>8</v>
      </c>
      <c r="DB68">
        <v>8</v>
      </c>
      <c r="DC68">
        <v>10</v>
      </c>
      <c r="DD68">
        <v>9</v>
      </c>
      <c r="DE68">
        <v>10</v>
      </c>
      <c r="DF68">
        <v>8</v>
      </c>
      <c r="DG68">
        <v>13</v>
      </c>
      <c r="DH68">
        <v>12</v>
      </c>
      <c r="DI68">
        <v>6</v>
      </c>
      <c r="DJ68">
        <v>22</v>
      </c>
      <c r="DK68">
        <v>16</v>
      </c>
      <c r="DL68">
        <v>17</v>
      </c>
      <c r="DM68">
        <v>16</v>
      </c>
      <c r="DN68">
        <v>14</v>
      </c>
      <c r="DO68">
        <v>16</v>
      </c>
      <c r="DP68">
        <v>25</v>
      </c>
      <c r="DQ68">
        <v>20</v>
      </c>
      <c r="DR68">
        <v>21</v>
      </c>
      <c r="DS68">
        <v>19</v>
      </c>
      <c r="DT68">
        <v>18</v>
      </c>
      <c r="DU68">
        <v>17</v>
      </c>
      <c r="DV68">
        <v>17</v>
      </c>
      <c r="DW68">
        <v>24</v>
      </c>
      <c r="DX68">
        <v>24</v>
      </c>
      <c r="DY68">
        <v>16</v>
      </c>
      <c r="DZ68">
        <v>13</v>
      </c>
      <c r="EA68">
        <v>19</v>
      </c>
      <c r="EB68">
        <v>14</v>
      </c>
      <c r="EC68">
        <v>15</v>
      </c>
      <c r="ED68">
        <v>15</v>
      </c>
      <c r="EE68">
        <v>16</v>
      </c>
      <c r="EF68">
        <v>18</v>
      </c>
      <c r="EG68">
        <v>18</v>
      </c>
      <c r="EH68">
        <v>15</v>
      </c>
      <c r="EI68">
        <v>16</v>
      </c>
      <c r="EJ68">
        <v>17</v>
      </c>
      <c r="EK68">
        <v>26</v>
      </c>
      <c r="EL68">
        <v>18</v>
      </c>
      <c r="EM68">
        <v>15</v>
      </c>
      <c r="EN68">
        <v>16</v>
      </c>
      <c r="EO68">
        <v>16</v>
      </c>
      <c r="EP68">
        <v>15</v>
      </c>
      <c r="EQ68">
        <v>23</v>
      </c>
      <c r="ER68">
        <v>20</v>
      </c>
      <c r="ES68">
        <v>14</v>
      </c>
      <c r="ET68">
        <v>23</v>
      </c>
      <c r="EU68">
        <v>22</v>
      </c>
      <c r="EV68">
        <v>15</v>
      </c>
      <c r="EW68">
        <v>17</v>
      </c>
      <c r="EX68">
        <v>21</v>
      </c>
      <c r="EY68">
        <v>18</v>
      </c>
      <c r="EZ68">
        <v>15</v>
      </c>
      <c r="FA68">
        <v>17</v>
      </c>
      <c r="FB68">
        <v>31</v>
      </c>
      <c r="FC68">
        <v>28</v>
      </c>
      <c r="FD68">
        <v>18</v>
      </c>
      <c r="FE68">
        <v>28</v>
      </c>
      <c r="FF68">
        <v>19</v>
      </c>
      <c r="FG68">
        <v>21</v>
      </c>
      <c r="FH68">
        <v>19</v>
      </c>
      <c r="FI68">
        <v>34</v>
      </c>
      <c r="FJ68">
        <v>40</v>
      </c>
      <c r="FK68">
        <v>42</v>
      </c>
      <c r="FL68">
        <v>35</v>
      </c>
      <c r="FM68">
        <v>36</v>
      </c>
      <c r="FN68">
        <v>23</v>
      </c>
      <c r="FO68">
        <v>96</v>
      </c>
      <c r="FP68">
        <v>64</v>
      </c>
      <c r="FQ68">
        <v>35</v>
      </c>
      <c r="FR68">
        <v>38</v>
      </c>
      <c r="FS68">
        <v>23</v>
      </c>
      <c r="FT68">
        <v>48</v>
      </c>
      <c r="FU68">
        <v>697</v>
      </c>
    </row>
    <row r="69" spans="8:177">
      <c r="J69">
        <v>0.4</v>
      </c>
      <c r="K69">
        <v>5</v>
      </c>
      <c r="L69">
        <v>1400</v>
      </c>
      <c r="M69">
        <v>600</v>
      </c>
      <c r="N69">
        <v>90</v>
      </c>
      <c r="O69">
        <v>200</v>
      </c>
      <c r="P69">
        <v>100000</v>
      </c>
      <c r="Q69">
        <v>7.3669395289999997</v>
      </c>
      <c r="R69">
        <v>13.91659537</v>
      </c>
      <c r="S69">
        <v>8.7828766859999998</v>
      </c>
      <c r="T69">
        <v>6.3945130460000001</v>
      </c>
      <c r="U69">
        <v>13.14180561</v>
      </c>
      <c r="V69">
        <v>7.7231831990000002</v>
      </c>
      <c r="W69">
        <v>4.6767440330000003</v>
      </c>
      <c r="X69">
        <v>12.66355639</v>
      </c>
      <c r="Y69">
        <v>6.1642752520000004</v>
      </c>
    </row>
    <row r="70" spans="8:177">
      <c r="J70">
        <v>224</v>
      </c>
      <c r="K70">
        <v>95</v>
      </c>
      <c r="L70">
        <v>120</v>
      </c>
      <c r="M70">
        <v>98</v>
      </c>
      <c r="N70">
        <v>112</v>
      </c>
      <c r="O70">
        <v>93</v>
      </c>
      <c r="P70">
        <v>90</v>
      </c>
      <c r="Q70">
        <v>74</v>
      </c>
      <c r="R70">
        <v>99</v>
      </c>
      <c r="S70">
        <v>113</v>
      </c>
      <c r="T70">
        <v>109</v>
      </c>
      <c r="U70">
        <v>100</v>
      </c>
      <c r="V70">
        <v>134</v>
      </c>
      <c r="W70">
        <v>112</v>
      </c>
      <c r="X70">
        <v>133</v>
      </c>
      <c r="Y70">
        <v>154</v>
      </c>
      <c r="Z70">
        <v>156</v>
      </c>
      <c r="AA70">
        <v>138</v>
      </c>
      <c r="AB70">
        <v>134</v>
      </c>
      <c r="AC70">
        <v>183</v>
      </c>
      <c r="AD70">
        <v>117</v>
      </c>
      <c r="AE70">
        <v>143</v>
      </c>
      <c r="AF70">
        <v>128</v>
      </c>
      <c r="AG70">
        <v>160</v>
      </c>
      <c r="AH70">
        <v>154</v>
      </c>
      <c r="AI70">
        <v>167</v>
      </c>
      <c r="AJ70">
        <v>97</v>
      </c>
      <c r="AK70">
        <v>41</v>
      </c>
      <c r="AL70">
        <v>34</v>
      </c>
      <c r="AM70">
        <v>44</v>
      </c>
      <c r="AN70">
        <v>32</v>
      </c>
      <c r="AO70">
        <v>28</v>
      </c>
      <c r="AP70">
        <v>32</v>
      </c>
      <c r="AQ70">
        <v>35</v>
      </c>
      <c r="AR70">
        <v>37</v>
      </c>
      <c r="AS70">
        <v>25</v>
      </c>
      <c r="AT70">
        <v>30</v>
      </c>
      <c r="AU70">
        <v>22</v>
      </c>
      <c r="AV70">
        <v>30</v>
      </c>
      <c r="AW70">
        <v>24</v>
      </c>
      <c r="AX70">
        <v>24</v>
      </c>
      <c r="AY70">
        <v>33</v>
      </c>
      <c r="AZ70">
        <v>18</v>
      </c>
      <c r="BA70">
        <v>26</v>
      </c>
      <c r="BB70">
        <v>27</v>
      </c>
      <c r="BC70">
        <v>35</v>
      </c>
      <c r="BD70">
        <v>27</v>
      </c>
      <c r="BE70">
        <v>31</v>
      </c>
      <c r="BF70">
        <v>36</v>
      </c>
      <c r="BG70">
        <v>30</v>
      </c>
      <c r="BH70">
        <v>48</v>
      </c>
      <c r="BI70">
        <v>55</v>
      </c>
      <c r="BJ70">
        <v>45</v>
      </c>
      <c r="BK70">
        <v>42</v>
      </c>
      <c r="BL70">
        <v>39</v>
      </c>
      <c r="BM70">
        <v>53</v>
      </c>
      <c r="BN70">
        <v>52</v>
      </c>
      <c r="BO70">
        <v>76</v>
      </c>
      <c r="BP70">
        <v>71</v>
      </c>
      <c r="BQ70">
        <v>67</v>
      </c>
      <c r="BR70">
        <v>88</v>
      </c>
      <c r="BS70">
        <v>116</v>
      </c>
      <c r="BT70">
        <v>117</v>
      </c>
      <c r="BU70">
        <v>89</v>
      </c>
      <c r="BV70">
        <v>123</v>
      </c>
      <c r="BW70">
        <v>106</v>
      </c>
      <c r="BX70">
        <v>232</v>
      </c>
      <c r="BY70">
        <v>219</v>
      </c>
      <c r="BZ70">
        <v>123</v>
      </c>
      <c r="CA70">
        <v>136</v>
      </c>
      <c r="CB70">
        <v>91</v>
      </c>
      <c r="CC70">
        <v>100</v>
      </c>
      <c r="CD70">
        <v>99</v>
      </c>
      <c r="CE70">
        <v>93</v>
      </c>
      <c r="CF70">
        <v>128</v>
      </c>
      <c r="CG70">
        <v>162</v>
      </c>
      <c r="CH70">
        <v>132</v>
      </c>
      <c r="CI70">
        <v>111</v>
      </c>
      <c r="CJ70">
        <v>109</v>
      </c>
      <c r="CK70">
        <v>114</v>
      </c>
      <c r="CL70">
        <v>112</v>
      </c>
      <c r="CM70">
        <v>92</v>
      </c>
      <c r="CN70">
        <v>54</v>
      </c>
      <c r="CO70">
        <v>62</v>
      </c>
      <c r="CP70">
        <v>83</v>
      </c>
      <c r="CQ70">
        <v>83</v>
      </c>
      <c r="CR70">
        <v>52</v>
      </c>
      <c r="CS70">
        <v>66</v>
      </c>
      <c r="CT70">
        <v>71</v>
      </c>
      <c r="CU70">
        <v>54</v>
      </c>
      <c r="CV70">
        <v>32</v>
      </c>
      <c r="CW70">
        <v>51</v>
      </c>
      <c r="CX70">
        <v>43</v>
      </c>
      <c r="CY70">
        <v>42</v>
      </c>
      <c r="CZ70">
        <v>60</v>
      </c>
      <c r="DA70">
        <v>32</v>
      </c>
      <c r="DB70">
        <v>29</v>
      </c>
      <c r="DC70">
        <v>29</v>
      </c>
      <c r="DD70">
        <v>44</v>
      </c>
      <c r="DE70">
        <v>22</v>
      </c>
      <c r="DF70">
        <v>34</v>
      </c>
      <c r="DG70">
        <v>30</v>
      </c>
      <c r="DH70">
        <v>25</v>
      </c>
      <c r="DI70">
        <v>24</v>
      </c>
      <c r="DJ70">
        <v>26</v>
      </c>
      <c r="DK70">
        <v>24</v>
      </c>
      <c r="DL70">
        <v>30</v>
      </c>
      <c r="DM70">
        <v>21</v>
      </c>
      <c r="DN70">
        <v>29</v>
      </c>
      <c r="DO70">
        <v>25</v>
      </c>
      <c r="DP70">
        <v>22</v>
      </c>
      <c r="DQ70">
        <v>29</v>
      </c>
      <c r="DR70">
        <v>20</v>
      </c>
      <c r="DS70">
        <v>20</v>
      </c>
      <c r="DT70">
        <v>21</v>
      </c>
      <c r="DU70">
        <v>21</v>
      </c>
      <c r="DV70">
        <v>20</v>
      </c>
      <c r="DW70">
        <v>23</v>
      </c>
      <c r="DX70">
        <v>19</v>
      </c>
      <c r="DY70">
        <v>28</v>
      </c>
      <c r="DZ70">
        <v>22</v>
      </c>
      <c r="EA70">
        <v>19</v>
      </c>
      <c r="EB70">
        <v>18</v>
      </c>
      <c r="EC70">
        <v>27</v>
      </c>
      <c r="ED70">
        <v>21</v>
      </c>
      <c r="EE70">
        <v>21</v>
      </c>
      <c r="EF70">
        <v>25</v>
      </c>
      <c r="EG70">
        <v>17</v>
      </c>
      <c r="EH70">
        <v>22</v>
      </c>
      <c r="EI70">
        <v>17</v>
      </c>
      <c r="EJ70">
        <v>26</v>
      </c>
      <c r="EK70">
        <v>17</v>
      </c>
      <c r="EL70">
        <v>23</v>
      </c>
      <c r="EM70">
        <v>21</v>
      </c>
      <c r="EN70">
        <v>22</v>
      </c>
      <c r="EO70">
        <v>18</v>
      </c>
      <c r="EP70">
        <v>22</v>
      </c>
      <c r="EQ70">
        <v>16</v>
      </c>
      <c r="ER70">
        <v>22</v>
      </c>
      <c r="ES70">
        <v>20</v>
      </c>
      <c r="ET70">
        <v>19</v>
      </c>
      <c r="EU70">
        <v>19</v>
      </c>
      <c r="EV70">
        <v>24</v>
      </c>
      <c r="EW70">
        <v>19</v>
      </c>
      <c r="EX70">
        <v>20</v>
      </c>
      <c r="EY70">
        <v>26</v>
      </c>
      <c r="EZ70">
        <v>18</v>
      </c>
      <c r="FA70">
        <v>23</v>
      </c>
      <c r="FB70">
        <v>22</v>
      </c>
      <c r="FC70">
        <v>18</v>
      </c>
      <c r="FD70">
        <v>25</v>
      </c>
      <c r="FE70">
        <v>23</v>
      </c>
      <c r="FF70">
        <v>21</v>
      </c>
      <c r="FG70">
        <v>22</v>
      </c>
      <c r="FH70">
        <v>27</v>
      </c>
      <c r="FI70">
        <v>23</v>
      </c>
      <c r="FJ70">
        <v>27</v>
      </c>
      <c r="FK70">
        <v>32</v>
      </c>
      <c r="FL70">
        <v>22</v>
      </c>
      <c r="FM70">
        <v>31</v>
      </c>
      <c r="FN70">
        <v>30</v>
      </c>
      <c r="FO70">
        <v>32</v>
      </c>
      <c r="FP70">
        <v>45</v>
      </c>
      <c r="FQ70">
        <v>45</v>
      </c>
      <c r="FR70">
        <v>59</v>
      </c>
      <c r="FS70">
        <v>64</v>
      </c>
      <c r="FT70">
        <v>117</v>
      </c>
      <c r="FU70">
        <v>275</v>
      </c>
    </row>
    <row r="71" spans="8:177">
      <c r="J71">
        <v>7</v>
      </c>
      <c r="K71">
        <v>3</v>
      </c>
      <c r="L71">
        <v>3</v>
      </c>
      <c r="M71">
        <v>4</v>
      </c>
      <c r="N71">
        <v>7</v>
      </c>
      <c r="O71">
        <v>3</v>
      </c>
      <c r="P71">
        <v>4</v>
      </c>
      <c r="Q71">
        <v>2</v>
      </c>
      <c r="R71">
        <v>5</v>
      </c>
      <c r="S71">
        <v>1</v>
      </c>
      <c r="T71">
        <v>3</v>
      </c>
      <c r="U71">
        <v>2</v>
      </c>
      <c r="V71">
        <v>2</v>
      </c>
      <c r="W71">
        <v>2</v>
      </c>
      <c r="X71">
        <v>2</v>
      </c>
      <c r="Y71">
        <v>2</v>
      </c>
      <c r="Z71">
        <v>4</v>
      </c>
      <c r="AA71">
        <v>2</v>
      </c>
      <c r="AB71">
        <v>3</v>
      </c>
      <c r="AC71">
        <v>0</v>
      </c>
      <c r="AD71">
        <v>2</v>
      </c>
      <c r="AE71">
        <v>13</v>
      </c>
      <c r="AF71">
        <v>8</v>
      </c>
      <c r="AG71">
        <v>2</v>
      </c>
      <c r="AH71">
        <v>6</v>
      </c>
      <c r="AI71">
        <v>6</v>
      </c>
      <c r="AJ71">
        <v>4</v>
      </c>
      <c r="AK71">
        <v>6</v>
      </c>
      <c r="AL71">
        <v>2</v>
      </c>
      <c r="AM71">
        <v>6</v>
      </c>
      <c r="AN71">
        <v>2</v>
      </c>
      <c r="AO71">
        <v>5</v>
      </c>
      <c r="AP71">
        <v>3</v>
      </c>
      <c r="AQ71">
        <v>3</v>
      </c>
      <c r="AR71">
        <v>2</v>
      </c>
      <c r="AS71">
        <v>5</v>
      </c>
      <c r="AT71">
        <v>9</v>
      </c>
      <c r="AU71">
        <v>7</v>
      </c>
      <c r="AV71">
        <v>6</v>
      </c>
      <c r="AW71">
        <v>7</v>
      </c>
      <c r="AX71">
        <v>3</v>
      </c>
      <c r="AY71">
        <v>4</v>
      </c>
      <c r="AZ71">
        <v>5</v>
      </c>
      <c r="BA71">
        <v>4</v>
      </c>
      <c r="BB71">
        <v>7</v>
      </c>
      <c r="BC71">
        <v>3</v>
      </c>
      <c r="BD71">
        <v>5</v>
      </c>
      <c r="BE71">
        <v>5</v>
      </c>
      <c r="BF71">
        <v>5</v>
      </c>
      <c r="BG71">
        <v>4</v>
      </c>
      <c r="BH71">
        <v>5</v>
      </c>
      <c r="BI71">
        <v>3</v>
      </c>
      <c r="BJ71">
        <v>5</v>
      </c>
      <c r="BK71">
        <v>5</v>
      </c>
      <c r="BL71">
        <v>3</v>
      </c>
      <c r="BM71">
        <v>3</v>
      </c>
      <c r="BN71">
        <v>7</v>
      </c>
      <c r="BO71">
        <v>6</v>
      </c>
      <c r="BP71">
        <v>4</v>
      </c>
      <c r="BQ71">
        <v>6</v>
      </c>
      <c r="BR71">
        <v>5</v>
      </c>
      <c r="BS71">
        <v>6</v>
      </c>
      <c r="BT71">
        <v>6</v>
      </c>
      <c r="BU71">
        <v>10</v>
      </c>
      <c r="BV71">
        <v>6</v>
      </c>
      <c r="BW71">
        <v>3</v>
      </c>
      <c r="BX71">
        <v>6</v>
      </c>
      <c r="BY71">
        <v>4</v>
      </c>
      <c r="BZ71">
        <v>12</v>
      </c>
      <c r="CA71">
        <v>13</v>
      </c>
      <c r="CB71">
        <v>8</v>
      </c>
      <c r="CC71">
        <v>11</v>
      </c>
      <c r="CD71">
        <v>6</v>
      </c>
      <c r="CE71">
        <v>9</v>
      </c>
      <c r="CF71">
        <v>7</v>
      </c>
      <c r="CG71">
        <v>11</v>
      </c>
      <c r="CH71">
        <v>5</v>
      </c>
      <c r="CI71">
        <v>5</v>
      </c>
      <c r="CJ71">
        <v>6</v>
      </c>
      <c r="CK71">
        <v>13</v>
      </c>
      <c r="CL71">
        <v>30</v>
      </c>
      <c r="CM71">
        <v>7</v>
      </c>
      <c r="CN71">
        <v>10</v>
      </c>
      <c r="CO71">
        <v>14</v>
      </c>
      <c r="CP71">
        <v>20</v>
      </c>
      <c r="CQ71">
        <v>10</v>
      </c>
      <c r="CR71">
        <v>11</v>
      </c>
      <c r="CS71">
        <v>11</v>
      </c>
      <c r="CT71">
        <v>8</v>
      </c>
      <c r="CU71">
        <v>8</v>
      </c>
      <c r="CV71">
        <v>5</v>
      </c>
      <c r="CW71">
        <v>8</v>
      </c>
      <c r="CX71">
        <v>9</v>
      </c>
      <c r="CY71">
        <v>16</v>
      </c>
      <c r="CZ71">
        <v>26</v>
      </c>
      <c r="DA71">
        <v>10</v>
      </c>
      <c r="DB71">
        <v>8</v>
      </c>
      <c r="DC71">
        <v>6</v>
      </c>
      <c r="DD71">
        <v>6</v>
      </c>
      <c r="DE71">
        <v>9</v>
      </c>
      <c r="DF71">
        <v>7</v>
      </c>
      <c r="DG71">
        <v>9</v>
      </c>
      <c r="DH71">
        <v>7</v>
      </c>
      <c r="DI71">
        <v>9</v>
      </c>
      <c r="DJ71">
        <v>5</v>
      </c>
      <c r="DK71">
        <v>10</v>
      </c>
      <c r="DL71">
        <v>5</v>
      </c>
      <c r="DM71">
        <v>10</v>
      </c>
      <c r="DN71">
        <v>5</v>
      </c>
      <c r="DO71">
        <v>7</v>
      </c>
      <c r="DP71">
        <v>9</v>
      </c>
      <c r="DQ71">
        <v>6</v>
      </c>
      <c r="DR71">
        <v>15</v>
      </c>
      <c r="DS71">
        <v>7</v>
      </c>
      <c r="DT71">
        <v>9</v>
      </c>
      <c r="DU71">
        <v>7</v>
      </c>
      <c r="DV71">
        <v>7</v>
      </c>
      <c r="DW71">
        <v>7</v>
      </c>
      <c r="DX71">
        <v>7</v>
      </c>
      <c r="DY71">
        <v>5</v>
      </c>
      <c r="DZ71">
        <v>9</v>
      </c>
      <c r="EA71">
        <v>4</v>
      </c>
      <c r="EB71">
        <v>6</v>
      </c>
      <c r="EC71">
        <v>5</v>
      </c>
      <c r="ED71">
        <v>7</v>
      </c>
      <c r="EE71">
        <v>4</v>
      </c>
      <c r="EF71">
        <v>7</v>
      </c>
      <c r="EG71">
        <v>6</v>
      </c>
      <c r="EH71">
        <v>7</v>
      </c>
      <c r="EI71">
        <v>5</v>
      </c>
      <c r="EJ71">
        <v>4</v>
      </c>
      <c r="EK71">
        <v>9</v>
      </c>
      <c r="EL71">
        <v>6</v>
      </c>
      <c r="EM71">
        <v>7</v>
      </c>
      <c r="EN71">
        <v>8</v>
      </c>
      <c r="EO71">
        <v>7</v>
      </c>
      <c r="EP71">
        <v>6</v>
      </c>
      <c r="EQ71">
        <v>7</v>
      </c>
      <c r="ER71">
        <v>11</v>
      </c>
      <c r="ES71">
        <v>12</v>
      </c>
      <c r="ET71">
        <v>12</v>
      </c>
      <c r="EU71">
        <v>12</v>
      </c>
      <c r="EV71">
        <v>13</v>
      </c>
      <c r="EW71">
        <v>24</v>
      </c>
      <c r="EX71">
        <v>29</v>
      </c>
      <c r="EY71">
        <v>23</v>
      </c>
      <c r="EZ71">
        <v>26</v>
      </c>
      <c r="FA71">
        <v>15</v>
      </c>
      <c r="FB71">
        <v>17</v>
      </c>
      <c r="FC71">
        <v>14</v>
      </c>
      <c r="FD71">
        <v>17</v>
      </c>
      <c r="FE71">
        <v>22</v>
      </c>
      <c r="FF71">
        <v>23</v>
      </c>
      <c r="FG71">
        <v>41</v>
      </c>
      <c r="FH71">
        <v>40</v>
      </c>
      <c r="FI71">
        <v>28</v>
      </c>
      <c r="FJ71">
        <v>26</v>
      </c>
      <c r="FK71">
        <v>19</v>
      </c>
      <c r="FL71">
        <v>20</v>
      </c>
      <c r="FM71">
        <v>20</v>
      </c>
      <c r="FN71">
        <v>20</v>
      </c>
      <c r="FO71">
        <v>29</v>
      </c>
      <c r="FP71">
        <v>28</v>
      </c>
      <c r="FQ71">
        <v>30</v>
      </c>
      <c r="FR71">
        <v>33</v>
      </c>
      <c r="FS71">
        <v>31</v>
      </c>
      <c r="FT71">
        <v>49</v>
      </c>
      <c r="FU71">
        <v>939</v>
      </c>
    </row>
    <row r="72" spans="8:177">
      <c r="I72" t="s">
        <v>37</v>
      </c>
      <c r="J72">
        <f t="shared" ref="J72:AO72" si="32">J58+J61+J64+J67+J70</f>
        <v>683</v>
      </c>
      <c r="K72">
        <f t="shared" si="32"/>
        <v>274</v>
      </c>
      <c r="L72">
        <f t="shared" si="32"/>
        <v>296</v>
      </c>
      <c r="M72">
        <f t="shared" si="32"/>
        <v>278</v>
      </c>
      <c r="N72">
        <f t="shared" si="32"/>
        <v>300</v>
      </c>
      <c r="O72">
        <f t="shared" si="32"/>
        <v>296</v>
      </c>
      <c r="P72">
        <f t="shared" si="32"/>
        <v>287</v>
      </c>
      <c r="Q72">
        <f t="shared" si="32"/>
        <v>223</v>
      </c>
      <c r="R72">
        <f t="shared" si="32"/>
        <v>301</v>
      </c>
      <c r="S72">
        <f t="shared" si="32"/>
        <v>369</v>
      </c>
      <c r="T72">
        <f t="shared" si="32"/>
        <v>340</v>
      </c>
      <c r="U72">
        <f t="shared" si="32"/>
        <v>335</v>
      </c>
      <c r="V72">
        <f t="shared" si="32"/>
        <v>422</v>
      </c>
      <c r="W72">
        <f t="shared" si="32"/>
        <v>365</v>
      </c>
      <c r="X72">
        <f t="shared" si="32"/>
        <v>408</v>
      </c>
      <c r="Y72">
        <f t="shared" si="32"/>
        <v>465</v>
      </c>
      <c r="Z72">
        <f t="shared" si="32"/>
        <v>524</v>
      </c>
      <c r="AA72">
        <f t="shared" si="32"/>
        <v>531</v>
      </c>
      <c r="AB72">
        <f t="shared" si="32"/>
        <v>504</v>
      </c>
      <c r="AC72">
        <f t="shared" si="32"/>
        <v>587</v>
      </c>
      <c r="AD72">
        <f t="shared" si="32"/>
        <v>547</v>
      </c>
      <c r="AE72">
        <f t="shared" si="32"/>
        <v>590</v>
      </c>
      <c r="AF72">
        <f t="shared" si="32"/>
        <v>566</v>
      </c>
      <c r="AG72">
        <f t="shared" si="32"/>
        <v>665</v>
      </c>
      <c r="AH72">
        <f t="shared" si="32"/>
        <v>642</v>
      </c>
      <c r="AI72">
        <f t="shared" si="32"/>
        <v>671</v>
      </c>
      <c r="AJ72">
        <f t="shared" si="32"/>
        <v>473</v>
      </c>
      <c r="AK72">
        <f t="shared" si="32"/>
        <v>349</v>
      </c>
      <c r="AL72">
        <f t="shared" si="32"/>
        <v>322</v>
      </c>
      <c r="AM72">
        <f t="shared" si="32"/>
        <v>295</v>
      </c>
      <c r="AN72">
        <f t="shared" si="32"/>
        <v>237</v>
      </c>
      <c r="AO72">
        <f t="shared" si="32"/>
        <v>262</v>
      </c>
      <c r="AP72">
        <f t="shared" ref="AP72:BM72" si="33">AP58+AP61+AP64+AP67+AP70</f>
        <v>199</v>
      </c>
      <c r="AQ72">
        <f t="shared" si="33"/>
        <v>198</v>
      </c>
      <c r="AR72">
        <f t="shared" si="33"/>
        <v>263</v>
      </c>
      <c r="AS72">
        <f t="shared" si="33"/>
        <v>180</v>
      </c>
      <c r="AT72">
        <f t="shared" si="33"/>
        <v>187</v>
      </c>
      <c r="AU72">
        <f t="shared" si="33"/>
        <v>156</v>
      </c>
      <c r="AV72">
        <f t="shared" si="33"/>
        <v>197</v>
      </c>
      <c r="AW72">
        <f t="shared" si="33"/>
        <v>194</v>
      </c>
      <c r="AX72">
        <f t="shared" si="33"/>
        <v>188</v>
      </c>
      <c r="AY72">
        <f t="shared" si="33"/>
        <v>190</v>
      </c>
      <c r="AZ72">
        <f t="shared" si="33"/>
        <v>166</v>
      </c>
      <c r="BA72">
        <f t="shared" si="33"/>
        <v>149</v>
      </c>
      <c r="BB72">
        <f t="shared" si="33"/>
        <v>184</v>
      </c>
      <c r="BC72">
        <f t="shared" si="33"/>
        <v>156</v>
      </c>
      <c r="BD72">
        <f t="shared" si="33"/>
        <v>177</v>
      </c>
      <c r="BE72">
        <f t="shared" si="33"/>
        <v>168</v>
      </c>
      <c r="BF72">
        <f t="shared" si="33"/>
        <v>154</v>
      </c>
      <c r="BG72">
        <f t="shared" si="33"/>
        <v>143</v>
      </c>
      <c r="BH72">
        <f t="shared" si="33"/>
        <v>185</v>
      </c>
      <c r="BI72">
        <f t="shared" si="33"/>
        <v>210</v>
      </c>
      <c r="BJ72">
        <f t="shared" si="33"/>
        <v>226</v>
      </c>
      <c r="BK72">
        <f t="shared" si="33"/>
        <v>223</v>
      </c>
      <c r="BL72">
        <f t="shared" si="33"/>
        <v>223</v>
      </c>
      <c r="BM72">
        <f t="shared" si="33"/>
        <v>243</v>
      </c>
      <c r="BN72">
        <f t="shared" ref="BN72:DY72" si="34">BN58+BN61+BN64+BN67+BN70</f>
        <v>251</v>
      </c>
      <c r="BO72">
        <f t="shared" si="34"/>
        <v>268</v>
      </c>
      <c r="BP72">
        <f t="shared" si="34"/>
        <v>289</v>
      </c>
      <c r="BQ72">
        <f t="shared" si="34"/>
        <v>299</v>
      </c>
      <c r="BR72">
        <f t="shared" si="34"/>
        <v>317</v>
      </c>
      <c r="BS72">
        <f t="shared" si="34"/>
        <v>378</v>
      </c>
      <c r="BT72">
        <f t="shared" si="34"/>
        <v>388</v>
      </c>
      <c r="BU72">
        <f t="shared" si="34"/>
        <v>329</v>
      </c>
      <c r="BV72">
        <f t="shared" si="34"/>
        <v>403</v>
      </c>
      <c r="BW72">
        <f t="shared" si="34"/>
        <v>433</v>
      </c>
      <c r="BX72">
        <f t="shared" si="34"/>
        <v>813</v>
      </c>
      <c r="BY72">
        <f t="shared" si="34"/>
        <v>954</v>
      </c>
      <c r="BZ72">
        <f t="shared" si="34"/>
        <v>544</v>
      </c>
      <c r="CA72">
        <f t="shared" si="34"/>
        <v>563</v>
      </c>
      <c r="CB72">
        <f t="shared" si="34"/>
        <v>446</v>
      </c>
      <c r="CC72">
        <f t="shared" si="34"/>
        <v>413</v>
      </c>
      <c r="CD72">
        <f t="shared" si="34"/>
        <v>468</v>
      </c>
      <c r="CE72">
        <f t="shared" si="34"/>
        <v>475</v>
      </c>
      <c r="CF72">
        <f t="shared" si="34"/>
        <v>444</v>
      </c>
      <c r="CG72">
        <f t="shared" si="34"/>
        <v>539</v>
      </c>
      <c r="CH72">
        <f t="shared" si="34"/>
        <v>464</v>
      </c>
      <c r="CI72">
        <f t="shared" si="34"/>
        <v>518</v>
      </c>
      <c r="CJ72">
        <f t="shared" si="34"/>
        <v>507</v>
      </c>
      <c r="CK72">
        <f t="shared" si="34"/>
        <v>489</v>
      </c>
      <c r="CL72">
        <f t="shared" si="34"/>
        <v>464</v>
      </c>
      <c r="CM72">
        <f t="shared" si="34"/>
        <v>471</v>
      </c>
      <c r="CN72">
        <f t="shared" si="34"/>
        <v>386</v>
      </c>
      <c r="CO72">
        <f t="shared" si="34"/>
        <v>389</v>
      </c>
      <c r="CP72">
        <f t="shared" si="34"/>
        <v>437</v>
      </c>
      <c r="CQ72">
        <f t="shared" si="34"/>
        <v>429</v>
      </c>
      <c r="CR72">
        <f t="shared" si="34"/>
        <v>331</v>
      </c>
      <c r="CS72">
        <f t="shared" si="34"/>
        <v>278</v>
      </c>
      <c r="CT72">
        <f t="shared" si="34"/>
        <v>357</v>
      </c>
      <c r="CU72">
        <f t="shared" si="34"/>
        <v>339</v>
      </c>
      <c r="CV72">
        <f t="shared" si="34"/>
        <v>367</v>
      </c>
      <c r="CW72">
        <f t="shared" si="34"/>
        <v>329</v>
      </c>
      <c r="CX72">
        <f t="shared" si="34"/>
        <v>343</v>
      </c>
      <c r="CY72">
        <f t="shared" si="34"/>
        <v>311</v>
      </c>
      <c r="CZ72">
        <f t="shared" si="34"/>
        <v>339</v>
      </c>
      <c r="DA72">
        <f t="shared" si="34"/>
        <v>314</v>
      </c>
      <c r="DB72">
        <f t="shared" si="34"/>
        <v>339</v>
      </c>
      <c r="DC72">
        <f t="shared" si="34"/>
        <v>337</v>
      </c>
      <c r="DD72">
        <f t="shared" si="34"/>
        <v>290</v>
      </c>
      <c r="DE72">
        <f t="shared" si="34"/>
        <v>242</v>
      </c>
      <c r="DF72">
        <f t="shared" si="34"/>
        <v>339</v>
      </c>
      <c r="DG72">
        <f t="shared" si="34"/>
        <v>286</v>
      </c>
      <c r="DH72">
        <f t="shared" si="34"/>
        <v>220</v>
      </c>
      <c r="DI72">
        <f t="shared" si="34"/>
        <v>224</v>
      </c>
      <c r="DJ72">
        <f t="shared" si="34"/>
        <v>234</v>
      </c>
      <c r="DK72">
        <f t="shared" si="34"/>
        <v>178</v>
      </c>
      <c r="DL72">
        <f t="shared" si="34"/>
        <v>169</v>
      </c>
      <c r="DM72">
        <f t="shared" si="34"/>
        <v>161</v>
      </c>
      <c r="DN72">
        <f t="shared" si="34"/>
        <v>217</v>
      </c>
      <c r="DO72">
        <f t="shared" si="34"/>
        <v>179</v>
      </c>
      <c r="DP72">
        <f t="shared" si="34"/>
        <v>153</v>
      </c>
      <c r="DQ72">
        <f t="shared" si="34"/>
        <v>150</v>
      </c>
      <c r="DR72">
        <f t="shared" si="34"/>
        <v>139</v>
      </c>
      <c r="DS72">
        <f t="shared" si="34"/>
        <v>138</v>
      </c>
      <c r="DT72">
        <f t="shared" si="34"/>
        <v>159</v>
      </c>
      <c r="DU72">
        <f t="shared" si="34"/>
        <v>111</v>
      </c>
      <c r="DV72">
        <f t="shared" si="34"/>
        <v>111</v>
      </c>
      <c r="DW72">
        <f t="shared" si="34"/>
        <v>125</v>
      </c>
      <c r="DX72">
        <f t="shared" si="34"/>
        <v>92</v>
      </c>
      <c r="DY72">
        <f t="shared" si="34"/>
        <v>129</v>
      </c>
      <c r="DZ72">
        <f t="shared" ref="DZ72:FL72" si="35">DZ58+DZ61+DZ64+DZ67+DZ70</f>
        <v>101</v>
      </c>
      <c r="EA72">
        <f t="shared" si="35"/>
        <v>97</v>
      </c>
      <c r="EB72">
        <f t="shared" si="35"/>
        <v>106</v>
      </c>
      <c r="EC72">
        <f t="shared" si="35"/>
        <v>110</v>
      </c>
      <c r="ED72">
        <f t="shared" si="35"/>
        <v>115</v>
      </c>
      <c r="EE72">
        <f t="shared" si="35"/>
        <v>107</v>
      </c>
      <c r="EF72">
        <f t="shared" si="35"/>
        <v>93</v>
      </c>
      <c r="EG72">
        <f t="shared" si="35"/>
        <v>98</v>
      </c>
      <c r="EH72">
        <f t="shared" si="35"/>
        <v>96</v>
      </c>
      <c r="EI72">
        <f t="shared" si="35"/>
        <v>102</v>
      </c>
      <c r="EJ72">
        <f t="shared" si="35"/>
        <v>101</v>
      </c>
      <c r="EK72">
        <f t="shared" si="35"/>
        <v>107</v>
      </c>
      <c r="EL72">
        <f t="shared" si="35"/>
        <v>113</v>
      </c>
      <c r="EM72">
        <f t="shared" si="35"/>
        <v>99</v>
      </c>
      <c r="EN72">
        <f t="shared" si="35"/>
        <v>97</v>
      </c>
      <c r="EO72">
        <f t="shared" si="35"/>
        <v>92</v>
      </c>
      <c r="EP72">
        <f t="shared" si="35"/>
        <v>92</v>
      </c>
      <c r="EQ72">
        <f t="shared" si="35"/>
        <v>88</v>
      </c>
      <c r="ER72">
        <f t="shared" si="35"/>
        <v>97</v>
      </c>
      <c r="ES72">
        <f t="shared" si="35"/>
        <v>91</v>
      </c>
      <c r="ET72">
        <f t="shared" si="35"/>
        <v>102</v>
      </c>
      <c r="EU72">
        <f t="shared" si="35"/>
        <v>93</v>
      </c>
      <c r="EV72">
        <f t="shared" si="35"/>
        <v>106</v>
      </c>
      <c r="EW72">
        <f t="shared" si="35"/>
        <v>103</v>
      </c>
      <c r="EX72">
        <f t="shared" si="35"/>
        <v>97</v>
      </c>
      <c r="EY72">
        <f t="shared" si="35"/>
        <v>113</v>
      </c>
      <c r="EZ72">
        <f t="shared" si="35"/>
        <v>93</v>
      </c>
      <c r="FA72">
        <f t="shared" si="35"/>
        <v>103</v>
      </c>
      <c r="FB72">
        <f t="shared" si="35"/>
        <v>108</v>
      </c>
      <c r="FC72">
        <f t="shared" si="35"/>
        <v>107</v>
      </c>
      <c r="FD72">
        <f t="shared" si="35"/>
        <v>107</v>
      </c>
      <c r="FE72">
        <f t="shared" si="35"/>
        <v>116</v>
      </c>
      <c r="FF72">
        <f t="shared" si="35"/>
        <v>118</v>
      </c>
      <c r="FG72">
        <f t="shared" si="35"/>
        <v>118</v>
      </c>
      <c r="FH72">
        <f t="shared" si="35"/>
        <v>123</v>
      </c>
      <c r="FI72">
        <f t="shared" si="35"/>
        <v>124</v>
      </c>
      <c r="FJ72">
        <f t="shared" si="35"/>
        <v>138</v>
      </c>
      <c r="FK72">
        <f t="shared" si="35"/>
        <v>146</v>
      </c>
      <c r="FL72">
        <f t="shared" si="35"/>
        <v>119</v>
      </c>
      <c r="FM72">
        <v>31</v>
      </c>
      <c r="FN72">
        <v>28</v>
      </c>
      <c r="FO72">
        <v>53</v>
      </c>
      <c r="FP72">
        <v>61</v>
      </c>
      <c r="FQ72">
        <v>52</v>
      </c>
      <c r="FR72">
        <v>74</v>
      </c>
      <c r="FS72">
        <v>91</v>
      </c>
      <c r="FT72">
        <v>120</v>
      </c>
      <c r="FU72">
        <v>391</v>
      </c>
    </row>
    <row r="73" spans="8:177">
      <c r="I73" t="s">
        <v>38</v>
      </c>
      <c r="J73">
        <f t="shared" ref="J73:AO73" si="36">J59+J62+J65+J68+J71</f>
        <v>29</v>
      </c>
      <c r="K73">
        <f t="shared" si="36"/>
        <v>19</v>
      </c>
      <c r="L73">
        <f t="shared" si="36"/>
        <v>13</v>
      </c>
      <c r="M73">
        <f t="shared" si="36"/>
        <v>18</v>
      </c>
      <c r="N73">
        <f t="shared" si="36"/>
        <v>20</v>
      </c>
      <c r="O73">
        <f t="shared" si="36"/>
        <v>22</v>
      </c>
      <c r="P73">
        <f t="shared" si="36"/>
        <v>31</v>
      </c>
      <c r="Q73">
        <f t="shared" si="36"/>
        <v>23</v>
      </c>
      <c r="R73">
        <f t="shared" si="36"/>
        <v>21</v>
      </c>
      <c r="S73">
        <f t="shared" si="36"/>
        <v>14</v>
      </c>
      <c r="T73">
        <f t="shared" si="36"/>
        <v>17</v>
      </c>
      <c r="U73">
        <f t="shared" si="36"/>
        <v>21</v>
      </c>
      <c r="V73">
        <f t="shared" si="36"/>
        <v>23</v>
      </c>
      <c r="W73">
        <f t="shared" si="36"/>
        <v>18</v>
      </c>
      <c r="X73">
        <f t="shared" si="36"/>
        <v>22</v>
      </c>
      <c r="Y73">
        <f t="shared" si="36"/>
        <v>22</v>
      </c>
      <c r="Z73">
        <f t="shared" si="36"/>
        <v>32</v>
      </c>
      <c r="AA73">
        <f t="shared" si="36"/>
        <v>33</v>
      </c>
      <c r="AB73">
        <f t="shared" si="36"/>
        <v>28</v>
      </c>
      <c r="AC73">
        <f t="shared" si="36"/>
        <v>21</v>
      </c>
      <c r="AD73">
        <f t="shared" si="36"/>
        <v>23</v>
      </c>
      <c r="AE73">
        <f t="shared" si="36"/>
        <v>41</v>
      </c>
      <c r="AF73">
        <f t="shared" si="36"/>
        <v>38</v>
      </c>
      <c r="AG73">
        <f t="shared" si="36"/>
        <v>33</v>
      </c>
      <c r="AH73">
        <f t="shared" si="36"/>
        <v>30</v>
      </c>
      <c r="AI73">
        <f t="shared" si="36"/>
        <v>35</v>
      </c>
      <c r="AJ73">
        <f t="shared" si="36"/>
        <v>31</v>
      </c>
      <c r="AK73">
        <f t="shared" si="36"/>
        <v>29</v>
      </c>
      <c r="AL73">
        <f t="shared" si="36"/>
        <v>24</v>
      </c>
      <c r="AM73">
        <f t="shared" si="36"/>
        <v>22</v>
      </c>
      <c r="AN73">
        <f t="shared" si="36"/>
        <v>24</v>
      </c>
      <c r="AO73">
        <f t="shared" si="36"/>
        <v>33</v>
      </c>
      <c r="AP73">
        <f t="shared" ref="AP73:BM73" si="37">AP59+AP62+AP65+AP68+AP71</f>
        <v>35</v>
      </c>
      <c r="AQ73">
        <f t="shared" si="37"/>
        <v>229</v>
      </c>
      <c r="AR73">
        <f t="shared" si="37"/>
        <v>123</v>
      </c>
      <c r="AS73">
        <f t="shared" si="37"/>
        <v>92</v>
      </c>
      <c r="AT73">
        <f t="shared" si="37"/>
        <v>92</v>
      </c>
      <c r="AU73">
        <f t="shared" si="37"/>
        <v>96</v>
      </c>
      <c r="AV73">
        <f t="shared" si="37"/>
        <v>83</v>
      </c>
      <c r="AW73">
        <f t="shared" si="37"/>
        <v>88</v>
      </c>
      <c r="AX73">
        <f t="shared" si="37"/>
        <v>56</v>
      </c>
      <c r="AY73">
        <f t="shared" si="37"/>
        <v>67</v>
      </c>
      <c r="AZ73">
        <f t="shared" si="37"/>
        <v>51</v>
      </c>
      <c r="BA73">
        <f t="shared" si="37"/>
        <v>73</v>
      </c>
      <c r="BB73">
        <f t="shared" si="37"/>
        <v>78</v>
      </c>
      <c r="BC73">
        <f t="shared" si="37"/>
        <v>62</v>
      </c>
      <c r="BD73">
        <f t="shared" si="37"/>
        <v>60</v>
      </c>
      <c r="BE73">
        <f t="shared" si="37"/>
        <v>67</v>
      </c>
      <c r="BF73">
        <f t="shared" si="37"/>
        <v>61</v>
      </c>
      <c r="BG73">
        <f t="shared" si="37"/>
        <v>48</v>
      </c>
      <c r="BH73">
        <f t="shared" si="37"/>
        <v>54</v>
      </c>
      <c r="BI73">
        <f t="shared" si="37"/>
        <v>51</v>
      </c>
      <c r="BJ73">
        <f t="shared" si="37"/>
        <v>50</v>
      </c>
      <c r="BK73">
        <f t="shared" si="37"/>
        <v>52</v>
      </c>
      <c r="BL73">
        <f t="shared" si="37"/>
        <v>52</v>
      </c>
      <c r="BM73">
        <f t="shared" si="37"/>
        <v>42</v>
      </c>
      <c r="BN73">
        <f t="shared" ref="BN73:DY73" si="38">BN59+BN62+BN65+BN68+BN71</f>
        <v>73</v>
      </c>
      <c r="BO73">
        <f t="shared" si="38"/>
        <v>84</v>
      </c>
      <c r="BP73">
        <f t="shared" si="38"/>
        <v>71</v>
      </c>
      <c r="BQ73">
        <f t="shared" si="38"/>
        <v>91</v>
      </c>
      <c r="BR73">
        <f t="shared" si="38"/>
        <v>73</v>
      </c>
      <c r="BS73">
        <f t="shared" si="38"/>
        <v>84</v>
      </c>
      <c r="BT73">
        <f t="shared" si="38"/>
        <v>115</v>
      </c>
      <c r="BU73">
        <f t="shared" si="38"/>
        <v>102</v>
      </c>
      <c r="BV73">
        <f t="shared" si="38"/>
        <v>80</v>
      </c>
      <c r="BW73">
        <f t="shared" si="38"/>
        <v>67</v>
      </c>
      <c r="BX73">
        <f t="shared" si="38"/>
        <v>115</v>
      </c>
      <c r="BY73">
        <f t="shared" si="38"/>
        <v>148</v>
      </c>
      <c r="BZ73">
        <f t="shared" si="38"/>
        <v>85</v>
      </c>
      <c r="CA73">
        <f t="shared" si="38"/>
        <v>109</v>
      </c>
      <c r="CB73">
        <f t="shared" si="38"/>
        <v>82</v>
      </c>
      <c r="CC73">
        <f t="shared" si="38"/>
        <v>80</v>
      </c>
      <c r="CD73">
        <f t="shared" si="38"/>
        <v>82</v>
      </c>
      <c r="CE73">
        <f t="shared" si="38"/>
        <v>86</v>
      </c>
      <c r="CF73">
        <f t="shared" si="38"/>
        <v>84</v>
      </c>
      <c r="CG73">
        <f t="shared" si="38"/>
        <v>118</v>
      </c>
      <c r="CH73">
        <f t="shared" si="38"/>
        <v>82</v>
      </c>
      <c r="CI73">
        <f t="shared" si="38"/>
        <v>82</v>
      </c>
      <c r="CJ73">
        <f t="shared" si="38"/>
        <v>96</v>
      </c>
      <c r="CK73">
        <f t="shared" si="38"/>
        <v>93</v>
      </c>
      <c r="CL73">
        <f t="shared" si="38"/>
        <v>96</v>
      </c>
      <c r="CM73">
        <f t="shared" si="38"/>
        <v>81</v>
      </c>
      <c r="CN73">
        <f t="shared" si="38"/>
        <v>82</v>
      </c>
      <c r="CO73">
        <f t="shared" si="38"/>
        <v>91</v>
      </c>
      <c r="CP73">
        <f t="shared" si="38"/>
        <v>93</v>
      </c>
      <c r="CQ73">
        <f t="shared" si="38"/>
        <v>76</v>
      </c>
      <c r="CR73">
        <f t="shared" si="38"/>
        <v>73</v>
      </c>
      <c r="CS73">
        <f t="shared" si="38"/>
        <v>74</v>
      </c>
      <c r="CT73">
        <f t="shared" si="38"/>
        <v>71</v>
      </c>
      <c r="CU73">
        <f t="shared" si="38"/>
        <v>59</v>
      </c>
      <c r="CV73">
        <f t="shared" si="38"/>
        <v>87</v>
      </c>
      <c r="CW73">
        <f t="shared" si="38"/>
        <v>67</v>
      </c>
      <c r="CX73">
        <f t="shared" si="38"/>
        <v>64</v>
      </c>
      <c r="CY73">
        <f t="shared" si="38"/>
        <v>82</v>
      </c>
      <c r="CZ73">
        <f t="shared" si="38"/>
        <v>76</v>
      </c>
      <c r="DA73">
        <f t="shared" si="38"/>
        <v>58</v>
      </c>
      <c r="DB73">
        <f t="shared" si="38"/>
        <v>57</v>
      </c>
      <c r="DC73">
        <f t="shared" si="38"/>
        <v>63</v>
      </c>
      <c r="DD73">
        <f t="shared" si="38"/>
        <v>68</v>
      </c>
      <c r="DE73">
        <f t="shared" si="38"/>
        <v>64</v>
      </c>
      <c r="DF73">
        <f t="shared" si="38"/>
        <v>78</v>
      </c>
      <c r="DG73">
        <f t="shared" si="38"/>
        <v>71</v>
      </c>
      <c r="DH73">
        <f t="shared" si="38"/>
        <v>75</v>
      </c>
      <c r="DI73">
        <f t="shared" si="38"/>
        <v>73</v>
      </c>
      <c r="DJ73">
        <f t="shared" si="38"/>
        <v>109</v>
      </c>
      <c r="DK73">
        <f t="shared" si="38"/>
        <v>114</v>
      </c>
      <c r="DL73">
        <f t="shared" si="38"/>
        <v>98</v>
      </c>
      <c r="DM73">
        <f t="shared" si="38"/>
        <v>101</v>
      </c>
      <c r="DN73">
        <f t="shared" si="38"/>
        <v>74</v>
      </c>
      <c r="DO73">
        <f t="shared" si="38"/>
        <v>75</v>
      </c>
      <c r="DP73">
        <f t="shared" si="38"/>
        <v>85</v>
      </c>
      <c r="DQ73">
        <f t="shared" si="38"/>
        <v>88</v>
      </c>
      <c r="DR73">
        <f t="shared" si="38"/>
        <v>91</v>
      </c>
      <c r="DS73">
        <f t="shared" si="38"/>
        <v>77</v>
      </c>
      <c r="DT73">
        <f t="shared" si="38"/>
        <v>86</v>
      </c>
      <c r="DU73">
        <f t="shared" si="38"/>
        <v>83</v>
      </c>
      <c r="DV73">
        <f t="shared" si="38"/>
        <v>72</v>
      </c>
      <c r="DW73">
        <f t="shared" si="38"/>
        <v>82</v>
      </c>
      <c r="DX73">
        <f t="shared" si="38"/>
        <v>98</v>
      </c>
      <c r="DY73">
        <f t="shared" si="38"/>
        <v>80</v>
      </c>
      <c r="DZ73">
        <f t="shared" ref="DZ73:FL73" si="39">DZ59+DZ62+DZ65+DZ68+DZ71</f>
        <v>88</v>
      </c>
      <c r="EA73">
        <f t="shared" si="39"/>
        <v>77</v>
      </c>
      <c r="EB73">
        <f t="shared" si="39"/>
        <v>72</v>
      </c>
      <c r="EC73">
        <f t="shared" si="39"/>
        <v>70</v>
      </c>
      <c r="ED73">
        <f t="shared" si="39"/>
        <v>89</v>
      </c>
      <c r="EE73">
        <f t="shared" si="39"/>
        <v>86</v>
      </c>
      <c r="EF73">
        <f t="shared" si="39"/>
        <v>91</v>
      </c>
      <c r="EG73">
        <f t="shared" si="39"/>
        <v>93</v>
      </c>
      <c r="EH73">
        <f t="shared" si="39"/>
        <v>73</v>
      </c>
      <c r="EI73">
        <f t="shared" si="39"/>
        <v>77</v>
      </c>
      <c r="EJ73">
        <f t="shared" si="39"/>
        <v>63</v>
      </c>
      <c r="EK73">
        <f t="shared" si="39"/>
        <v>97</v>
      </c>
      <c r="EL73">
        <f t="shared" si="39"/>
        <v>71</v>
      </c>
      <c r="EM73">
        <f t="shared" si="39"/>
        <v>70</v>
      </c>
      <c r="EN73">
        <f t="shared" si="39"/>
        <v>82</v>
      </c>
      <c r="EO73">
        <f t="shared" si="39"/>
        <v>76</v>
      </c>
      <c r="EP73">
        <f t="shared" si="39"/>
        <v>75</v>
      </c>
      <c r="EQ73">
        <f t="shared" si="39"/>
        <v>104</v>
      </c>
      <c r="ER73">
        <f t="shared" si="39"/>
        <v>91</v>
      </c>
      <c r="ES73">
        <f t="shared" si="39"/>
        <v>79</v>
      </c>
      <c r="ET73">
        <f t="shared" si="39"/>
        <v>77</v>
      </c>
      <c r="EU73">
        <f t="shared" si="39"/>
        <v>91</v>
      </c>
      <c r="EV73">
        <f t="shared" si="39"/>
        <v>72</v>
      </c>
      <c r="EW73">
        <f t="shared" si="39"/>
        <v>84</v>
      </c>
      <c r="EX73">
        <f t="shared" si="39"/>
        <v>98</v>
      </c>
      <c r="EY73">
        <f t="shared" si="39"/>
        <v>86</v>
      </c>
      <c r="EZ73">
        <f t="shared" si="39"/>
        <v>88</v>
      </c>
      <c r="FA73">
        <f t="shared" si="39"/>
        <v>97</v>
      </c>
      <c r="FB73">
        <f t="shared" si="39"/>
        <v>122</v>
      </c>
      <c r="FC73">
        <f t="shared" si="39"/>
        <v>92</v>
      </c>
      <c r="FD73">
        <f t="shared" si="39"/>
        <v>97</v>
      </c>
      <c r="FE73">
        <f t="shared" si="39"/>
        <v>119</v>
      </c>
      <c r="FF73">
        <f t="shared" si="39"/>
        <v>101</v>
      </c>
      <c r="FG73">
        <f t="shared" si="39"/>
        <v>123</v>
      </c>
      <c r="FH73">
        <f t="shared" si="39"/>
        <v>120</v>
      </c>
      <c r="FI73">
        <f t="shared" si="39"/>
        <v>114</v>
      </c>
      <c r="FJ73">
        <f t="shared" si="39"/>
        <v>131</v>
      </c>
      <c r="FK73">
        <f t="shared" si="39"/>
        <v>125</v>
      </c>
      <c r="FL73">
        <f t="shared" si="39"/>
        <v>169</v>
      </c>
      <c r="FM73">
        <v>59</v>
      </c>
      <c r="FN73">
        <v>73</v>
      </c>
      <c r="FO73">
        <v>78</v>
      </c>
      <c r="FP73">
        <v>106</v>
      </c>
      <c r="FQ73">
        <v>49</v>
      </c>
      <c r="FR73">
        <v>53</v>
      </c>
      <c r="FS73">
        <v>43</v>
      </c>
      <c r="FT73">
        <v>79</v>
      </c>
      <c r="FU73">
        <v>354</v>
      </c>
    </row>
    <row r="75" spans="8:177">
      <c r="H75" t="s">
        <v>45</v>
      </c>
      <c r="J75">
        <v>0.4</v>
      </c>
      <c r="K75">
        <v>3</v>
      </c>
      <c r="L75">
        <v>1400</v>
      </c>
      <c r="M75">
        <v>600</v>
      </c>
      <c r="N75">
        <v>90</v>
      </c>
      <c r="O75">
        <v>200</v>
      </c>
      <c r="P75">
        <v>100000</v>
      </c>
      <c r="Q75">
        <v>8.5742971380000004</v>
      </c>
      <c r="R75">
        <v>11.28609756</v>
      </c>
      <c r="S75">
        <v>9.4155540050000006</v>
      </c>
      <c r="T75">
        <v>7.5335034729999997</v>
      </c>
      <c r="U75">
        <v>10.300606139999999</v>
      </c>
      <c r="V75">
        <v>8.3420821630000006</v>
      </c>
      <c r="W75">
        <v>5.6077292859999996</v>
      </c>
      <c r="X75">
        <v>10.803473090000001</v>
      </c>
      <c r="Y75">
        <v>6.7644301220000003</v>
      </c>
    </row>
    <row r="76" spans="8:177">
      <c r="J76">
        <v>181</v>
      </c>
      <c r="K76">
        <v>66</v>
      </c>
      <c r="L76">
        <v>43</v>
      </c>
      <c r="M76">
        <v>57</v>
      </c>
      <c r="N76">
        <v>54</v>
      </c>
      <c r="O76">
        <v>56</v>
      </c>
      <c r="P76">
        <v>45</v>
      </c>
      <c r="Q76">
        <v>43</v>
      </c>
      <c r="R76">
        <v>45</v>
      </c>
      <c r="S76">
        <v>65</v>
      </c>
      <c r="T76">
        <v>53</v>
      </c>
      <c r="U76">
        <v>54</v>
      </c>
      <c r="V76">
        <v>72</v>
      </c>
      <c r="W76">
        <v>58</v>
      </c>
      <c r="X76">
        <v>59</v>
      </c>
      <c r="Y76">
        <v>69</v>
      </c>
      <c r="Z76">
        <v>51</v>
      </c>
      <c r="AA76">
        <v>65</v>
      </c>
      <c r="AB76">
        <v>84</v>
      </c>
      <c r="AC76">
        <v>70</v>
      </c>
      <c r="AD76">
        <v>74</v>
      </c>
      <c r="AE76">
        <v>99</v>
      </c>
      <c r="AF76">
        <v>95</v>
      </c>
      <c r="AG76">
        <v>107</v>
      </c>
      <c r="AH76">
        <v>91</v>
      </c>
      <c r="AI76">
        <v>105</v>
      </c>
      <c r="AJ76">
        <v>76</v>
      </c>
      <c r="AK76">
        <v>65</v>
      </c>
      <c r="AL76">
        <v>93</v>
      </c>
      <c r="AM76">
        <v>76</v>
      </c>
      <c r="AN76">
        <v>83</v>
      </c>
      <c r="AO76">
        <v>83</v>
      </c>
      <c r="AP76">
        <v>85</v>
      </c>
      <c r="AQ76">
        <v>67</v>
      </c>
      <c r="AR76">
        <v>84</v>
      </c>
      <c r="AS76">
        <v>61</v>
      </c>
      <c r="AT76">
        <v>59</v>
      </c>
      <c r="AU76">
        <v>53</v>
      </c>
      <c r="AV76">
        <v>57</v>
      </c>
      <c r="AW76">
        <v>26</v>
      </c>
      <c r="AX76">
        <v>15</v>
      </c>
      <c r="AY76">
        <v>20</v>
      </c>
      <c r="AZ76">
        <v>22</v>
      </c>
      <c r="BA76">
        <v>23</v>
      </c>
      <c r="BB76">
        <v>21</v>
      </c>
      <c r="BC76">
        <v>21</v>
      </c>
      <c r="BD76">
        <v>17</v>
      </c>
      <c r="BE76">
        <v>21</v>
      </c>
      <c r="BF76">
        <v>21</v>
      </c>
      <c r="BG76">
        <v>25</v>
      </c>
      <c r="BH76">
        <v>22</v>
      </c>
      <c r="BI76">
        <v>19</v>
      </c>
      <c r="BJ76">
        <v>30</v>
      </c>
      <c r="BK76">
        <v>29</v>
      </c>
      <c r="BL76">
        <v>24</v>
      </c>
      <c r="BM76">
        <v>38</v>
      </c>
      <c r="BN76">
        <v>31</v>
      </c>
      <c r="BO76">
        <v>24</v>
      </c>
      <c r="BP76">
        <v>32</v>
      </c>
      <c r="BQ76">
        <v>34</v>
      </c>
      <c r="BR76">
        <v>47</v>
      </c>
      <c r="BS76">
        <v>64</v>
      </c>
      <c r="BT76">
        <v>77</v>
      </c>
      <c r="BU76">
        <v>80</v>
      </c>
      <c r="BV76">
        <v>65</v>
      </c>
      <c r="BW76">
        <v>50</v>
      </c>
      <c r="BX76">
        <v>79</v>
      </c>
      <c r="BY76">
        <v>107</v>
      </c>
      <c r="BZ76">
        <v>96</v>
      </c>
      <c r="CA76">
        <v>98</v>
      </c>
      <c r="CB76">
        <v>116</v>
      </c>
      <c r="CC76">
        <v>76</v>
      </c>
      <c r="CD76">
        <v>78</v>
      </c>
      <c r="CE76">
        <v>93</v>
      </c>
      <c r="CF76">
        <v>91</v>
      </c>
      <c r="CG76">
        <v>85</v>
      </c>
      <c r="CH76">
        <v>82</v>
      </c>
      <c r="CI76">
        <v>96</v>
      </c>
      <c r="CJ76">
        <v>112</v>
      </c>
      <c r="CK76">
        <v>135</v>
      </c>
      <c r="CL76">
        <v>167</v>
      </c>
      <c r="CM76">
        <v>113</v>
      </c>
      <c r="CN76">
        <v>92</v>
      </c>
      <c r="CO76">
        <v>132</v>
      </c>
      <c r="CP76">
        <v>112</v>
      </c>
      <c r="CQ76">
        <v>74</v>
      </c>
      <c r="CR76">
        <v>66</v>
      </c>
      <c r="CS76">
        <v>66</v>
      </c>
      <c r="CT76">
        <v>80</v>
      </c>
      <c r="CU76">
        <v>85</v>
      </c>
      <c r="CV76">
        <v>110</v>
      </c>
      <c r="CW76">
        <v>71</v>
      </c>
      <c r="CX76">
        <v>69</v>
      </c>
      <c r="CY76">
        <v>67</v>
      </c>
      <c r="CZ76">
        <v>95</v>
      </c>
      <c r="DA76">
        <v>88</v>
      </c>
      <c r="DB76">
        <v>101</v>
      </c>
      <c r="DC76">
        <v>76</v>
      </c>
      <c r="DD76">
        <v>51</v>
      </c>
      <c r="DE76">
        <v>40</v>
      </c>
      <c r="DF76">
        <v>39</v>
      </c>
      <c r="DG76">
        <v>31</v>
      </c>
      <c r="DH76">
        <v>39</v>
      </c>
      <c r="DI76">
        <v>58</v>
      </c>
      <c r="DJ76">
        <v>44</v>
      </c>
      <c r="DK76">
        <v>27</v>
      </c>
      <c r="DL76">
        <v>28</v>
      </c>
      <c r="DM76">
        <v>25</v>
      </c>
      <c r="DN76">
        <v>37</v>
      </c>
      <c r="DO76">
        <v>28</v>
      </c>
      <c r="DP76">
        <v>29</v>
      </c>
      <c r="DQ76">
        <v>24</v>
      </c>
      <c r="DR76">
        <v>25</v>
      </c>
      <c r="DS76">
        <v>22</v>
      </c>
      <c r="DT76">
        <v>21</v>
      </c>
      <c r="DU76">
        <v>19</v>
      </c>
      <c r="DV76">
        <v>25</v>
      </c>
      <c r="DW76">
        <v>21</v>
      </c>
      <c r="DX76">
        <v>16</v>
      </c>
      <c r="DY76">
        <v>25</v>
      </c>
      <c r="DZ76">
        <v>23</v>
      </c>
      <c r="EA76">
        <v>20</v>
      </c>
      <c r="EB76">
        <v>21</v>
      </c>
      <c r="EC76">
        <v>28</v>
      </c>
      <c r="ED76">
        <v>20</v>
      </c>
      <c r="EE76">
        <v>27</v>
      </c>
      <c r="EF76">
        <v>21</v>
      </c>
      <c r="EG76">
        <v>21</v>
      </c>
      <c r="EH76">
        <v>25</v>
      </c>
      <c r="EI76">
        <v>16</v>
      </c>
      <c r="EJ76">
        <v>23</v>
      </c>
      <c r="EK76">
        <v>23</v>
      </c>
      <c r="EL76">
        <v>21</v>
      </c>
      <c r="EM76">
        <v>19</v>
      </c>
      <c r="EN76">
        <v>22</v>
      </c>
      <c r="EO76">
        <v>19</v>
      </c>
      <c r="EP76">
        <v>20</v>
      </c>
      <c r="EQ76">
        <v>17</v>
      </c>
      <c r="ER76">
        <v>23</v>
      </c>
      <c r="ES76">
        <v>19</v>
      </c>
      <c r="ET76">
        <v>20</v>
      </c>
      <c r="EU76">
        <v>23</v>
      </c>
      <c r="EV76">
        <v>19</v>
      </c>
      <c r="EW76">
        <v>20</v>
      </c>
      <c r="EX76">
        <v>21</v>
      </c>
      <c r="EY76">
        <v>19</v>
      </c>
      <c r="EZ76">
        <v>20</v>
      </c>
      <c r="FA76">
        <v>24</v>
      </c>
      <c r="FB76">
        <v>21</v>
      </c>
      <c r="FC76">
        <v>24</v>
      </c>
      <c r="FD76">
        <v>21</v>
      </c>
      <c r="FE76">
        <v>27</v>
      </c>
      <c r="FF76">
        <v>22</v>
      </c>
      <c r="FG76">
        <v>23</v>
      </c>
      <c r="FH76">
        <v>27</v>
      </c>
      <c r="FI76">
        <v>23</v>
      </c>
      <c r="FJ76">
        <v>28</v>
      </c>
      <c r="FK76">
        <v>26</v>
      </c>
      <c r="FL76">
        <v>31</v>
      </c>
      <c r="FM76">
        <v>33</v>
      </c>
      <c r="FN76">
        <v>25</v>
      </c>
      <c r="FO76">
        <v>30</v>
      </c>
      <c r="FP76">
        <v>43</v>
      </c>
      <c r="FQ76">
        <v>39</v>
      </c>
      <c r="FR76">
        <v>53</v>
      </c>
      <c r="FS76">
        <v>59</v>
      </c>
      <c r="FT76">
        <v>102</v>
      </c>
      <c r="FU76">
        <v>246</v>
      </c>
    </row>
    <row r="77" spans="8:177">
      <c r="J77">
        <v>0</v>
      </c>
      <c r="K77">
        <v>0</v>
      </c>
      <c r="L77">
        <v>0</v>
      </c>
      <c r="M77">
        <v>0</v>
      </c>
      <c r="N77">
        <v>2</v>
      </c>
      <c r="O77">
        <v>1</v>
      </c>
      <c r="P77">
        <v>7</v>
      </c>
      <c r="Q77">
        <v>6</v>
      </c>
      <c r="R77">
        <v>5</v>
      </c>
      <c r="S77">
        <v>3</v>
      </c>
      <c r="T77">
        <v>4</v>
      </c>
      <c r="U77">
        <v>10</v>
      </c>
      <c r="V77">
        <v>8</v>
      </c>
      <c r="W77">
        <v>9</v>
      </c>
      <c r="X77">
        <v>9</v>
      </c>
      <c r="Y77">
        <v>16</v>
      </c>
      <c r="Z77">
        <v>19</v>
      </c>
      <c r="AA77">
        <v>21</v>
      </c>
      <c r="AB77">
        <v>26</v>
      </c>
      <c r="AC77">
        <v>24</v>
      </c>
      <c r="AD77">
        <v>10</v>
      </c>
      <c r="AE77">
        <v>25</v>
      </c>
      <c r="AF77">
        <v>19</v>
      </c>
      <c r="AG77">
        <v>19</v>
      </c>
      <c r="AH77">
        <v>13</v>
      </c>
      <c r="AI77">
        <v>13</v>
      </c>
      <c r="AJ77">
        <v>7</v>
      </c>
      <c r="AK77">
        <v>14</v>
      </c>
      <c r="AL77">
        <v>11</v>
      </c>
      <c r="AM77">
        <v>10</v>
      </c>
      <c r="AN77">
        <v>11</v>
      </c>
      <c r="AO77">
        <v>14</v>
      </c>
      <c r="AP77">
        <v>14</v>
      </c>
      <c r="AQ77">
        <v>9</v>
      </c>
      <c r="AR77">
        <v>67</v>
      </c>
      <c r="AS77">
        <v>50</v>
      </c>
      <c r="AT77">
        <v>53</v>
      </c>
      <c r="AU77">
        <v>49</v>
      </c>
      <c r="AV77">
        <v>30</v>
      </c>
      <c r="AW77">
        <v>35</v>
      </c>
      <c r="AX77">
        <v>14</v>
      </c>
      <c r="AY77">
        <v>25</v>
      </c>
      <c r="AZ77">
        <v>20</v>
      </c>
      <c r="BA77">
        <v>21</v>
      </c>
      <c r="BB77">
        <v>23</v>
      </c>
      <c r="BC77">
        <v>18</v>
      </c>
      <c r="BD77">
        <v>19</v>
      </c>
      <c r="BE77">
        <v>13</v>
      </c>
      <c r="BF77">
        <v>9</v>
      </c>
      <c r="BG77">
        <v>14</v>
      </c>
      <c r="BH77">
        <v>15</v>
      </c>
      <c r="BI77">
        <v>22</v>
      </c>
      <c r="BJ77">
        <v>16</v>
      </c>
      <c r="BK77">
        <v>16</v>
      </c>
      <c r="BL77">
        <v>18</v>
      </c>
      <c r="BM77">
        <v>15</v>
      </c>
      <c r="BN77">
        <v>16</v>
      </c>
      <c r="BO77">
        <v>37</v>
      </c>
      <c r="BP77">
        <v>24</v>
      </c>
      <c r="BQ77">
        <v>29</v>
      </c>
      <c r="BR77">
        <v>21</v>
      </c>
      <c r="BS77">
        <v>28</v>
      </c>
      <c r="BT77">
        <v>31</v>
      </c>
      <c r="BU77">
        <v>31</v>
      </c>
      <c r="BV77">
        <v>26</v>
      </c>
      <c r="BW77">
        <v>23</v>
      </c>
      <c r="BX77">
        <v>25</v>
      </c>
      <c r="BY77">
        <v>19</v>
      </c>
      <c r="BZ77">
        <v>18</v>
      </c>
      <c r="CA77">
        <v>16</v>
      </c>
      <c r="CB77">
        <v>11</v>
      </c>
      <c r="CC77">
        <v>14</v>
      </c>
      <c r="CD77">
        <v>13</v>
      </c>
      <c r="CE77">
        <v>9</v>
      </c>
      <c r="CF77">
        <v>12</v>
      </c>
      <c r="CG77">
        <v>9</v>
      </c>
      <c r="CH77">
        <v>13</v>
      </c>
      <c r="CI77">
        <v>12</v>
      </c>
      <c r="CJ77">
        <v>8</v>
      </c>
      <c r="CK77">
        <v>10</v>
      </c>
      <c r="CL77">
        <v>13</v>
      </c>
      <c r="CM77">
        <v>14</v>
      </c>
      <c r="CN77">
        <v>18</v>
      </c>
      <c r="CO77">
        <v>18</v>
      </c>
      <c r="CP77">
        <v>23</v>
      </c>
      <c r="CQ77">
        <v>16</v>
      </c>
      <c r="CR77">
        <v>17</v>
      </c>
      <c r="CS77">
        <v>25</v>
      </c>
      <c r="CT77">
        <v>26</v>
      </c>
      <c r="CU77">
        <v>16</v>
      </c>
      <c r="CV77">
        <v>11</v>
      </c>
      <c r="CW77">
        <v>17</v>
      </c>
      <c r="CX77">
        <v>12</v>
      </c>
      <c r="CY77">
        <v>13</v>
      </c>
      <c r="CZ77">
        <v>13</v>
      </c>
      <c r="DA77">
        <v>14</v>
      </c>
      <c r="DB77">
        <v>11</v>
      </c>
      <c r="DC77">
        <v>16</v>
      </c>
      <c r="DD77">
        <v>10</v>
      </c>
      <c r="DE77">
        <v>16</v>
      </c>
      <c r="DF77">
        <v>14</v>
      </c>
      <c r="DG77">
        <v>14</v>
      </c>
      <c r="DH77">
        <v>19</v>
      </c>
      <c r="DI77">
        <v>31</v>
      </c>
      <c r="DJ77">
        <v>28</v>
      </c>
      <c r="DK77">
        <v>19</v>
      </c>
      <c r="DL77">
        <v>29</v>
      </c>
      <c r="DM77">
        <v>23</v>
      </c>
      <c r="DN77">
        <v>17</v>
      </c>
      <c r="DO77">
        <v>21</v>
      </c>
      <c r="DP77">
        <v>18</v>
      </c>
      <c r="DQ77">
        <v>18</v>
      </c>
      <c r="DR77">
        <v>20</v>
      </c>
      <c r="DS77">
        <v>14</v>
      </c>
      <c r="DT77">
        <v>16</v>
      </c>
      <c r="DU77">
        <v>14</v>
      </c>
      <c r="DV77">
        <v>13</v>
      </c>
      <c r="DW77">
        <v>14</v>
      </c>
      <c r="DX77">
        <v>27</v>
      </c>
      <c r="DY77">
        <v>16</v>
      </c>
      <c r="DZ77">
        <v>23</v>
      </c>
      <c r="EA77">
        <v>13</v>
      </c>
      <c r="EB77">
        <v>16</v>
      </c>
      <c r="EC77">
        <v>22</v>
      </c>
      <c r="ED77">
        <v>29</v>
      </c>
      <c r="EE77">
        <v>21</v>
      </c>
      <c r="EF77">
        <v>26</v>
      </c>
      <c r="EG77">
        <v>33</v>
      </c>
      <c r="EH77">
        <v>31</v>
      </c>
      <c r="EI77">
        <v>27</v>
      </c>
      <c r="EJ77">
        <v>21</v>
      </c>
      <c r="EK77">
        <v>24</v>
      </c>
      <c r="EL77">
        <v>16</v>
      </c>
      <c r="EM77">
        <v>15</v>
      </c>
      <c r="EN77">
        <v>18</v>
      </c>
      <c r="EO77">
        <v>14</v>
      </c>
      <c r="EP77">
        <v>13</v>
      </c>
      <c r="EQ77">
        <v>18</v>
      </c>
      <c r="ER77">
        <v>15</v>
      </c>
      <c r="ES77">
        <v>18</v>
      </c>
      <c r="ET77">
        <v>33</v>
      </c>
      <c r="EU77">
        <v>31</v>
      </c>
      <c r="EV77">
        <v>13</v>
      </c>
      <c r="EW77">
        <v>14</v>
      </c>
      <c r="EX77">
        <v>13</v>
      </c>
      <c r="EY77">
        <v>15</v>
      </c>
      <c r="EZ77">
        <v>12</v>
      </c>
      <c r="FA77">
        <v>13</v>
      </c>
      <c r="FB77">
        <v>17</v>
      </c>
      <c r="FC77">
        <v>13</v>
      </c>
      <c r="FD77">
        <v>14</v>
      </c>
      <c r="FE77">
        <v>27</v>
      </c>
      <c r="FF77">
        <v>18</v>
      </c>
      <c r="FG77">
        <v>18</v>
      </c>
      <c r="FH77">
        <v>21</v>
      </c>
      <c r="FI77">
        <v>16</v>
      </c>
      <c r="FJ77">
        <v>19</v>
      </c>
      <c r="FK77">
        <v>28</v>
      </c>
      <c r="FL77">
        <v>56</v>
      </c>
      <c r="FM77">
        <v>24</v>
      </c>
      <c r="FN77">
        <v>33</v>
      </c>
      <c r="FO77">
        <v>27</v>
      </c>
      <c r="FP77">
        <v>52</v>
      </c>
      <c r="FQ77">
        <v>40</v>
      </c>
      <c r="FR77">
        <v>43</v>
      </c>
      <c r="FS77">
        <v>48</v>
      </c>
      <c r="FT77">
        <v>74</v>
      </c>
      <c r="FU77">
        <v>455</v>
      </c>
    </row>
    <row r="78" spans="8:177">
      <c r="J78">
        <v>0.4</v>
      </c>
      <c r="K78">
        <v>4</v>
      </c>
      <c r="L78">
        <v>1400</v>
      </c>
      <c r="M78">
        <v>600</v>
      </c>
      <c r="N78">
        <v>90</v>
      </c>
      <c r="O78">
        <v>200</v>
      </c>
      <c r="P78">
        <v>100000</v>
      </c>
      <c r="Q78">
        <v>8.4712144410000008</v>
      </c>
      <c r="R78">
        <v>10.87472891</v>
      </c>
      <c r="S78">
        <v>9.2170843779999991</v>
      </c>
      <c r="T78">
        <v>7.3281778759999998</v>
      </c>
      <c r="U78">
        <v>10.256610999999999</v>
      </c>
      <c r="V78">
        <v>8.2127872069999999</v>
      </c>
      <c r="W78">
        <v>6.1406575649999997</v>
      </c>
      <c r="X78">
        <v>11.20079655</v>
      </c>
      <c r="Y78">
        <v>7.2599407280000001</v>
      </c>
    </row>
    <row r="79" spans="8:177">
      <c r="J79">
        <v>169</v>
      </c>
      <c r="K79">
        <v>45</v>
      </c>
      <c r="L79">
        <v>54</v>
      </c>
      <c r="M79">
        <v>44</v>
      </c>
      <c r="N79">
        <v>43</v>
      </c>
      <c r="O79">
        <v>48</v>
      </c>
      <c r="P79">
        <v>42</v>
      </c>
      <c r="Q79">
        <v>31</v>
      </c>
      <c r="R79">
        <v>40</v>
      </c>
      <c r="S79">
        <v>60</v>
      </c>
      <c r="T79">
        <v>43</v>
      </c>
      <c r="U79">
        <v>62</v>
      </c>
      <c r="V79">
        <v>63</v>
      </c>
      <c r="W79">
        <v>59</v>
      </c>
      <c r="X79">
        <v>61</v>
      </c>
      <c r="Y79">
        <v>75</v>
      </c>
      <c r="Z79">
        <v>72</v>
      </c>
      <c r="AA79">
        <v>83</v>
      </c>
      <c r="AB79">
        <v>65</v>
      </c>
      <c r="AC79">
        <v>79</v>
      </c>
      <c r="AD79">
        <v>108</v>
      </c>
      <c r="AE79">
        <v>79</v>
      </c>
      <c r="AF79">
        <v>84</v>
      </c>
      <c r="AG79">
        <v>95</v>
      </c>
      <c r="AH79">
        <v>108</v>
      </c>
      <c r="AI79">
        <v>149</v>
      </c>
      <c r="AJ79">
        <v>81</v>
      </c>
      <c r="AK79">
        <v>58</v>
      </c>
      <c r="AL79">
        <v>84</v>
      </c>
      <c r="AM79">
        <v>69</v>
      </c>
      <c r="AN79">
        <v>68</v>
      </c>
      <c r="AO79">
        <v>88</v>
      </c>
      <c r="AP79">
        <v>50</v>
      </c>
      <c r="AQ79">
        <v>60</v>
      </c>
      <c r="AR79">
        <v>90</v>
      </c>
      <c r="AS79">
        <v>57</v>
      </c>
      <c r="AT79">
        <v>53</v>
      </c>
      <c r="AU79">
        <v>49</v>
      </c>
      <c r="AV79">
        <v>75</v>
      </c>
      <c r="AW79">
        <v>78</v>
      </c>
      <c r="AX79">
        <v>87</v>
      </c>
      <c r="AY79">
        <v>72</v>
      </c>
      <c r="AZ79">
        <v>63</v>
      </c>
      <c r="BA79">
        <v>41</v>
      </c>
      <c r="BB79">
        <v>62</v>
      </c>
      <c r="BC79">
        <v>32</v>
      </c>
      <c r="BD79">
        <v>52</v>
      </c>
      <c r="BE79">
        <v>36</v>
      </c>
      <c r="BF79">
        <v>22</v>
      </c>
      <c r="BG79">
        <v>27</v>
      </c>
      <c r="BH79">
        <v>24</v>
      </c>
      <c r="BI79">
        <v>25</v>
      </c>
      <c r="BJ79">
        <v>25</v>
      </c>
      <c r="BK79">
        <v>32</v>
      </c>
      <c r="BL79">
        <v>28</v>
      </c>
      <c r="BM79">
        <v>27</v>
      </c>
      <c r="BN79">
        <v>24</v>
      </c>
      <c r="BO79">
        <v>23</v>
      </c>
      <c r="BP79">
        <v>26</v>
      </c>
      <c r="BQ79">
        <v>25</v>
      </c>
      <c r="BR79">
        <v>24</v>
      </c>
      <c r="BS79">
        <v>50</v>
      </c>
      <c r="BT79">
        <v>38</v>
      </c>
      <c r="BU79">
        <v>40</v>
      </c>
      <c r="BV79">
        <v>52</v>
      </c>
      <c r="BW79">
        <v>49</v>
      </c>
      <c r="BX79">
        <v>78</v>
      </c>
      <c r="BY79">
        <v>100</v>
      </c>
      <c r="BZ79">
        <v>82</v>
      </c>
      <c r="CA79">
        <v>80</v>
      </c>
      <c r="CB79">
        <v>63</v>
      </c>
      <c r="CC79">
        <v>69</v>
      </c>
      <c r="CD79">
        <v>68</v>
      </c>
      <c r="CE79">
        <v>61</v>
      </c>
      <c r="CF79">
        <v>53</v>
      </c>
      <c r="CG79">
        <v>80</v>
      </c>
      <c r="CH79">
        <v>72</v>
      </c>
      <c r="CI79">
        <v>79</v>
      </c>
      <c r="CJ79">
        <v>74</v>
      </c>
      <c r="CK79">
        <v>55</v>
      </c>
      <c r="CL79">
        <v>59</v>
      </c>
      <c r="CM79">
        <v>77</v>
      </c>
      <c r="CN79">
        <v>60</v>
      </c>
      <c r="CO79">
        <v>62</v>
      </c>
      <c r="CP79">
        <v>60</v>
      </c>
      <c r="CQ79">
        <v>53</v>
      </c>
      <c r="CR79">
        <v>84</v>
      </c>
      <c r="CS79">
        <v>64</v>
      </c>
      <c r="CT79">
        <v>84</v>
      </c>
      <c r="CU79">
        <v>100</v>
      </c>
      <c r="CV79">
        <v>91</v>
      </c>
      <c r="CW79">
        <v>87</v>
      </c>
      <c r="CX79">
        <v>93</v>
      </c>
      <c r="CY79">
        <v>110</v>
      </c>
      <c r="CZ79">
        <v>90</v>
      </c>
      <c r="DA79">
        <v>71</v>
      </c>
      <c r="DB79">
        <v>77</v>
      </c>
      <c r="DC79">
        <v>77</v>
      </c>
      <c r="DD79">
        <v>64</v>
      </c>
      <c r="DE79">
        <v>72</v>
      </c>
      <c r="DF79">
        <v>157</v>
      </c>
      <c r="DG79">
        <v>133</v>
      </c>
      <c r="DH79">
        <v>72</v>
      </c>
      <c r="DI79">
        <v>74</v>
      </c>
      <c r="DJ79">
        <v>89</v>
      </c>
      <c r="DK79">
        <v>51</v>
      </c>
      <c r="DL79">
        <v>46</v>
      </c>
      <c r="DM79">
        <v>45</v>
      </c>
      <c r="DN79">
        <v>50</v>
      </c>
      <c r="DO79">
        <v>31</v>
      </c>
      <c r="DP79">
        <v>36</v>
      </c>
      <c r="DQ79">
        <v>41</v>
      </c>
      <c r="DR79">
        <v>32</v>
      </c>
      <c r="DS79">
        <v>45</v>
      </c>
      <c r="DT79">
        <v>61</v>
      </c>
      <c r="DU79">
        <v>28</v>
      </c>
      <c r="DV79">
        <v>21</v>
      </c>
      <c r="DW79">
        <v>35</v>
      </c>
      <c r="DX79">
        <v>20</v>
      </c>
      <c r="DY79">
        <v>20</v>
      </c>
      <c r="DZ79">
        <v>21</v>
      </c>
      <c r="EA79">
        <v>23</v>
      </c>
      <c r="EB79">
        <v>24</v>
      </c>
      <c r="EC79">
        <v>29</v>
      </c>
      <c r="ED79">
        <v>34</v>
      </c>
      <c r="EE79">
        <v>26</v>
      </c>
      <c r="EF79">
        <v>13</v>
      </c>
      <c r="EG79">
        <v>25</v>
      </c>
      <c r="EH79">
        <v>13</v>
      </c>
      <c r="EI79">
        <v>22</v>
      </c>
      <c r="EJ79">
        <v>17</v>
      </c>
      <c r="EK79">
        <v>17</v>
      </c>
      <c r="EL79">
        <v>18</v>
      </c>
      <c r="EM79">
        <v>15</v>
      </c>
      <c r="EN79">
        <v>19</v>
      </c>
      <c r="EO79">
        <v>22</v>
      </c>
      <c r="EP79">
        <v>15</v>
      </c>
      <c r="EQ79">
        <v>19</v>
      </c>
      <c r="ER79">
        <v>16</v>
      </c>
      <c r="ES79">
        <v>18</v>
      </c>
      <c r="ET79">
        <v>23</v>
      </c>
      <c r="EU79">
        <v>17</v>
      </c>
      <c r="EV79">
        <v>21</v>
      </c>
      <c r="EW79">
        <v>19</v>
      </c>
      <c r="EX79">
        <v>21</v>
      </c>
      <c r="EY79">
        <v>22</v>
      </c>
      <c r="EZ79">
        <v>14</v>
      </c>
      <c r="FA79">
        <v>20</v>
      </c>
      <c r="FB79">
        <v>19</v>
      </c>
      <c r="FC79">
        <v>22</v>
      </c>
      <c r="FD79">
        <v>18</v>
      </c>
      <c r="FE79">
        <v>24</v>
      </c>
      <c r="FF79">
        <v>21</v>
      </c>
      <c r="FG79">
        <v>21</v>
      </c>
      <c r="FH79">
        <v>26</v>
      </c>
      <c r="FI79">
        <v>27</v>
      </c>
      <c r="FJ79">
        <v>26</v>
      </c>
      <c r="FK79">
        <v>25</v>
      </c>
      <c r="FL79">
        <v>24</v>
      </c>
      <c r="FM79">
        <v>35</v>
      </c>
      <c r="FN79">
        <v>35</v>
      </c>
      <c r="FO79">
        <v>41</v>
      </c>
      <c r="FP79">
        <v>45</v>
      </c>
      <c r="FQ79">
        <v>48</v>
      </c>
      <c r="FR79">
        <v>60</v>
      </c>
      <c r="FS79">
        <v>62</v>
      </c>
      <c r="FT79">
        <v>123</v>
      </c>
      <c r="FU79">
        <v>360</v>
      </c>
    </row>
    <row r="80" spans="8:177">
      <c r="J80">
        <v>5</v>
      </c>
      <c r="K80">
        <v>3</v>
      </c>
      <c r="L80">
        <v>2</v>
      </c>
      <c r="M80">
        <v>8</v>
      </c>
      <c r="N80">
        <v>5</v>
      </c>
      <c r="O80">
        <v>3</v>
      </c>
      <c r="P80">
        <v>2</v>
      </c>
      <c r="Q80">
        <v>1</v>
      </c>
      <c r="R80">
        <v>1</v>
      </c>
      <c r="S80">
        <v>1</v>
      </c>
      <c r="T80">
        <v>2</v>
      </c>
      <c r="U80">
        <v>1</v>
      </c>
      <c r="V80">
        <v>7</v>
      </c>
      <c r="W80">
        <v>4</v>
      </c>
      <c r="X80">
        <v>3</v>
      </c>
      <c r="Y80">
        <v>4</v>
      </c>
      <c r="Z80">
        <v>12</v>
      </c>
      <c r="AA80">
        <v>6</v>
      </c>
      <c r="AB80">
        <v>8</v>
      </c>
      <c r="AC80">
        <v>4</v>
      </c>
      <c r="AD80">
        <v>6</v>
      </c>
      <c r="AE80">
        <v>5</v>
      </c>
      <c r="AF80">
        <v>6</v>
      </c>
      <c r="AG80">
        <v>3</v>
      </c>
      <c r="AH80">
        <v>5</v>
      </c>
      <c r="AI80">
        <v>8</v>
      </c>
      <c r="AJ80">
        <v>3</v>
      </c>
      <c r="AK80">
        <v>3</v>
      </c>
      <c r="AL80">
        <v>4</v>
      </c>
      <c r="AM80">
        <v>2</v>
      </c>
      <c r="AN80">
        <v>3</v>
      </c>
      <c r="AO80">
        <v>3</v>
      </c>
      <c r="AP80">
        <v>16</v>
      </c>
      <c r="AQ80">
        <v>207</v>
      </c>
      <c r="AR80">
        <v>48</v>
      </c>
      <c r="AS80">
        <v>25</v>
      </c>
      <c r="AT80">
        <v>13</v>
      </c>
      <c r="AU80">
        <v>21</v>
      </c>
      <c r="AV80">
        <v>24</v>
      </c>
      <c r="AW80">
        <v>17</v>
      </c>
      <c r="AX80">
        <v>21</v>
      </c>
      <c r="AY80">
        <v>26</v>
      </c>
      <c r="AZ80">
        <v>18</v>
      </c>
      <c r="BA80">
        <v>25</v>
      </c>
      <c r="BB80">
        <v>26</v>
      </c>
      <c r="BC80">
        <v>14</v>
      </c>
      <c r="BD80">
        <v>20</v>
      </c>
      <c r="BE80">
        <v>32</v>
      </c>
      <c r="BF80">
        <v>26</v>
      </c>
      <c r="BG80">
        <v>17</v>
      </c>
      <c r="BH80">
        <v>18</v>
      </c>
      <c r="BI80">
        <v>20</v>
      </c>
      <c r="BJ80">
        <v>18</v>
      </c>
      <c r="BK80">
        <v>22</v>
      </c>
      <c r="BL80">
        <v>22</v>
      </c>
      <c r="BM80">
        <v>18</v>
      </c>
      <c r="BN80">
        <v>24</v>
      </c>
      <c r="BO80">
        <v>18</v>
      </c>
      <c r="BP80">
        <v>15</v>
      </c>
      <c r="BQ80">
        <v>19</v>
      </c>
      <c r="BR80">
        <v>15</v>
      </c>
      <c r="BS80">
        <v>25</v>
      </c>
      <c r="BT80">
        <v>42</v>
      </c>
      <c r="BU80">
        <v>27</v>
      </c>
      <c r="BV80">
        <v>24</v>
      </c>
      <c r="BW80">
        <v>21</v>
      </c>
      <c r="BX80">
        <v>40</v>
      </c>
      <c r="BY80">
        <v>31</v>
      </c>
      <c r="BZ80">
        <v>22</v>
      </c>
      <c r="CA80">
        <v>27</v>
      </c>
      <c r="CB80">
        <v>22</v>
      </c>
      <c r="CC80">
        <v>16</v>
      </c>
      <c r="CD80">
        <v>20</v>
      </c>
      <c r="CE80">
        <v>17</v>
      </c>
      <c r="CF80">
        <v>18</v>
      </c>
      <c r="CG80">
        <v>22</v>
      </c>
      <c r="CH80">
        <v>18</v>
      </c>
      <c r="CI80">
        <v>16</v>
      </c>
      <c r="CJ80">
        <v>26</v>
      </c>
      <c r="CK80">
        <v>29</v>
      </c>
      <c r="CL80">
        <v>18</v>
      </c>
      <c r="CM80">
        <v>19</v>
      </c>
      <c r="CN80">
        <v>22</v>
      </c>
      <c r="CO80">
        <v>20</v>
      </c>
      <c r="CP80">
        <v>18</v>
      </c>
      <c r="CQ80">
        <v>15</v>
      </c>
      <c r="CR80">
        <v>23</v>
      </c>
      <c r="CS80">
        <v>23</v>
      </c>
      <c r="CT80">
        <v>25</v>
      </c>
      <c r="CU80">
        <v>16</v>
      </c>
      <c r="CV80">
        <v>28</v>
      </c>
      <c r="CW80">
        <v>16</v>
      </c>
      <c r="CX80">
        <v>15</v>
      </c>
      <c r="CY80">
        <v>31</v>
      </c>
      <c r="CZ80">
        <v>18</v>
      </c>
      <c r="DA80">
        <v>14</v>
      </c>
      <c r="DB80">
        <v>19</v>
      </c>
      <c r="DC80">
        <v>21</v>
      </c>
      <c r="DD80">
        <v>26</v>
      </c>
      <c r="DE80">
        <v>24</v>
      </c>
      <c r="DF80">
        <v>29</v>
      </c>
      <c r="DG80">
        <v>22</v>
      </c>
      <c r="DH80">
        <v>22</v>
      </c>
      <c r="DI80">
        <v>19</v>
      </c>
      <c r="DJ80">
        <v>33</v>
      </c>
      <c r="DK80">
        <v>43</v>
      </c>
      <c r="DL80">
        <v>23</v>
      </c>
      <c r="DM80">
        <v>28</v>
      </c>
      <c r="DN80">
        <v>16</v>
      </c>
      <c r="DO80">
        <v>22</v>
      </c>
      <c r="DP80">
        <v>18</v>
      </c>
      <c r="DQ80">
        <v>33</v>
      </c>
      <c r="DR80">
        <v>24</v>
      </c>
      <c r="DS80">
        <v>20</v>
      </c>
      <c r="DT80">
        <v>18</v>
      </c>
      <c r="DU80">
        <v>15</v>
      </c>
      <c r="DV80">
        <v>21</v>
      </c>
      <c r="DW80">
        <v>20</v>
      </c>
      <c r="DX80">
        <v>25</v>
      </c>
      <c r="DY80">
        <v>27</v>
      </c>
      <c r="DZ80">
        <v>34</v>
      </c>
      <c r="EA80">
        <v>26</v>
      </c>
      <c r="EB80">
        <v>21</v>
      </c>
      <c r="EC80">
        <v>15</v>
      </c>
      <c r="ED80">
        <v>21</v>
      </c>
      <c r="EE80">
        <v>26</v>
      </c>
      <c r="EF80">
        <v>24</v>
      </c>
      <c r="EG80">
        <v>22</v>
      </c>
      <c r="EH80">
        <v>12</v>
      </c>
      <c r="EI80">
        <v>17</v>
      </c>
      <c r="EJ80">
        <v>13</v>
      </c>
      <c r="EK80">
        <v>16</v>
      </c>
      <c r="EL80">
        <v>14</v>
      </c>
      <c r="EM80">
        <v>15</v>
      </c>
      <c r="EN80">
        <v>19</v>
      </c>
      <c r="EO80">
        <v>16</v>
      </c>
      <c r="EP80">
        <v>24</v>
      </c>
      <c r="EQ80">
        <v>47</v>
      </c>
      <c r="ER80">
        <v>24</v>
      </c>
      <c r="ES80">
        <v>20</v>
      </c>
      <c r="ET80">
        <v>12</v>
      </c>
      <c r="EU80">
        <v>18</v>
      </c>
      <c r="EV80">
        <v>16</v>
      </c>
      <c r="EW80">
        <v>19</v>
      </c>
      <c r="EX80">
        <v>17</v>
      </c>
      <c r="EY80">
        <v>17</v>
      </c>
      <c r="EZ80">
        <v>17</v>
      </c>
      <c r="FA80">
        <v>20</v>
      </c>
      <c r="FB80">
        <v>19</v>
      </c>
      <c r="FC80">
        <v>13</v>
      </c>
      <c r="FD80">
        <v>19</v>
      </c>
      <c r="FE80">
        <v>21</v>
      </c>
      <c r="FF80">
        <v>18</v>
      </c>
      <c r="FG80">
        <v>19</v>
      </c>
      <c r="FH80">
        <v>22</v>
      </c>
      <c r="FI80">
        <v>19</v>
      </c>
      <c r="FJ80">
        <v>17</v>
      </c>
      <c r="FK80">
        <v>19</v>
      </c>
      <c r="FL80">
        <v>22</v>
      </c>
      <c r="FM80">
        <v>36</v>
      </c>
      <c r="FN80">
        <v>23</v>
      </c>
      <c r="FO80">
        <v>96</v>
      </c>
      <c r="FP80">
        <v>64</v>
      </c>
      <c r="FQ80">
        <v>35</v>
      </c>
      <c r="FR80">
        <v>38</v>
      </c>
      <c r="FS80">
        <v>23</v>
      </c>
      <c r="FT80">
        <v>48</v>
      </c>
      <c r="FU80">
        <v>697</v>
      </c>
    </row>
    <row r="81" spans="8:177">
      <c r="J81">
        <v>0.4</v>
      </c>
      <c r="K81">
        <v>6</v>
      </c>
      <c r="L81">
        <v>1400</v>
      </c>
      <c r="M81">
        <v>600</v>
      </c>
      <c r="N81">
        <v>90</v>
      </c>
      <c r="O81">
        <v>200</v>
      </c>
      <c r="P81">
        <v>100000</v>
      </c>
      <c r="Q81">
        <v>8.8343673969999994</v>
      </c>
      <c r="R81">
        <v>11.84952988</v>
      </c>
      <c r="S81">
        <v>9.6441481069999995</v>
      </c>
      <c r="T81">
        <v>7.9667743250000003</v>
      </c>
      <c r="U81">
        <v>11.42411414</v>
      </c>
      <c r="V81">
        <v>8.9401357019999992</v>
      </c>
      <c r="W81">
        <v>6.4551357950000003</v>
      </c>
      <c r="X81">
        <v>9.6313642819999998</v>
      </c>
      <c r="Y81">
        <v>7.3458130449999999</v>
      </c>
    </row>
    <row r="82" spans="8:177">
      <c r="J82">
        <v>56</v>
      </c>
      <c r="K82">
        <v>31</v>
      </c>
      <c r="L82">
        <v>29</v>
      </c>
      <c r="M82">
        <v>32</v>
      </c>
      <c r="N82">
        <v>47</v>
      </c>
      <c r="O82">
        <v>44</v>
      </c>
      <c r="P82">
        <v>29</v>
      </c>
      <c r="Q82">
        <v>29</v>
      </c>
      <c r="R82">
        <v>39</v>
      </c>
      <c r="S82">
        <v>40</v>
      </c>
      <c r="T82">
        <v>45</v>
      </c>
      <c r="U82">
        <v>32</v>
      </c>
      <c r="V82">
        <v>43</v>
      </c>
      <c r="W82">
        <v>36</v>
      </c>
      <c r="X82">
        <v>46</v>
      </c>
      <c r="Y82">
        <v>36</v>
      </c>
      <c r="Z82">
        <v>56</v>
      </c>
      <c r="AA82">
        <v>57</v>
      </c>
      <c r="AB82">
        <v>61</v>
      </c>
      <c r="AC82">
        <v>63</v>
      </c>
      <c r="AD82">
        <v>71</v>
      </c>
      <c r="AE82">
        <v>70</v>
      </c>
      <c r="AF82">
        <v>45</v>
      </c>
      <c r="AG82">
        <v>84</v>
      </c>
      <c r="AH82">
        <v>88</v>
      </c>
      <c r="AI82">
        <v>85</v>
      </c>
      <c r="AJ82">
        <v>71</v>
      </c>
      <c r="AK82">
        <v>68</v>
      </c>
      <c r="AL82">
        <v>50</v>
      </c>
      <c r="AM82">
        <v>47</v>
      </c>
      <c r="AN82">
        <v>22</v>
      </c>
      <c r="AO82">
        <v>27</v>
      </c>
      <c r="AP82">
        <v>47</v>
      </c>
      <c r="AQ82">
        <v>47</v>
      </c>
      <c r="AR82">
        <v>46</v>
      </c>
      <c r="AS82">
        <v>36</v>
      </c>
      <c r="AT82">
        <v>29</v>
      </c>
      <c r="AU82">
        <v>30</v>
      </c>
      <c r="AV82">
        <v>22</v>
      </c>
      <c r="AW82">
        <v>23</v>
      </c>
      <c r="AX82">
        <v>21</v>
      </c>
      <c r="AY82">
        <v>25</v>
      </c>
      <c r="AZ82">
        <v>21</v>
      </c>
      <c r="BA82">
        <v>18</v>
      </c>
      <c r="BB82">
        <v>21</v>
      </c>
      <c r="BC82">
        <v>20</v>
      </c>
      <c r="BD82">
        <v>23</v>
      </c>
      <c r="BE82">
        <v>19</v>
      </c>
      <c r="BF82">
        <v>21</v>
      </c>
      <c r="BG82">
        <v>21</v>
      </c>
      <c r="BH82">
        <v>37</v>
      </c>
      <c r="BI82">
        <v>48</v>
      </c>
      <c r="BJ82">
        <v>59</v>
      </c>
      <c r="BK82">
        <v>57</v>
      </c>
      <c r="BL82">
        <v>70</v>
      </c>
      <c r="BM82">
        <v>59</v>
      </c>
      <c r="BN82">
        <v>60</v>
      </c>
      <c r="BO82">
        <v>73</v>
      </c>
      <c r="BP82">
        <v>81</v>
      </c>
      <c r="BQ82">
        <v>83</v>
      </c>
      <c r="BR82">
        <v>75</v>
      </c>
      <c r="BS82">
        <v>79</v>
      </c>
      <c r="BT82">
        <v>95</v>
      </c>
      <c r="BU82">
        <v>72</v>
      </c>
      <c r="BV82">
        <v>96</v>
      </c>
      <c r="BW82">
        <v>123</v>
      </c>
      <c r="BX82">
        <v>254</v>
      </c>
      <c r="BY82">
        <v>310</v>
      </c>
      <c r="BZ82">
        <v>130</v>
      </c>
      <c r="CA82">
        <v>105</v>
      </c>
      <c r="CB82">
        <v>78</v>
      </c>
      <c r="CC82">
        <v>99</v>
      </c>
      <c r="CD82">
        <v>114</v>
      </c>
      <c r="CE82">
        <v>148</v>
      </c>
      <c r="CF82">
        <v>96</v>
      </c>
      <c r="CG82">
        <v>115</v>
      </c>
      <c r="CH82">
        <v>94</v>
      </c>
      <c r="CI82">
        <v>134</v>
      </c>
      <c r="CJ82">
        <v>114</v>
      </c>
      <c r="CK82">
        <v>115</v>
      </c>
      <c r="CL82">
        <v>101</v>
      </c>
      <c r="CM82">
        <v>102</v>
      </c>
      <c r="CN82">
        <v>111</v>
      </c>
      <c r="CO82">
        <v>82</v>
      </c>
      <c r="CP82">
        <v>78</v>
      </c>
      <c r="CQ82">
        <v>99</v>
      </c>
      <c r="CR82">
        <v>48</v>
      </c>
      <c r="CS82">
        <v>41</v>
      </c>
      <c r="CT82">
        <v>62</v>
      </c>
      <c r="CU82">
        <v>55</v>
      </c>
      <c r="CV82">
        <v>71</v>
      </c>
      <c r="CW82">
        <v>41</v>
      </c>
      <c r="CX82">
        <v>45</v>
      </c>
      <c r="CY82">
        <v>42</v>
      </c>
      <c r="CZ82">
        <v>48</v>
      </c>
      <c r="DA82">
        <v>53</v>
      </c>
      <c r="DB82">
        <v>63</v>
      </c>
      <c r="DC82">
        <v>81</v>
      </c>
      <c r="DD82">
        <v>64</v>
      </c>
      <c r="DE82">
        <v>46</v>
      </c>
      <c r="DF82">
        <v>66</v>
      </c>
      <c r="DG82">
        <v>47</v>
      </c>
      <c r="DH82">
        <v>45</v>
      </c>
      <c r="DI82">
        <v>37</v>
      </c>
      <c r="DJ82">
        <v>49</v>
      </c>
      <c r="DK82">
        <v>44</v>
      </c>
      <c r="DL82">
        <v>36</v>
      </c>
      <c r="DM82">
        <v>37</v>
      </c>
      <c r="DN82">
        <v>59</v>
      </c>
      <c r="DO82">
        <v>60</v>
      </c>
      <c r="DP82">
        <v>41</v>
      </c>
      <c r="DQ82">
        <v>24</v>
      </c>
      <c r="DR82">
        <v>27</v>
      </c>
      <c r="DS82">
        <v>31</v>
      </c>
      <c r="DT82">
        <v>30</v>
      </c>
      <c r="DU82">
        <v>34</v>
      </c>
      <c r="DV82">
        <v>21</v>
      </c>
      <c r="DW82">
        <v>27</v>
      </c>
      <c r="DX82">
        <v>12</v>
      </c>
      <c r="DY82">
        <v>31</v>
      </c>
      <c r="DZ82">
        <v>18</v>
      </c>
      <c r="EA82">
        <v>21</v>
      </c>
      <c r="EB82">
        <v>21</v>
      </c>
      <c r="EC82">
        <v>22</v>
      </c>
      <c r="ED82">
        <v>22</v>
      </c>
      <c r="EE82">
        <v>19</v>
      </c>
      <c r="EF82">
        <v>21</v>
      </c>
      <c r="EG82">
        <v>20</v>
      </c>
      <c r="EH82">
        <v>23</v>
      </c>
      <c r="EI82">
        <v>21</v>
      </c>
      <c r="EJ82">
        <v>24</v>
      </c>
      <c r="EK82">
        <v>30</v>
      </c>
      <c r="EL82">
        <v>30</v>
      </c>
      <c r="EM82">
        <v>34</v>
      </c>
      <c r="EN82">
        <v>21</v>
      </c>
      <c r="EO82">
        <v>18</v>
      </c>
      <c r="EP82">
        <v>25</v>
      </c>
      <c r="EQ82">
        <v>22</v>
      </c>
      <c r="ER82">
        <v>24</v>
      </c>
      <c r="ES82">
        <v>22</v>
      </c>
      <c r="ET82">
        <v>21</v>
      </c>
      <c r="EU82">
        <v>26</v>
      </c>
      <c r="EV82">
        <v>22</v>
      </c>
      <c r="EW82">
        <v>27</v>
      </c>
      <c r="EX82">
        <v>19</v>
      </c>
      <c r="EY82">
        <v>28</v>
      </c>
      <c r="EZ82">
        <v>23</v>
      </c>
      <c r="FA82">
        <v>22</v>
      </c>
      <c r="FB82">
        <v>25</v>
      </c>
      <c r="FC82">
        <v>23</v>
      </c>
      <c r="FD82">
        <v>21</v>
      </c>
      <c r="FE82">
        <v>26</v>
      </c>
      <c r="FF82">
        <v>25</v>
      </c>
      <c r="FG82">
        <v>26</v>
      </c>
      <c r="FH82">
        <v>27</v>
      </c>
      <c r="FI82">
        <v>26</v>
      </c>
      <c r="FJ82">
        <v>35</v>
      </c>
      <c r="FK82">
        <v>35</v>
      </c>
      <c r="FL82">
        <v>31</v>
      </c>
      <c r="FM82">
        <v>26</v>
      </c>
      <c r="FN82">
        <v>34</v>
      </c>
      <c r="FO82">
        <v>43</v>
      </c>
      <c r="FP82">
        <v>47</v>
      </c>
      <c r="FQ82">
        <v>40</v>
      </c>
      <c r="FR82">
        <v>62</v>
      </c>
      <c r="FS82">
        <v>77</v>
      </c>
      <c r="FT82">
        <v>118</v>
      </c>
      <c r="FU82">
        <v>247</v>
      </c>
    </row>
    <row r="83" spans="8:177">
      <c r="J83">
        <v>17</v>
      </c>
      <c r="K83">
        <v>13</v>
      </c>
      <c r="L83">
        <v>8</v>
      </c>
      <c r="M83">
        <v>6</v>
      </c>
      <c r="N83">
        <v>8</v>
      </c>
      <c r="O83">
        <v>6</v>
      </c>
      <c r="P83">
        <v>15</v>
      </c>
      <c r="Q83">
        <v>11</v>
      </c>
      <c r="R83">
        <v>8</v>
      </c>
      <c r="S83">
        <v>6</v>
      </c>
      <c r="T83">
        <v>7</v>
      </c>
      <c r="U83">
        <v>6</v>
      </c>
      <c r="V83">
        <v>5</v>
      </c>
      <c r="W83">
        <v>2</v>
      </c>
      <c r="X83">
        <v>7</v>
      </c>
      <c r="Y83">
        <v>3</v>
      </c>
      <c r="Z83">
        <v>7</v>
      </c>
      <c r="AA83">
        <v>8</v>
      </c>
      <c r="AB83">
        <v>4</v>
      </c>
      <c r="AC83">
        <v>5</v>
      </c>
      <c r="AD83">
        <v>7</v>
      </c>
      <c r="AE83">
        <v>3</v>
      </c>
      <c r="AF83">
        <v>6</v>
      </c>
      <c r="AG83">
        <v>14</v>
      </c>
      <c r="AH83">
        <v>7</v>
      </c>
      <c r="AI83">
        <v>9</v>
      </c>
      <c r="AJ83">
        <v>8</v>
      </c>
      <c r="AK83">
        <v>5</v>
      </c>
      <c r="AL83">
        <v>5</v>
      </c>
      <c r="AM83">
        <v>5</v>
      </c>
      <c r="AN83">
        <v>6</v>
      </c>
      <c r="AO83">
        <v>14</v>
      </c>
      <c r="AP83">
        <v>7</v>
      </c>
      <c r="AQ83">
        <v>8</v>
      </c>
      <c r="AR83">
        <v>7</v>
      </c>
      <c r="AS83">
        <v>8</v>
      </c>
      <c r="AT83">
        <v>15</v>
      </c>
      <c r="AU83">
        <v>19</v>
      </c>
      <c r="AV83">
        <v>19</v>
      </c>
      <c r="AW83">
        <v>27</v>
      </c>
      <c r="AX83">
        <v>16</v>
      </c>
      <c r="AY83">
        <v>12</v>
      </c>
      <c r="AZ83">
        <v>7</v>
      </c>
      <c r="BA83">
        <v>11</v>
      </c>
      <c r="BB83">
        <v>13</v>
      </c>
      <c r="BC83">
        <v>10</v>
      </c>
      <c r="BD83">
        <v>8</v>
      </c>
      <c r="BE83">
        <v>9</v>
      </c>
      <c r="BF83">
        <v>9</v>
      </c>
      <c r="BG83">
        <v>10</v>
      </c>
      <c r="BH83">
        <v>11</v>
      </c>
      <c r="BI83">
        <v>10</v>
      </c>
      <c r="BJ83">
        <v>14</v>
      </c>
      <c r="BK83">
        <v>9</v>
      </c>
      <c r="BL83">
        <v>8</v>
      </c>
      <c r="BM83">
        <v>7</v>
      </c>
      <c r="BN83">
        <v>14</v>
      </c>
      <c r="BO83">
        <v>8</v>
      </c>
      <c r="BP83">
        <v>22</v>
      </c>
      <c r="BQ83">
        <v>30</v>
      </c>
      <c r="BR83">
        <v>23</v>
      </c>
      <c r="BS83">
        <v>18</v>
      </c>
      <c r="BT83">
        <v>24</v>
      </c>
      <c r="BU83">
        <v>14</v>
      </c>
      <c r="BV83">
        <v>22</v>
      </c>
      <c r="BW83">
        <v>15</v>
      </c>
      <c r="BX83">
        <v>14</v>
      </c>
      <c r="BY83">
        <v>13</v>
      </c>
      <c r="BZ83">
        <v>14</v>
      </c>
      <c r="CA83">
        <v>17</v>
      </c>
      <c r="CB83">
        <v>12</v>
      </c>
      <c r="CC83">
        <v>20</v>
      </c>
      <c r="CD83">
        <v>24</v>
      </c>
      <c r="CE83">
        <v>26</v>
      </c>
      <c r="CF83">
        <v>26</v>
      </c>
      <c r="CG83">
        <v>49</v>
      </c>
      <c r="CH83">
        <v>33</v>
      </c>
      <c r="CI83">
        <v>25</v>
      </c>
      <c r="CJ83">
        <v>37</v>
      </c>
      <c r="CK83">
        <v>23</v>
      </c>
      <c r="CL83">
        <v>13</v>
      </c>
      <c r="CM83">
        <v>15</v>
      </c>
      <c r="CN83">
        <v>12</v>
      </c>
      <c r="CO83">
        <v>28</v>
      </c>
      <c r="CP83">
        <v>22</v>
      </c>
      <c r="CQ83">
        <v>27</v>
      </c>
      <c r="CR83">
        <v>19</v>
      </c>
      <c r="CS83">
        <v>14</v>
      </c>
      <c r="CT83">
        <v>14</v>
      </c>
      <c r="CU83">
        <v>10</v>
      </c>
      <c r="CV83">
        <v>14</v>
      </c>
      <c r="CW83">
        <v>10</v>
      </c>
      <c r="CX83">
        <v>18</v>
      </c>
      <c r="CY83">
        <v>11</v>
      </c>
      <c r="CZ83">
        <v>9</v>
      </c>
      <c r="DA83">
        <v>8</v>
      </c>
      <c r="DB83">
        <v>8</v>
      </c>
      <c r="DC83">
        <v>10</v>
      </c>
      <c r="DD83">
        <v>9</v>
      </c>
      <c r="DE83">
        <v>10</v>
      </c>
      <c r="DF83">
        <v>8</v>
      </c>
      <c r="DG83">
        <v>13</v>
      </c>
      <c r="DH83">
        <v>12</v>
      </c>
      <c r="DI83">
        <v>6</v>
      </c>
      <c r="DJ83">
        <v>22</v>
      </c>
      <c r="DK83">
        <v>16</v>
      </c>
      <c r="DL83">
        <v>17</v>
      </c>
      <c r="DM83">
        <v>16</v>
      </c>
      <c r="DN83">
        <v>14</v>
      </c>
      <c r="DO83">
        <v>16</v>
      </c>
      <c r="DP83">
        <v>25</v>
      </c>
      <c r="DQ83">
        <v>20</v>
      </c>
      <c r="DR83">
        <v>21</v>
      </c>
      <c r="DS83">
        <v>19</v>
      </c>
      <c r="DT83">
        <v>18</v>
      </c>
      <c r="DU83">
        <v>17</v>
      </c>
      <c r="DV83">
        <v>17</v>
      </c>
      <c r="DW83">
        <v>24</v>
      </c>
      <c r="DX83">
        <v>24</v>
      </c>
      <c r="DY83">
        <v>16</v>
      </c>
      <c r="DZ83">
        <v>13</v>
      </c>
      <c r="EA83">
        <v>19</v>
      </c>
      <c r="EB83">
        <v>14</v>
      </c>
      <c r="EC83">
        <v>15</v>
      </c>
      <c r="ED83">
        <v>15</v>
      </c>
      <c r="EE83">
        <v>16</v>
      </c>
      <c r="EF83">
        <v>18</v>
      </c>
      <c r="EG83">
        <v>18</v>
      </c>
      <c r="EH83">
        <v>15</v>
      </c>
      <c r="EI83">
        <v>16</v>
      </c>
      <c r="EJ83">
        <v>17</v>
      </c>
      <c r="EK83">
        <v>26</v>
      </c>
      <c r="EL83">
        <v>18</v>
      </c>
      <c r="EM83">
        <v>15</v>
      </c>
      <c r="EN83">
        <v>16</v>
      </c>
      <c r="EO83">
        <v>16</v>
      </c>
      <c r="EP83">
        <v>15</v>
      </c>
      <c r="EQ83">
        <v>23</v>
      </c>
      <c r="ER83">
        <v>20</v>
      </c>
      <c r="ES83">
        <v>14</v>
      </c>
      <c r="ET83">
        <v>23</v>
      </c>
      <c r="EU83">
        <v>22</v>
      </c>
      <c r="EV83">
        <v>15</v>
      </c>
      <c r="EW83">
        <v>17</v>
      </c>
      <c r="EX83">
        <v>21</v>
      </c>
      <c r="EY83">
        <v>18</v>
      </c>
      <c r="EZ83">
        <v>15</v>
      </c>
      <c r="FA83">
        <v>17</v>
      </c>
      <c r="FB83">
        <v>31</v>
      </c>
      <c r="FC83">
        <v>28</v>
      </c>
      <c r="FD83">
        <v>18</v>
      </c>
      <c r="FE83">
        <v>28</v>
      </c>
      <c r="FF83">
        <v>19</v>
      </c>
      <c r="FG83">
        <v>21</v>
      </c>
      <c r="FH83">
        <v>19</v>
      </c>
      <c r="FI83">
        <v>34</v>
      </c>
      <c r="FJ83">
        <v>40</v>
      </c>
      <c r="FK83">
        <v>42</v>
      </c>
      <c r="FL83">
        <v>35</v>
      </c>
      <c r="FM83">
        <v>31</v>
      </c>
      <c r="FN83">
        <v>31</v>
      </c>
      <c r="FO83">
        <v>26</v>
      </c>
      <c r="FP83">
        <v>39</v>
      </c>
      <c r="FQ83">
        <v>24</v>
      </c>
      <c r="FR83">
        <v>28</v>
      </c>
      <c r="FS83">
        <v>24</v>
      </c>
      <c r="FT83">
        <v>58</v>
      </c>
      <c r="FU83">
        <v>566</v>
      </c>
    </row>
    <row r="84" spans="8:177">
      <c r="J84">
        <v>0.4</v>
      </c>
      <c r="K84">
        <v>2</v>
      </c>
      <c r="L84">
        <v>1400</v>
      </c>
      <c r="M84">
        <v>600</v>
      </c>
      <c r="N84">
        <v>90</v>
      </c>
      <c r="O84">
        <v>200</v>
      </c>
      <c r="P84">
        <v>100000</v>
      </c>
      <c r="Q84">
        <v>7.7741341310000003</v>
      </c>
      <c r="R84">
        <v>13.179407250000001</v>
      </c>
      <c r="S84">
        <v>8.9439886860000009</v>
      </c>
      <c r="T84">
        <v>6.7116493650000004</v>
      </c>
      <c r="U84">
        <v>12.309038320000001</v>
      </c>
      <c r="V84">
        <v>7.878237725</v>
      </c>
      <c r="W84">
        <v>5.9903802229999998</v>
      </c>
      <c r="X84">
        <v>11.653047190000001</v>
      </c>
      <c r="Y84">
        <v>7.2705024680000001</v>
      </c>
    </row>
    <row r="85" spans="8:177">
      <c r="J85">
        <v>185</v>
      </c>
      <c r="K85">
        <v>121</v>
      </c>
      <c r="L85">
        <v>84</v>
      </c>
      <c r="M85">
        <v>84</v>
      </c>
      <c r="N85">
        <v>81</v>
      </c>
      <c r="O85">
        <v>75</v>
      </c>
      <c r="P85">
        <v>69</v>
      </c>
      <c r="Q85">
        <v>54</v>
      </c>
      <c r="R85">
        <v>77</v>
      </c>
      <c r="S85">
        <v>77</v>
      </c>
      <c r="T85">
        <v>84</v>
      </c>
      <c r="U85">
        <v>75</v>
      </c>
      <c r="V85">
        <v>101</v>
      </c>
      <c r="W85">
        <v>86</v>
      </c>
      <c r="X85">
        <v>79</v>
      </c>
      <c r="Y85">
        <v>103</v>
      </c>
      <c r="Z85">
        <v>96</v>
      </c>
      <c r="AA85">
        <v>113</v>
      </c>
      <c r="AB85">
        <v>113</v>
      </c>
      <c r="AC85">
        <v>124</v>
      </c>
      <c r="AD85">
        <v>102</v>
      </c>
      <c r="AE85">
        <v>109</v>
      </c>
      <c r="AF85">
        <v>97</v>
      </c>
      <c r="AG85">
        <v>121</v>
      </c>
      <c r="AH85">
        <v>76</v>
      </c>
      <c r="AI85">
        <v>111</v>
      </c>
      <c r="AJ85">
        <v>89</v>
      </c>
      <c r="AK85">
        <v>96</v>
      </c>
      <c r="AL85">
        <v>69</v>
      </c>
      <c r="AM85">
        <v>78</v>
      </c>
      <c r="AN85">
        <v>91</v>
      </c>
      <c r="AO85">
        <v>72</v>
      </c>
      <c r="AP85">
        <v>40</v>
      </c>
      <c r="AQ85">
        <v>67</v>
      </c>
      <c r="AR85">
        <v>46</v>
      </c>
      <c r="AS85">
        <v>44</v>
      </c>
      <c r="AT85">
        <v>50</v>
      </c>
      <c r="AU85">
        <v>60</v>
      </c>
      <c r="AV85">
        <v>59</v>
      </c>
      <c r="AW85">
        <v>57</v>
      </c>
      <c r="AX85">
        <v>56</v>
      </c>
      <c r="AY85">
        <v>57</v>
      </c>
      <c r="AZ85">
        <v>64</v>
      </c>
      <c r="BA85">
        <v>51</v>
      </c>
      <c r="BB85">
        <v>49</v>
      </c>
      <c r="BC85">
        <v>47</v>
      </c>
      <c r="BD85">
        <v>38</v>
      </c>
      <c r="BE85">
        <v>49</v>
      </c>
      <c r="BF85">
        <v>45</v>
      </c>
      <c r="BG85">
        <v>49</v>
      </c>
      <c r="BH85">
        <v>57</v>
      </c>
      <c r="BI85">
        <v>42</v>
      </c>
      <c r="BJ85">
        <v>121</v>
      </c>
      <c r="BK85">
        <v>60</v>
      </c>
      <c r="BL85">
        <v>59</v>
      </c>
      <c r="BM85">
        <v>74</v>
      </c>
      <c r="BN85">
        <v>69</v>
      </c>
      <c r="BO85">
        <v>78</v>
      </c>
      <c r="BP85">
        <v>80</v>
      </c>
      <c r="BQ85">
        <v>83</v>
      </c>
      <c r="BR85">
        <v>78</v>
      </c>
      <c r="BS85">
        <v>64</v>
      </c>
      <c r="BT85">
        <v>80</v>
      </c>
      <c r="BU85">
        <v>64</v>
      </c>
      <c r="BV85">
        <v>80</v>
      </c>
      <c r="BW85">
        <v>138</v>
      </c>
      <c r="BX85">
        <v>154</v>
      </c>
      <c r="BY85">
        <v>176</v>
      </c>
      <c r="BZ85">
        <v>141</v>
      </c>
      <c r="CA85">
        <v>144</v>
      </c>
      <c r="CB85">
        <v>102</v>
      </c>
      <c r="CC85">
        <v>72</v>
      </c>
      <c r="CD85">
        <v>82</v>
      </c>
      <c r="CE85">
        <v>71</v>
      </c>
      <c r="CF85">
        <v>135</v>
      </c>
      <c r="CG85">
        <v>92</v>
      </c>
      <c r="CH85">
        <v>87</v>
      </c>
      <c r="CI85">
        <v>173</v>
      </c>
      <c r="CJ85">
        <v>93</v>
      </c>
      <c r="CK85">
        <v>78</v>
      </c>
      <c r="CL85">
        <v>76</v>
      </c>
      <c r="CM85">
        <v>122</v>
      </c>
      <c r="CN85">
        <v>52</v>
      </c>
      <c r="CO85">
        <v>71</v>
      </c>
      <c r="CP85">
        <v>75</v>
      </c>
      <c r="CQ85">
        <v>88</v>
      </c>
      <c r="CR85">
        <v>89</v>
      </c>
      <c r="CS85">
        <v>56</v>
      </c>
      <c r="CT85">
        <v>82</v>
      </c>
      <c r="CU85">
        <v>77</v>
      </c>
      <c r="CV85">
        <v>56</v>
      </c>
      <c r="CW85">
        <v>59</v>
      </c>
      <c r="CX85">
        <v>66</v>
      </c>
      <c r="CY85">
        <v>61</v>
      </c>
      <c r="CZ85">
        <v>57</v>
      </c>
      <c r="DA85">
        <v>68</v>
      </c>
      <c r="DB85">
        <v>74</v>
      </c>
      <c r="DC85">
        <v>78</v>
      </c>
      <c r="DD85">
        <v>71</v>
      </c>
      <c r="DE85">
        <v>60</v>
      </c>
      <c r="DF85">
        <v>38</v>
      </c>
      <c r="DG85">
        <v>53</v>
      </c>
      <c r="DH85">
        <v>31</v>
      </c>
      <c r="DI85">
        <v>35</v>
      </c>
      <c r="DJ85">
        <v>33</v>
      </c>
      <c r="DK85">
        <v>24</v>
      </c>
      <c r="DL85">
        <v>33</v>
      </c>
      <c r="DM85">
        <v>36</v>
      </c>
      <c r="DN85">
        <v>48</v>
      </c>
      <c r="DO85">
        <v>32</v>
      </c>
      <c r="DP85">
        <v>28</v>
      </c>
      <c r="DQ85">
        <v>36</v>
      </c>
      <c r="DR85">
        <v>40</v>
      </c>
      <c r="DS85">
        <v>21</v>
      </c>
      <c r="DT85">
        <v>31</v>
      </c>
      <c r="DU85">
        <v>12</v>
      </c>
      <c r="DV85">
        <v>29</v>
      </c>
      <c r="DW85">
        <v>20</v>
      </c>
      <c r="DX85">
        <v>27</v>
      </c>
      <c r="DY85">
        <v>28</v>
      </c>
      <c r="DZ85">
        <v>21</v>
      </c>
      <c r="EA85">
        <v>17</v>
      </c>
      <c r="EB85">
        <v>18</v>
      </c>
      <c r="EC85">
        <v>15</v>
      </c>
      <c r="ED85">
        <v>17</v>
      </c>
      <c r="EE85">
        <v>19</v>
      </c>
      <c r="EF85">
        <v>20</v>
      </c>
      <c r="EG85">
        <v>17</v>
      </c>
      <c r="EH85">
        <v>24</v>
      </c>
      <c r="EI85">
        <v>19</v>
      </c>
      <c r="EJ85">
        <v>17</v>
      </c>
      <c r="EK85">
        <v>27</v>
      </c>
      <c r="EL85">
        <v>21</v>
      </c>
      <c r="EM85">
        <v>22</v>
      </c>
      <c r="EN85">
        <v>21</v>
      </c>
      <c r="EO85">
        <v>16</v>
      </c>
      <c r="EP85">
        <v>15</v>
      </c>
      <c r="EQ85">
        <v>21</v>
      </c>
      <c r="ER85">
        <v>20</v>
      </c>
      <c r="ES85">
        <v>16</v>
      </c>
      <c r="ET85">
        <v>19</v>
      </c>
      <c r="EU85">
        <v>17</v>
      </c>
      <c r="EV85">
        <v>17</v>
      </c>
      <c r="EW85">
        <v>19</v>
      </c>
      <c r="EX85">
        <v>21</v>
      </c>
      <c r="EY85">
        <v>17</v>
      </c>
      <c r="EZ85">
        <v>21</v>
      </c>
      <c r="FA85">
        <v>20</v>
      </c>
      <c r="FB85">
        <v>23</v>
      </c>
      <c r="FC85">
        <v>25</v>
      </c>
      <c r="FD85">
        <v>18</v>
      </c>
      <c r="FE85">
        <v>25</v>
      </c>
      <c r="FF85">
        <v>25</v>
      </c>
      <c r="FG85">
        <v>26</v>
      </c>
      <c r="FH85">
        <v>24</v>
      </c>
      <c r="FI85">
        <v>23</v>
      </c>
      <c r="FJ85">
        <v>21</v>
      </c>
      <c r="FK85">
        <v>25</v>
      </c>
      <c r="FL85">
        <v>25</v>
      </c>
      <c r="FM85">
        <v>36</v>
      </c>
      <c r="FN85">
        <v>34</v>
      </c>
      <c r="FO85">
        <v>37</v>
      </c>
      <c r="FP85">
        <v>51</v>
      </c>
      <c r="FQ85">
        <v>42</v>
      </c>
      <c r="FR85">
        <v>59</v>
      </c>
      <c r="FS85">
        <v>71</v>
      </c>
      <c r="FT85">
        <v>153</v>
      </c>
      <c r="FU85">
        <v>240</v>
      </c>
    </row>
    <row r="86" spans="8:177"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</v>
      </c>
      <c r="AJ86">
        <v>10</v>
      </c>
      <c r="AK86">
        <v>4</v>
      </c>
      <c r="AL86">
        <v>3</v>
      </c>
      <c r="AM86">
        <v>2</v>
      </c>
      <c r="AN86">
        <v>3</v>
      </c>
      <c r="AO86">
        <v>3</v>
      </c>
      <c r="AP86">
        <v>3</v>
      </c>
      <c r="AQ86">
        <v>3</v>
      </c>
      <c r="AR86">
        <v>2</v>
      </c>
      <c r="AS86">
        <v>2</v>
      </c>
      <c r="AT86">
        <v>1</v>
      </c>
      <c r="AU86">
        <v>2</v>
      </c>
      <c r="AV86">
        <v>2</v>
      </c>
      <c r="AW86">
        <v>2</v>
      </c>
      <c r="AX86">
        <v>2</v>
      </c>
      <c r="AY86">
        <v>1</v>
      </c>
      <c r="AZ86">
        <v>11</v>
      </c>
      <c r="BA86">
        <v>11</v>
      </c>
      <c r="BB86">
        <v>7</v>
      </c>
      <c r="BC86">
        <v>14</v>
      </c>
      <c r="BD86">
        <v>15</v>
      </c>
      <c r="BE86">
        <v>11</v>
      </c>
      <c r="BF86">
        <v>8</v>
      </c>
      <c r="BG86">
        <v>9</v>
      </c>
      <c r="BH86">
        <v>11</v>
      </c>
      <c r="BI86">
        <v>12</v>
      </c>
      <c r="BJ86">
        <v>9</v>
      </c>
      <c r="BK86">
        <v>10</v>
      </c>
      <c r="BL86">
        <v>13</v>
      </c>
      <c r="BM86">
        <v>6</v>
      </c>
      <c r="BN86">
        <v>6</v>
      </c>
      <c r="BO86">
        <v>6</v>
      </c>
      <c r="BP86">
        <v>6</v>
      </c>
      <c r="BQ86">
        <v>6</v>
      </c>
      <c r="BR86">
        <v>8</v>
      </c>
      <c r="BS86">
        <v>15</v>
      </c>
      <c r="BT86">
        <v>20</v>
      </c>
      <c r="BU86">
        <v>22</v>
      </c>
      <c r="BV86">
        <v>23</v>
      </c>
      <c r="BW86">
        <v>17</v>
      </c>
      <c r="BX86">
        <v>14</v>
      </c>
      <c r="BY86">
        <v>22</v>
      </c>
      <c r="BZ86">
        <v>27</v>
      </c>
      <c r="CA86">
        <v>13</v>
      </c>
      <c r="CB86">
        <v>10</v>
      </c>
      <c r="CC86">
        <v>14</v>
      </c>
      <c r="CD86">
        <v>12</v>
      </c>
      <c r="CE86">
        <v>19</v>
      </c>
      <c r="CF86">
        <v>16</v>
      </c>
      <c r="CG86">
        <v>16</v>
      </c>
      <c r="CH86">
        <v>16</v>
      </c>
      <c r="CI86">
        <v>25</v>
      </c>
      <c r="CJ86">
        <v>28</v>
      </c>
      <c r="CK86">
        <v>24</v>
      </c>
      <c r="CL86">
        <v>23</v>
      </c>
      <c r="CM86">
        <v>27</v>
      </c>
      <c r="CN86">
        <v>28</v>
      </c>
      <c r="CO86">
        <v>14</v>
      </c>
      <c r="CP86">
        <v>16</v>
      </c>
      <c r="CQ86">
        <v>11</v>
      </c>
      <c r="CR86">
        <v>11</v>
      </c>
      <c r="CS86">
        <v>13</v>
      </c>
      <c r="CT86">
        <v>10</v>
      </c>
      <c r="CU86">
        <v>10</v>
      </c>
      <c r="CV86">
        <v>11</v>
      </c>
      <c r="CW86">
        <v>10</v>
      </c>
      <c r="CX86">
        <v>9</v>
      </c>
      <c r="CY86">
        <v>14</v>
      </c>
      <c r="CZ86">
        <v>11</v>
      </c>
      <c r="DA86">
        <v>11</v>
      </c>
      <c r="DB86">
        <v>12</v>
      </c>
      <c r="DC86">
        <v>7</v>
      </c>
      <c r="DD86">
        <v>10</v>
      </c>
      <c r="DE86">
        <v>8</v>
      </c>
      <c r="DF86">
        <v>9</v>
      </c>
      <c r="DG86">
        <v>12</v>
      </c>
      <c r="DH86">
        <v>6</v>
      </c>
      <c r="DI86">
        <v>11</v>
      </c>
      <c r="DJ86">
        <v>12</v>
      </c>
      <c r="DK86">
        <v>16</v>
      </c>
      <c r="DL86">
        <v>17</v>
      </c>
      <c r="DM86">
        <v>15</v>
      </c>
      <c r="DN86">
        <v>9</v>
      </c>
      <c r="DO86">
        <v>12</v>
      </c>
      <c r="DP86">
        <v>18</v>
      </c>
      <c r="DQ86">
        <v>14</v>
      </c>
      <c r="DR86">
        <v>12</v>
      </c>
      <c r="DS86">
        <v>8</v>
      </c>
      <c r="DT86">
        <v>12</v>
      </c>
      <c r="DU86">
        <v>11</v>
      </c>
      <c r="DV86">
        <v>16</v>
      </c>
      <c r="DW86">
        <v>13</v>
      </c>
      <c r="DX86">
        <v>17</v>
      </c>
      <c r="DY86">
        <v>15</v>
      </c>
      <c r="DZ86">
        <v>26</v>
      </c>
      <c r="EA86">
        <v>12</v>
      </c>
      <c r="EB86">
        <v>17</v>
      </c>
      <c r="EC86">
        <v>19</v>
      </c>
      <c r="ED86">
        <v>23</v>
      </c>
      <c r="EE86">
        <v>18</v>
      </c>
      <c r="EF86">
        <v>14</v>
      </c>
      <c r="EG86">
        <v>12</v>
      </c>
      <c r="EH86">
        <v>16</v>
      </c>
      <c r="EI86">
        <v>13</v>
      </c>
      <c r="EJ86">
        <v>15</v>
      </c>
      <c r="EK86">
        <v>18</v>
      </c>
      <c r="EL86">
        <v>15</v>
      </c>
      <c r="EM86">
        <v>17</v>
      </c>
      <c r="EN86">
        <v>20</v>
      </c>
      <c r="EO86">
        <v>18</v>
      </c>
      <c r="EP86">
        <v>18</v>
      </c>
      <c r="EQ86">
        <v>18</v>
      </c>
      <c r="ER86">
        <v>17</v>
      </c>
      <c r="ES86">
        <v>15</v>
      </c>
      <c r="ET86">
        <v>24</v>
      </c>
      <c r="EU86">
        <v>17</v>
      </c>
      <c r="EV86">
        <v>20</v>
      </c>
      <c r="EW86">
        <v>20</v>
      </c>
      <c r="EX86">
        <v>16</v>
      </c>
      <c r="EY86">
        <v>24</v>
      </c>
      <c r="EZ86">
        <v>19</v>
      </c>
      <c r="FA86">
        <v>43</v>
      </c>
      <c r="FB86">
        <v>33</v>
      </c>
      <c r="FC86">
        <v>27</v>
      </c>
      <c r="FD86">
        <v>21</v>
      </c>
      <c r="FE86">
        <v>19</v>
      </c>
      <c r="FF86">
        <v>23</v>
      </c>
      <c r="FG86">
        <v>29</v>
      </c>
      <c r="FH86">
        <v>21</v>
      </c>
      <c r="FI86">
        <v>21</v>
      </c>
      <c r="FJ86">
        <v>24</v>
      </c>
      <c r="FK86">
        <v>13</v>
      </c>
      <c r="FL86">
        <v>32</v>
      </c>
      <c r="FM86">
        <v>19</v>
      </c>
      <c r="FN86">
        <v>22</v>
      </c>
      <c r="FO86">
        <v>27</v>
      </c>
      <c r="FP86">
        <v>26</v>
      </c>
      <c r="FQ86">
        <v>24</v>
      </c>
      <c r="FR86">
        <v>33</v>
      </c>
      <c r="FS86">
        <v>35</v>
      </c>
      <c r="FT86">
        <v>58</v>
      </c>
      <c r="FU86">
        <v>910</v>
      </c>
    </row>
    <row r="87" spans="8:177">
      <c r="J87">
        <v>0.4</v>
      </c>
      <c r="K87">
        <v>5</v>
      </c>
      <c r="L87">
        <v>1400</v>
      </c>
      <c r="M87">
        <v>600</v>
      </c>
      <c r="N87">
        <v>90</v>
      </c>
      <c r="O87">
        <v>200</v>
      </c>
      <c r="P87">
        <v>100000</v>
      </c>
      <c r="Q87">
        <v>8.0137993099999996</v>
      </c>
      <c r="R87">
        <v>13.90230094</v>
      </c>
      <c r="S87">
        <v>9.3181127299999993</v>
      </c>
      <c r="T87">
        <v>7.1403083629999999</v>
      </c>
      <c r="U87">
        <v>13.19210384</v>
      </c>
      <c r="V87">
        <v>8.3697207290000009</v>
      </c>
      <c r="W87">
        <v>5.8813342300000002</v>
      </c>
      <c r="X87">
        <v>13.981803019999999</v>
      </c>
      <c r="Y87">
        <v>7.3658306199999997</v>
      </c>
    </row>
    <row r="88" spans="8:177">
      <c r="J88">
        <v>19</v>
      </c>
      <c r="K88">
        <v>6</v>
      </c>
      <c r="L88">
        <v>9</v>
      </c>
      <c r="M88">
        <v>9</v>
      </c>
      <c r="N88">
        <v>33</v>
      </c>
      <c r="O88">
        <v>23</v>
      </c>
      <c r="P88">
        <v>24</v>
      </c>
      <c r="Q88">
        <v>26</v>
      </c>
      <c r="R88">
        <v>30</v>
      </c>
      <c r="S88">
        <v>34</v>
      </c>
      <c r="T88">
        <v>33</v>
      </c>
      <c r="U88">
        <v>39</v>
      </c>
      <c r="V88">
        <v>68</v>
      </c>
      <c r="W88">
        <v>64</v>
      </c>
      <c r="X88">
        <v>68</v>
      </c>
      <c r="Y88">
        <v>68</v>
      </c>
      <c r="Z88">
        <v>102</v>
      </c>
      <c r="AA88">
        <v>127</v>
      </c>
      <c r="AB88">
        <v>159</v>
      </c>
      <c r="AC88">
        <v>160</v>
      </c>
      <c r="AD88">
        <v>178</v>
      </c>
      <c r="AE88">
        <v>190</v>
      </c>
      <c r="AF88">
        <v>226</v>
      </c>
      <c r="AG88">
        <v>179</v>
      </c>
      <c r="AH88">
        <v>218</v>
      </c>
      <c r="AI88">
        <v>281</v>
      </c>
      <c r="AJ88">
        <v>141</v>
      </c>
      <c r="AK88">
        <v>114</v>
      </c>
      <c r="AL88">
        <v>95</v>
      </c>
      <c r="AM88">
        <v>66</v>
      </c>
      <c r="AN88">
        <v>80</v>
      </c>
      <c r="AO88">
        <v>96</v>
      </c>
      <c r="AP88">
        <v>70</v>
      </c>
      <c r="AQ88">
        <v>75</v>
      </c>
      <c r="AR88">
        <v>44</v>
      </c>
      <c r="AS88">
        <v>55</v>
      </c>
      <c r="AT88">
        <v>52</v>
      </c>
      <c r="AU88">
        <v>33</v>
      </c>
      <c r="AV88">
        <v>37</v>
      </c>
      <c r="AW88">
        <v>40</v>
      </c>
      <c r="AX88">
        <v>35</v>
      </c>
      <c r="AY88">
        <v>48</v>
      </c>
      <c r="AZ88">
        <v>38</v>
      </c>
      <c r="BA88">
        <v>37</v>
      </c>
      <c r="BB88">
        <v>33</v>
      </c>
      <c r="BC88">
        <v>33</v>
      </c>
      <c r="BD88">
        <v>30</v>
      </c>
      <c r="BE88">
        <v>34</v>
      </c>
      <c r="BF88">
        <v>39</v>
      </c>
      <c r="BG88">
        <v>37</v>
      </c>
      <c r="BH88">
        <v>46</v>
      </c>
      <c r="BI88">
        <v>42</v>
      </c>
      <c r="BJ88">
        <v>39</v>
      </c>
      <c r="BK88">
        <v>43</v>
      </c>
      <c r="BL88">
        <v>39</v>
      </c>
      <c r="BM88">
        <v>54</v>
      </c>
      <c r="BN88">
        <v>66</v>
      </c>
      <c r="BO88">
        <v>57</v>
      </c>
      <c r="BP88">
        <v>67</v>
      </c>
      <c r="BQ88">
        <v>81</v>
      </c>
      <c r="BR88">
        <v>95</v>
      </c>
      <c r="BS88">
        <v>94</v>
      </c>
      <c r="BT88">
        <v>116</v>
      </c>
      <c r="BU88">
        <v>60</v>
      </c>
      <c r="BV88">
        <v>52</v>
      </c>
      <c r="BW88">
        <v>56</v>
      </c>
      <c r="BX88">
        <v>128</v>
      </c>
      <c r="BY88">
        <v>225</v>
      </c>
      <c r="BZ88">
        <v>131</v>
      </c>
      <c r="CA88">
        <v>153</v>
      </c>
      <c r="CB88">
        <v>99</v>
      </c>
      <c r="CC88">
        <v>63</v>
      </c>
      <c r="CD88">
        <v>78</v>
      </c>
      <c r="CE88">
        <v>71</v>
      </c>
      <c r="CF88">
        <v>83</v>
      </c>
      <c r="CG88">
        <v>114</v>
      </c>
      <c r="CH88">
        <v>113</v>
      </c>
      <c r="CI88">
        <v>108</v>
      </c>
      <c r="CJ88">
        <v>99</v>
      </c>
      <c r="CK88">
        <v>81</v>
      </c>
      <c r="CL88">
        <v>83</v>
      </c>
      <c r="CM88">
        <v>83</v>
      </c>
      <c r="CN88">
        <v>78</v>
      </c>
      <c r="CO88">
        <v>81</v>
      </c>
      <c r="CP88">
        <v>76</v>
      </c>
      <c r="CQ88">
        <v>81</v>
      </c>
      <c r="CR88">
        <v>84</v>
      </c>
      <c r="CS88">
        <v>86</v>
      </c>
      <c r="CT88">
        <v>104</v>
      </c>
      <c r="CU88">
        <v>92</v>
      </c>
      <c r="CV88">
        <v>52</v>
      </c>
      <c r="CW88">
        <v>79</v>
      </c>
      <c r="CX88">
        <v>64</v>
      </c>
      <c r="CY88">
        <v>50</v>
      </c>
      <c r="CZ88">
        <v>54</v>
      </c>
      <c r="DA88">
        <v>70</v>
      </c>
      <c r="DB88">
        <v>76</v>
      </c>
      <c r="DC88">
        <v>65</v>
      </c>
      <c r="DD88">
        <v>29</v>
      </c>
      <c r="DE88">
        <v>50</v>
      </c>
      <c r="DF88">
        <v>62</v>
      </c>
      <c r="DG88">
        <v>49</v>
      </c>
      <c r="DH88">
        <v>27</v>
      </c>
      <c r="DI88">
        <v>28</v>
      </c>
      <c r="DJ88">
        <v>32</v>
      </c>
      <c r="DK88">
        <v>26</v>
      </c>
      <c r="DL88">
        <v>29</v>
      </c>
      <c r="DM88">
        <v>23</v>
      </c>
      <c r="DN88">
        <v>29</v>
      </c>
      <c r="DO88">
        <v>24</v>
      </c>
      <c r="DP88">
        <v>24</v>
      </c>
      <c r="DQ88">
        <v>25</v>
      </c>
      <c r="DR88">
        <v>27</v>
      </c>
      <c r="DS88">
        <v>33</v>
      </c>
      <c r="DT88">
        <v>41</v>
      </c>
      <c r="DU88">
        <v>24</v>
      </c>
      <c r="DV88">
        <v>30</v>
      </c>
      <c r="DW88">
        <v>19</v>
      </c>
      <c r="DX88">
        <v>23</v>
      </c>
      <c r="DY88">
        <v>26</v>
      </c>
      <c r="DZ88">
        <v>26</v>
      </c>
      <c r="EA88">
        <v>25</v>
      </c>
      <c r="EB88">
        <v>39</v>
      </c>
      <c r="EC88">
        <v>32</v>
      </c>
      <c r="ED88">
        <v>23</v>
      </c>
      <c r="EE88">
        <v>26</v>
      </c>
      <c r="EF88">
        <v>32</v>
      </c>
      <c r="EG88">
        <v>25</v>
      </c>
      <c r="EH88">
        <v>23</v>
      </c>
      <c r="EI88">
        <v>22</v>
      </c>
      <c r="EJ88">
        <v>28</v>
      </c>
      <c r="EK88">
        <v>23</v>
      </c>
      <c r="EL88">
        <v>24</v>
      </c>
      <c r="EM88">
        <v>28</v>
      </c>
      <c r="EN88">
        <v>21</v>
      </c>
      <c r="EO88">
        <v>23</v>
      </c>
      <c r="EP88">
        <v>15</v>
      </c>
      <c r="EQ88">
        <v>26</v>
      </c>
      <c r="ER88">
        <v>18</v>
      </c>
      <c r="ES88">
        <v>24</v>
      </c>
      <c r="ET88">
        <v>26</v>
      </c>
      <c r="EU88">
        <v>22</v>
      </c>
      <c r="EV88">
        <v>22</v>
      </c>
      <c r="EW88">
        <v>26</v>
      </c>
      <c r="EX88">
        <v>24</v>
      </c>
      <c r="EY88">
        <v>29</v>
      </c>
      <c r="EZ88">
        <v>30</v>
      </c>
      <c r="FA88">
        <v>38</v>
      </c>
      <c r="FB88">
        <v>35</v>
      </c>
      <c r="FC88">
        <v>25</v>
      </c>
      <c r="FD88">
        <v>27</v>
      </c>
      <c r="FE88">
        <v>25</v>
      </c>
      <c r="FF88">
        <v>33</v>
      </c>
      <c r="FG88">
        <v>36</v>
      </c>
      <c r="FH88">
        <v>31</v>
      </c>
      <c r="FI88">
        <v>34</v>
      </c>
      <c r="FJ88">
        <v>36</v>
      </c>
      <c r="FK88">
        <v>43</v>
      </c>
      <c r="FL88">
        <v>30</v>
      </c>
      <c r="FM88">
        <v>27</v>
      </c>
      <c r="FN88">
        <v>18</v>
      </c>
      <c r="FO88">
        <v>33</v>
      </c>
      <c r="FP88">
        <v>36</v>
      </c>
      <c r="FQ88">
        <v>29</v>
      </c>
      <c r="FR88">
        <v>39</v>
      </c>
      <c r="FS88">
        <v>49</v>
      </c>
      <c r="FT88">
        <v>71</v>
      </c>
      <c r="FU88">
        <v>204</v>
      </c>
    </row>
    <row r="89" spans="8:177"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8</v>
      </c>
      <c r="AH89">
        <v>3</v>
      </c>
      <c r="AI89">
        <v>4</v>
      </c>
      <c r="AJ89">
        <v>2</v>
      </c>
      <c r="AK89">
        <v>10</v>
      </c>
      <c r="AL89">
        <v>9</v>
      </c>
      <c r="AM89">
        <v>6</v>
      </c>
      <c r="AN89">
        <v>3</v>
      </c>
      <c r="AO89">
        <v>5</v>
      </c>
      <c r="AP89">
        <v>4</v>
      </c>
      <c r="AQ89">
        <v>5</v>
      </c>
      <c r="AR89">
        <v>5</v>
      </c>
      <c r="AS89">
        <v>4</v>
      </c>
      <c r="AT89">
        <v>3</v>
      </c>
      <c r="AU89">
        <v>7</v>
      </c>
      <c r="AV89">
        <v>6</v>
      </c>
      <c r="AW89">
        <v>3</v>
      </c>
      <c r="AX89">
        <v>4</v>
      </c>
      <c r="AY89">
        <v>5</v>
      </c>
      <c r="AZ89">
        <v>3</v>
      </c>
      <c r="BA89">
        <v>3</v>
      </c>
      <c r="BB89">
        <v>3</v>
      </c>
      <c r="BC89">
        <v>4</v>
      </c>
      <c r="BD89">
        <v>2</v>
      </c>
      <c r="BE89">
        <v>4</v>
      </c>
      <c r="BF89">
        <v>0</v>
      </c>
      <c r="BG89">
        <v>6</v>
      </c>
      <c r="BH89">
        <v>1</v>
      </c>
      <c r="BI89">
        <v>2</v>
      </c>
      <c r="BJ89">
        <v>5</v>
      </c>
      <c r="BK89">
        <v>1</v>
      </c>
      <c r="BL89">
        <v>3</v>
      </c>
      <c r="BM89">
        <v>1</v>
      </c>
      <c r="BN89">
        <v>4</v>
      </c>
      <c r="BO89">
        <v>2</v>
      </c>
      <c r="BP89">
        <v>2</v>
      </c>
      <c r="BQ89">
        <v>2</v>
      </c>
      <c r="BR89">
        <v>9</v>
      </c>
      <c r="BS89">
        <v>8</v>
      </c>
      <c r="BT89">
        <v>9</v>
      </c>
      <c r="BU89">
        <v>5</v>
      </c>
      <c r="BV89">
        <v>13</v>
      </c>
      <c r="BW89">
        <v>10</v>
      </c>
      <c r="BX89">
        <v>20</v>
      </c>
      <c r="BY89">
        <v>47</v>
      </c>
      <c r="BZ89">
        <v>13</v>
      </c>
      <c r="CA89">
        <v>16</v>
      </c>
      <c r="CB89">
        <v>8</v>
      </c>
      <c r="CC89">
        <v>11</v>
      </c>
      <c r="CD89">
        <v>9</v>
      </c>
      <c r="CE89">
        <v>10</v>
      </c>
      <c r="CF89">
        <v>15</v>
      </c>
      <c r="CG89">
        <v>14</v>
      </c>
      <c r="CH89">
        <v>8</v>
      </c>
      <c r="CI89">
        <v>10</v>
      </c>
      <c r="CJ89">
        <v>14</v>
      </c>
      <c r="CK89">
        <v>13</v>
      </c>
      <c r="CL89">
        <v>10</v>
      </c>
      <c r="CM89">
        <v>11</v>
      </c>
      <c r="CN89">
        <v>8</v>
      </c>
      <c r="CO89">
        <v>11</v>
      </c>
      <c r="CP89">
        <v>6</v>
      </c>
      <c r="CQ89">
        <v>10</v>
      </c>
      <c r="CR89">
        <v>10</v>
      </c>
      <c r="CS89">
        <v>8</v>
      </c>
      <c r="CT89">
        <v>6</v>
      </c>
      <c r="CU89">
        <v>13</v>
      </c>
      <c r="CV89">
        <v>6</v>
      </c>
      <c r="CW89">
        <v>9</v>
      </c>
      <c r="CX89">
        <v>9</v>
      </c>
      <c r="CY89">
        <v>9</v>
      </c>
      <c r="CZ89">
        <v>8</v>
      </c>
      <c r="DA89">
        <v>6</v>
      </c>
      <c r="DB89">
        <v>6</v>
      </c>
      <c r="DC89">
        <v>9</v>
      </c>
      <c r="DD89">
        <v>20</v>
      </c>
      <c r="DE89">
        <v>15</v>
      </c>
      <c r="DF89">
        <v>14</v>
      </c>
      <c r="DG89">
        <v>8</v>
      </c>
      <c r="DH89">
        <v>21</v>
      </c>
      <c r="DI89">
        <v>16</v>
      </c>
      <c r="DJ89">
        <v>16</v>
      </c>
      <c r="DK89">
        <v>18</v>
      </c>
      <c r="DL89">
        <v>19</v>
      </c>
      <c r="DM89">
        <v>15</v>
      </c>
      <c r="DN89">
        <v>12</v>
      </c>
      <c r="DO89">
        <v>14</v>
      </c>
      <c r="DP89">
        <v>15</v>
      </c>
      <c r="DQ89">
        <v>16</v>
      </c>
      <c r="DR89">
        <v>10</v>
      </c>
      <c r="DS89">
        <v>19</v>
      </c>
      <c r="DT89">
        <v>9</v>
      </c>
      <c r="DU89">
        <v>9</v>
      </c>
      <c r="DV89">
        <v>14</v>
      </c>
      <c r="DW89">
        <v>9</v>
      </c>
      <c r="DX89">
        <v>13</v>
      </c>
      <c r="DY89">
        <v>9</v>
      </c>
      <c r="DZ89">
        <v>14</v>
      </c>
      <c r="EA89">
        <v>10</v>
      </c>
      <c r="EB89">
        <v>15</v>
      </c>
      <c r="EC89">
        <v>9</v>
      </c>
      <c r="ED89">
        <v>13</v>
      </c>
      <c r="EE89">
        <v>14</v>
      </c>
      <c r="EF89">
        <v>11</v>
      </c>
      <c r="EG89">
        <v>12</v>
      </c>
      <c r="EH89">
        <v>8</v>
      </c>
      <c r="EI89">
        <v>8</v>
      </c>
      <c r="EJ89">
        <v>11</v>
      </c>
      <c r="EK89">
        <v>12</v>
      </c>
      <c r="EL89">
        <v>9</v>
      </c>
      <c r="EM89">
        <v>13</v>
      </c>
      <c r="EN89">
        <v>13</v>
      </c>
      <c r="EO89">
        <v>12</v>
      </c>
      <c r="EP89">
        <v>16</v>
      </c>
      <c r="EQ89">
        <v>30</v>
      </c>
      <c r="ER89">
        <v>12</v>
      </c>
      <c r="ES89">
        <v>13</v>
      </c>
      <c r="ET89">
        <v>9</v>
      </c>
      <c r="EU89">
        <v>14</v>
      </c>
      <c r="EV89">
        <v>9</v>
      </c>
      <c r="EW89">
        <v>17</v>
      </c>
      <c r="EX89">
        <v>13</v>
      </c>
      <c r="EY89">
        <v>10</v>
      </c>
      <c r="EZ89">
        <v>17</v>
      </c>
      <c r="FA89">
        <v>10</v>
      </c>
      <c r="FB89">
        <v>15</v>
      </c>
      <c r="FC89">
        <v>11</v>
      </c>
      <c r="FD89">
        <v>23</v>
      </c>
      <c r="FE89">
        <v>25</v>
      </c>
      <c r="FF89">
        <v>12</v>
      </c>
      <c r="FG89">
        <v>14</v>
      </c>
      <c r="FH89">
        <v>15</v>
      </c>
      <c r="FI89">
        <v>19</v>
      </c>
      <c r="FJ89">
        <v>27</v>
      </c>
      <c r="FK89">
        <v>20</v>
      </c>
      <c r="FL89">
        <v>20</v>
      </c>
      <c r="FM89">
        <v>11</v>
      </c>
      <c r="FN89">
        <v>10</v>
      </c>
      <c r="FO89">
        <v>12</v>
      </c>
      <c r="FP89">
        <v>16</v>
      </c>
      <c r="FQ89">
        <v>17</v>
      </c>
      <c r="FR89">
        <v>17</v>
      </c>
      <c r="FS89">
        <v>18</v>
      </c>
      <c r="FT89">
        <v>40</v>
      </c>
      <c r="FU89">
        <v>2033</v>
      </c>
    </row>
    <row r="90" spans="8:177">
      <c r="I90" t="s">
        <v>37</v>
      </c>
      <c r="J90">
        <f>J76+J79+J82+J85+J88</f>
        <v>610</v>
      </c>
      <c r="K90">
        <f t="shared" ref="K90:BV90" si="40">K76+K79+K82+K85+K88</f>
        <v>269</v>
      </c>
      <c r="L90">
        <f t="shared" si="40"/>
        <v>219</v>
      </c>
      <c r="M90">
        <f t="shared" si="40"/>
        <v>226</v>
      </c>
      <c r="N90">
        <f t="shared" si="40"/>
        <v>258</v>
      </c>
      <c r="O90">
        <f t="shared" si="40"/>
        <v>246</v>
      </c>
      <c r="P90">
        <f t="shared" si="40"/>
        <v>209</v>
      </c>
      <c r="Q90">
        <f t="shared" si="40"/>
        <v>183</v>
      </c>
      <c r="R90">
        <f t="shared" si="40"/>
        <v>231</v>
      </c>
      <c r="S90">
        <f t="shared" si="40"/>
        <v>276</v>
      </c>
      <c r="T90">
        <f t="shared" si="40"/>
        <v>258</v>
      </c>
      <c r="U90">
        <f t="shared" si="40"/>
        <v>262</v>
      </c>
      <c r="V90">
        <f t="shared" si="40"/>
        <v>347</v>
      </c>
      <c r="W90">
        <f t="shared" si="40"/>
        <v>303</v>
      </c>
      <c r="X90">
        <f t="shared" si="40"/>
        <v>313</v>
      </c>
      <c r="Y90">
        <f t="shared" si="40"/>
        <v>351</v>
      </c>
      <c r="Z90">
        <f t="shared" si="40"/>
        <v>377</v>
      </c>
      <c r="AA90">
        <f t="shared" si="40"/>
        <v>445</v>
      </c>
      <c r="AB90">
        <f t="shared" si="40"/>
        <v>482</v>
      </c>
      <c r="AC90">
        <f t="shared" si="40"/>
        <v>496</v>
      </c>
      <c r="AD90">
        <f t="shared" si="40"/>
        <v>533</v>
      </c>
      <c r="AE90">
        <f t="shared" si="40"/>
        <v>547</v>
      </c>
      <c r="AF90">
        <f t="shared" si="40"/>
        <v>547</v>
      </c>
      <c r="AG90">
        <f t="shared" si="40"/>
        <v>586</v>
      </c>
      <c r="AH90">
        <f t="shared" si="40"/>
        <v>581</v>
      </c>
      <c r="AI90">
        <f t="shared" si="40"/>
        <v>731</v>
      </c>
      <c r="AJ90">
        <f t="shared" si="40"/>
        <v>458</v>
      </c>
      <c r="AK90">
        <f t="shared" si="40"/>
        <v>401</v>
      </c>
      <c r="AL90">
        <f t="shared" si="40"/>
        <v>391</v>
      </c>
      <c r="AM90">
        <f t="shared" si="40"/>
        <v>336</v>
      </c>
      <c r="AN90">
        <f t="shared" si="40"/>
        <v>344</v>
      </c>
      <c r="AO90">
        <f t="shared" si="40"/>
        <v>366</v>
      </c>
      <c r="AP90">
        <f t="shared" si="40"/>
        <v>292</v>
      </c>
      <c r="AQ90">
        <f t="shared" si="40"/>
        <v>316</v>
      </c>
      <c r="AR90">
        <f t="shared" si="40"/>
        <v>310</v>
      </c>
      <c r="AS90">
        <f t="shared" si="40"/>
        <v>253</v>
      </c>
      <c r="AT90">
        <f t="shared" si="40"/>
        <v>243</v>
      </c>
      <c r="AU90">
        <f t="shared" si="40"/>
        <v>225</v>
      </c>
      <c r="AV90">
        <f t="shared" si="40"/>
        <v>250</v>
      </c>
      <c r="AW90">
        <f t="shared" si="40"/>
        <v>224</v>
      </c>
      <c r="AX90">
        <f t="shared" si="40"/>
        <v>214</v>
      </c>
      <c r="AY90">
        <f t="shared" si="40"/>
        <v>222</v>
      </c>
      <c r="AZ90">
        <f t="shared" si="40"/>
        <v>208</v>
      </c>
      <c r="BA90">
        <f t="shared" si="40"/>
        <v>170</v>
      </c>
      <c r="BB90">
        <f t="shared" si="40"/>
        <v>186</v>
      </c>
      <c r="BC90">
        <f t="shared" si="40"/>
        <v>153</v>
      </c>
      <c r="BD90">
        <f t="shared" si="40"/>
        <v>160</v>
      </c>
      <c r="BE90">
        <f t="shared" si="40"/>
        <v>159</v>
      </c>
      <c r="BF90">
        <f t="shared" si="40"/>
        <v>148</v>
      </c>
      <c r="BG90">
        <f t="shared" si="40"/>
        <v>159</v>
      </c>
      <c r="BH90">
        <f t="shared" si="40"/>
        <v>186</v>
      </c>
      <c r="BI90">
        <f t="shared" si="40"/>
        <v>176</v>
      </c>
      <c r="BJ90">
        <f t="shared" si="40"/>
        <v>274</v>
      </c>
      <c r="BK90">
        <f t="shared" si="40"/>
        <v>221</v>
      </c>
      <c r="BL90">
        <f t="shared" si="40"/>
        <v>220</v>
      </c>
      <c r="BM90">
        <f t="shared" si="40"/>
        <v>252</v>
      </c>
      <c r="BN90">
        <f t="shared" si="40"/>
        <v>250</v>
      </c>
      <c r="BO90">
        <f t="shared" si="40"/>
        <v>255</v>
      </c>
      <c r="BP90">
        <f t="shared" si="40"/>
        <v>286</v>
      </c>
      <c r="BQ90">
        <f t="shared" si="40"/>
        <v>306</v>
      </c>
      <c r="BR90">
        <f t="shared" si="40"/>
        <v>319</v>
      </c>
      <c r="BS90">
        <f t="shared" si="40"/>
        <v>351</v>
      </c>
      <c r="BT90">
        <f t="shared" si="40"/>
        <v>406</v>
      </c>
      <c r="BU90">
        <f t="shared" si="40"/>
        <v>316</v>
      </c>
      <c r="BV90">
        <f t="shared" si="40"/>
        <v>345</v>
      </c>
      <c r="BW90">
        <f t="shared" ref="BW90:EH90" si="41">BW76+BW79+BW82+BW85+BW88</f>
        <v>416</v>
      </c>
      <c r="BX90">
        <f t="shared" si="41"/>
        <v>693</v>
      </c>
      <c r="BY90">
        <f t="shared" si="41"/>
        <v>918</v>
      </c>
      <c r="BZ90">
        <f t="shared" si="41"/>
        <v>580</v>
      </c>
      <c r="CA90">
        <f t="shared" si="41"/>
        <v>580</v>
      </c>
      <c r="CB90">
        <f t="shared" si="41"/>
        <v>458</v>
      </c>
      <c r="CC90">
        <f t="shared" si="41"/>
        <v>379</v>
      </c>
      <c r="CD90">
        <f t="shared" si="41"/>
        <v>420</v>
      </c>
      <c r="CE90">
        <f t="shared" si="41"/>
        <v>444</v>
      </c>
      <c r="CF90">
        <f t="shared" si="41"/>
        <v>458</v>
      </c>
      <c r="CG90">
        <f t="shared" si="41"/>
        <v>486</v>
      </c>
      <c r="CH90">
        <f t="shared" si="41"/>
        <v>448</v>
      </c>
      <c r="CI90">
        <f t="shared" si="41"/>
        <v>590</v>
      </c>
      <c r="CJ90">
        <f t="shared" si="41"/>
        <v>492</v>
      </c>
      <c r="CK90">
        <f t="shared" si="41"/>
        <v>464</v>
      </c>
      <c r="CL90">
        <f t="shared" si="41"/>
        <v>486</v>
      </c>
      <c r="CM90">
        <f t="shared" si="41"/>
        <v>497</v>
      </c>
      <c r="CN90">
        <f t="shared" si="41"/>
        <v>393</v>
      </c>
      <c r="CO90">
        <f t="shared" si="41"/>
        <v>428</v>
      </c>
      <c r="CP90">
        <f t="shared" si="41"/>
        <v>401</v>
      </c>
      <c r="CQ90">
        <f t="shared" si="41"/>
        <v>395</v>
      </c>
      <c r="CR90">
        <f t="shared" si="41"/>
        <v>371</v>
      </c>
      <c r="CS90">
        <f t="shared" si="41"/>
        <v>313</v>
      </c>
      <c r="CT90">
        <f t="shared" si="41"/>
        <v>412</v>
      </c>
      <c r="CU90">
        <f t="shared" si="41"/>
        <v>409</v>
      </c>
      <c r="CV90">
        <f t="shared" si="41"/>
        <v>380</v>
      </c>
      <c r="CW90">
        <f t="shared" si="41"/>
        <v>337</v>
      </c>
      <c r="CX90">
        <f t="shared" si="41"/>
        <v>337</v>
      </c>
      <c r="CY90">
        <f t="shared" si="41"/>
        <v>330</v>
      </c>
      <c r="CZ90">
        <f t="shared" si="41"/>
        <v>344</v>
      </c>
      <c r="DA90">
        <f t="shared" si="41"/>
        <v>350</v>
      </c>
      <c r="DB90">
        <f t="shared" si="41"/>
        <v>391</v>
      </c>
      <c r="DC90">
        <f t="shared" si="41"/>
        <v>377</v>
      </c>
      <c r="DD90">
        <f t="shared" si="41"/>
        <v>279</v>
      </c>
      <c r="DE90">
        <f t="shared" si="41"/>
        <v>268</v>
      </c>
      <c r="DF90">
        <f t="shared" si="41"/>
        <v>362</v>
      </c>
      <c r="DG90">
        <f t="shared" si="41"/>
        <v>313</v>
      </c>
      <c r="DH90">
        <f t="shared" si="41"/>
        <v>214</v>
      </c>
      <c r="DI90">
        <f t="shared" si="41"/>
        <v>232</v>
      </c>
      <c r="DJ90">
        <f t="shared" si="41"/>
        <v>247</v>
      </c>
      <c r="DK90">
        <f t="shared" si="41"/>
        <v>172</v>
      </c>
      <c r="DL90">
        <f t="shared" si="41"/>
        <v>172</v>
      </c>
      <c r="DM90">
        <f t="shared" si="41"/>
        <v>166</v>
      </c>
      <c r="DN90">
        <f t="shared" si="41"/>
        <v>223</v>
      </c>
      <c r="DO90">
        <f t="shared" si="41"/>
        <v>175</v>
      </c>
      <c r="DP90">
        <f t="shared" si="41"/>
        <v>158</v>
      </c>
      <c r="DQ90">
        <f t="shared" si="41"/>
        <v>150</v>
      </c>
      <c r="DR90">
        <f t="shared" si="41"/>
        <v>151</v>
      </c>
      <c r="DS90">
        <f t="shared" si="41"/>
        <v>152</v>
      </c>
      <c r="DT90">
        <f t="shared" si="41"/>
        <v>184</v>
      </c>
      <c r="DU90">
        <f t="shared" si="41"/>
        <v>117</v>
      </c>
      <c r="DV90">
        <f t="shared" si="41"/>
        <v>126</v>
      </c>
      <c r="DW90">
        <f t="shared" si="41"/>
        <v>122</v>
      </c>
      <c r="DX90">
        <f t="shared" si="41"/>
        <v>98</v>
      </c>
      <c r="DY90">
        <f t="shared" si="41"/>
        <v>130</v>
      </c>
      <c r="DZ90">
        <f t="shared" si="41"/>
        <v>109</v>
      </c>
      <c r="EA90">
        <f t="shared" si="41"/>
        <v>106</v>
      </c>
      <c r="EB90">
        <f t="shared" si="41"/>
        <v>123</v>
      </c>
      <c r="EC90">
        <f t="shared" si="41"/>
        <v>126</v>
      </c>
      <c r="ED90">
        <f t="shared" si="41"/>
        <v>116</v>
      </c>
      <c r="EE90">
        <f t="shared" si="41"/>
        <v>117</v>
      </c>
      <c r="EF90">
        <f t="shared" si="41"/>
        <v>107</v>
      </c>
      <c r="EG90">
        <f t="shared" si="41"/>
        <v>108</v>
      </c>
      <c r="EH90">
        <f t="shared" si="41"/>
        <v>108</v>
      </c>
      <c r="EI90">
        <f t="shared" ref="EI90:FL91" si="42">EI76+EI79+EI82+EI85+EI88</f>
        <v>100</v>
      </c>
      <c r="EJ90">
        <f t="shared" si="42"/>
        <v>109</v>
      </c>
      <c r="EK90">
        <f t="shared" si="42"/>
        <v>120</v>
      </c>
      <c r="EL90">
        <f t="shared" si="42"/>
        <v>114</v>
      </c>
      <c r="EM90">
        <f t="shared" si="42"/>
        <v>118</v>
      </c>
      <c r="EN90">
        <f t="shared" si="42"/>
        <v>104</v>
      </c>
      <c r="EO90">
        <f t="shared" si="42"/>
        <v>98</v>
      </c>
      <c r="EP90">
        <f t="shared" si="42"/>
        <v>90</v>
      </c>
      <c r="EQ90">
        <f t="shared" si="42"/>
        <v>105</v>
      </c>
      <c r="ER90">
        <f t="shared" si="42"/>
        <v>101</v>
      </c>
      <c r="ES90">
        <f t="shared" si="42"/>
        <v>99</v>
      </c>
      <c r="ET90">
        <f t="shared" si="42"/>
        <v>109</v>
      </c>
      <c r="EU90">
        <f t="shared" si="42"/>
        <v>105</v>
      </c>
      <c r="EV90">
        <f t="shared" si="42"/>
        <v>101</v>
      </c>
      <c r="EW90">
        <f t="shared" si="42"/>
        <v>111</v>
      </c>
      <c r="EX90">
        <f t="shared" si="42"/>
        <v>106</v>
      </c>
      <c r="EY90">
        <f t="shared" si="42"/>
        <v>115</v>
      </c>
      <c r="EZ90">
        <f t="shared" si="42"/>
        <v>108</v>
      </c>
      <c r="FA90">
        <f t="shared" si="42"/>
        <v>124</v>
      </c>
      <c r="FB90">
        <f t="shared" si="42"/>
        <v>123</v>
      </c>
      <c r="FC90">
        <f t="shared" si="42"/>
        <v>119</v>
      </c>
      <c r="FD90">
        <f t="shared" si="42"/>
        <v>105</v>
      </c>
      <c r="FE90">
        <f t="shared" si="42"/>
        <v>127</v>
      </c>
      <c r="FF90">
        <f t="shared" si="42"/>
        <v>126</v>
      </c>
      <c r="FG90">
        <f t="shared" si="42"/>
        <v>132</v>
      </c>
      <c r="FH90">
        <f t="shared" si="42"/>
        <v>135</v>
      </c>
      <c r="FI90">
        <f t="shared" si="42"/>
        <v>133</v>
      </c>
      <c r="FJ90">
        <f t="shared" si="42"/>
        <v>146</v>
      </c>
      <c r="FK90">
        <f t="shared" si="42"/>
        <v>154</v>
      </c>
      <c r="FL90">
        <f t="shared" si="42"/>
        <v>141</v>
      </c>
      <c r="FM90">
        <f t="shared" ref="FM90:FU90" si="43">FM76+FM79+FM82+FM85+FM88</f>
        <v>157</v>
      </c>
      <c r="FN90">
        <f t="shared" si="43"/>
        <v>146</v>
      </c>
      <c r="FO90">
        <f t="shared" si="43"/>
        <v>184</v>
      </c>
      <c r="FP90">
        <f t="shared" si="43"/>
        <v>222</v>
      </c>
      <c r="FQ90">
        <f t="shared" si="43"/>
        <v>198</v>
      </c>
      <c r="FR90">
        <f t="shared" si="43"/>
        <v>273</v>
      </c>
      <c r="FS90">
        <f t="shared" si="43"/>
        <v>318</v>
      </c>
      <c r="FT90">
        <f t="shared" si="43"/>
        <v>567</v>
      </c>
      <c r="FU90">
        <f t="shared" si="43"/>
        <v>1297</v>
      </c>
    </row>
    <row r="91" spans="8:177">
      <c r="I91" t="s">
        <v>38</v>
      </c>
      <c r="J91">
        <f>J77+J80+J83+J86+J89</f>
        <v>22</v>
      </c>
      <c r="K91">
        <f t="shared" ref="K91:BV91" si="44">K77+K80+K83+K86+K89</f>
        <v>16</v>
      </c>
      <c r="L91">
        <f t="shared" si="44"/>
        <v>10</v>
      </c>
      <c r="M91">
        <f t="shared" si="44"/>
        <v>14</v>
      </c>
      <c r="N91">
        <f t="shared" si="44"/>
        <v>15</v>
      </c>
      <c r="O91">
        <f t="shared" si="44"/>
        <v>10</v>
      </c>
      <c r="P91">
        <f t="shared" si="44"/>
        <v>24</v>
      </c>
      <c r="Q91">
        <f t="shared" si="44"/>
        <v>18</v>
      </c>
      <c r="R91">
        <f t="shared" si="44"/>
        <v>14</v>
      </c>
      <c r="S91">
        <f t="shared" si="44"/>
        <v>10</v>
      </c>
      <c r="T91">
        <f t="shared" si="44"/>
        <v>13</v>
      </c>
      <c r="U91">
        <f t="shared" si="44"/>
        <v>17</v>
      </c>
      <c r="V91">
        <f t="shared" si="44"/>
        <v>20</v>
      </c>
      <c r="W91">
        <f t="shared" si="44"/>
        <v>15</v>
      </c>
      <c r="X91">
        <f t="shared" si="44"/>
        <v>19</v>
      </c>
      <c r="Y91">
        <f t="shared" si="44"/>
        <v>23</v>
      </c>
      <c r="Z91">
        <f t="shared" si="44"/>
        <v>38</v>
      </c>
      <c r="AA91">
        <f t="shared" si="44"/>
        <v>35</v>
      </c>
      <c r="AB91">
        <f t="shared" si="44"/>
        <v>38</v>
      </c>
      <c r="AC91">
        <f t="shared" si="44"/>
        <v>33</v>
      </c>
      <c r="AD91">
        <f t="shared" si="44"/>
        <v>23</v>
      </c>
      <c r="AE91">
        <f t="shared" si="44"/>
        <v>33</v>
      </c>
      <c r="AF91">
        <f t="shared" si="44"/>
        <v>31</v>
      </c>
      <c r="AG91">
        <f t="shared" si="44"/>
        <v>44</v>
      </c>
      <c r="AH91">
        <f t="shared" si="44"/>
        <v>28</v>
      </c>
      <c r="AI91">
        <f t="shared" si="44"/>
        <v>36</v>
      </c>
      <c r="AJ91">
        <f t="shared" si="44"/>
        <v>30</v>
      </c>
      <c r="AK91">
        <f t="shared" si="44"/>
        <v>36</v>
      </c>
      <c r="AL91">
        <f t="shared" si="44"/>
        <v>32</v>
      </c>
      <c r="AM91">
        <f t="shared" si="44"/>
        <v>25</v>
      </c>
      <c r="AN91">
        <f t="shared" si="44"/>
        <v>26</v>
      </c>
      <c r="AO91">
        <f t="shared" si="44"/>
        <v>39</v>
      </c>
      <c r="AP91">
        <f t="shared" si="44"/>
        <v>44</v>
      </c>
      <c r="AQ91">
        <f t="shared" si="44"/>
        <v>232</v>
      </c>
      <c r="AR91">
        <f t="shared" si="44"/>
        <v>129</v>
      </c>
      <c r="AS91">
        <f t="shared" si="44"/>
        <v>89</v>
      </c>
      <c r="AT91">
        <f t="shared" si="44"/>
        <v>85</v>
      </c>
      <c r="AU91">
        <f t="shared" si="44"/>
        <v>98</v>
      </c>
      <c r="AV91">
        <f t="shared" si="44"/>
        <v>81</v>
      </c>
      <c r="AW91">
        <f t="shared" si="44"/>
        <v>84</v>
      </c>
      <c r="AX91">
        <f t="shared" si="44"/>
        <v>57</v>
      </c>
      <c r="AY91">
        <f t="shared" si="44"/>
        <v>69</v>
      </c>
      <c r="AZ91">
        <f t="shared" si="44"/>
        <v>59</v>
      </c>
      <c r="BA91">
        <f t="shared" si="44"/>
        <v>71</v>
      </c>
      <c r="BB91">
        <f t="shared" si="44"/>
        <v>72</v>
      </c>
      <c r="BC91">
        <f t="shared" si="44"/>
        <v>60</v>
      </c>
      <c r="BD91">
        <f t="shared" si="44"/>
        <v>64</v>
      </c>
      <c r="BE91">
        <f t="shared" si="44"/>
        <v>69</v>
      </c>
      <c r="BF91">
        <f t="shared" si="44"/>
        <v>52</v>
      </c>
      <c r="BG91">
        <f t="shared" si="44"/>
        <v>56</v>
      </c>
      <c r="BH91">
        <f t="shared" si="44"/>
        <v>56</v>
      </c>
      <c r="BI91">
        <f t="shared" si="44"/>
        <v>66</v>
      </c>
      <c r="BJ91">
        <f t="shared" si="44"/>
        <v>62</v>
      </c>
      <c r="BK91">
        <f t="shared" si="44"/>
        <v>58</v>
      </c>
      <c r="BL91">
        <f t="shared" si="44"/>
        <v>64</v>
      </c>
      <c r="BM91">
        <f t="shared" si="44"/>
        <v>47</v>
      </c>
      <c r="BN91">
        <f t="shared" si="44"/>
        <v>64</v>
      </c>
      <c r="BO91">
        <f t="shared" si="44"/>
        <v>71</v>
      </c>
      <c r="BP91">
        <f t="shared" si="44"/>
        <v>69</v>
      </c>
      <c r="BQ91">
        <f t="shared" si="44"/>
        <v>86</v>
      </c>
      <c r="BR91">
        <f t="shared" si="44"/>
        <v>76</v>
      </c>
      <c r="BS91">
        <f t="shared" si="44"/>
        <v>94</v>
      </c>
      <c r="BT91">
        <f t="shared" si="44"/>
        <v>126</v>
      </c>
      <c r="BU91">
        <f t="shared" si="44"/>
        <v>99</v>
      </c>
      <c r="BV91">
        <f t="shared" si="44"/>
        <v>108</v>
      </c>
      <c r="BW91">
        <f t="shared" ref="BW91:EH91" si="45">BW77+BW80+BW83+BW86+BW89</f>
        <v>86</v>
      </c>
      <c r="BX91">
        <f t="shared" si="45"/>
        <v>113</v>
      </c>
      <c r="BY91">
        <f t="shared" si="45"/>
        <v>132</v>
      </c>
      <c r="BZ91">
        <f t="shared" si="45"/>
        <v>94</v>
      </c>
      <c r="CA91">
        <f t="shared" si="45"/>
        <v>89</v>
      </c>
      <c r="CB91">
        <f t="shared" si="45"/>
        <v>63</v>
      </c>
      <c r="CC91">
        <f t="shared" si="45"/>
        <v>75</v>
      </c>
      <c r="CD91">
        <f t="shared" si="45"/>
        <v>78</v>
      </c>
      <c r="CE91">
        <f t="shared" si="45"/>
        <v>81</v>
      </c>
      <c r="CF91">
        <f t="shared" si="45"/>
        <v>87</v>
      </c>
      <c r="CG91">
        <f t="shared" si="45"/>
        <v>110</v>
      </c>
      <c r="CH91">
        <f t="shared" si="45"/>
        <v>88</v>
      </c>
      <c r="CI91">
        <f t="shared" si="45"/>
        <v>88</v>
      </c>
      <c r="CJ91">
        <f t="shared" si="45"/>
        <v>113</v>
      </c>
      <c r="CK91">
        <f t="shared" si="45"/>
        <v>99</v>
      </c>
      <c r="CL91">
        <f t="shared" si="45"/>
        <v>77</v>
      </c>
      <c r="CM91">
        <f t="shared" si="45"/>
        <v>86</v>
      </c>
      <c r="CN91">
        <f t="shared" si="45"/>
        <v>88</v>
      </c>
      <c r="CO91">
        <f t="shared" si="45"/>
        <v>91</v>
      </c>
      <c r="CP91">
        <f t="shared" si="45"/>
        <v>85</v>
      </c>
      <c r="CQ91">
        <f t="shared" si="45"/>
        <v>79</v>
      </c>
      <c r="CR91">
        <f t="shared" si="45"/>
        <v>80</v>
      </c>
      <c r="CS91">
        <f t="shared" si="45"/>
        <v>83</v>
      </c>
      <c r="CT91">
        <f t="shared" si="45"/>
        <v>81</v>
      </c>
      <c r="CU91">
        <f t="shared" si="45"/>
        <v>65</v>
      </c>
      <c r="CV91">
        <f t="shared" si="45"/>
        <v>70</v>
      </c>
      <c r="CW91">
        <f t="shared" si="45"/>
        <v>62</v>
      </c>
      <c r="CX91">
        <f t="shared" si="45"/>
        <v>63</v>
      </c>
      <c r="CY91">
        <f t="shared" si="45"/>
        <v>78</v>
      </c>
      <c r="CZ91">
        <f t="shared" si="45"/>
        <v>59</v>
      </c>
      <c r="DA91">
        <f t="shared" si="45"/>
        <v>53</v>
      </c>
      <c r="DB91">
        <f t="shared" si="45"/>
        <v>56</v>
      </c>
      <c r="DC91">
        <f t="shared" si="45"/>
        <v>63</v>
      </c>
      <c r="DD91">
        <f t="shared" si="45"/>
        <v>75</v>
      </c>
      <c r="DE91">
        <f t="shared" si="45"/>
        <v>73</v>
      </c>
      <c r="DF91">
        <f t="shared" si="45"/>
        <v>74</v>
      </c>
      <c r="DG91">
        <f t="shared" si="45"/>
        <v>69</v>
      </c>
      <c r="DH91">
        <f t="shared" si="45"/>
        <v>80</v>
      </c>
      <c r="DI91">
        <f t="shared" si="45"/>
        <v>83</v>
      </c>
      <c r="DJ91">
        <f t="shared" si="45"/>
        <v>111</v>
      </c>
      <c r="DK91">
        <f t="shared" si="45"/>
        <v>112</v>
      </c>
      <c r="DL91">
        <f t="shared" si="45"/>
        <v>105</v>
      </c>
      <c r="DM91">
        <f t="shared" si="45"/>
        <v>97</v>
      </c>
      <c r="DN91">
        <f t="shared" si="45"/>
        <v>68</v>
      </c>
      <c r="DO91">
        <f t="shared" si="45"/>
        <v>85</v>
      </c>
      <c r="DP91">
        <f t="shared" si="45"/>
        <v>94</v>
      </c>
      <c r="DQ91">
        <f t="shared" si="45"/>
        <v>101</v>
      </c>
      <c r="DR91">
        <f t="shared" si="45"/>
        <v>87</v>
      </c>
      <c r="DS91">
        <f t="shared" si="45"/>
        <v>80</v>
      </c>
      <c r="DT91">
        <f t="shared" si="45"/>
        <v>73</v>
      </c>
      <c r="DU91">
        <f t="shared" si="45"/>
        <v>66</v>
      </c>
      <c r="DV91">
        <f t="shared" si="45"/>
        <v>81</v>
      </c>
      <c r="DW91">
        <f t="shared" si="45"/>
        <v>80</v>
      </c>
      <c r="DX91">
        <f t="shared" si="45"/>
        <v>106</v>
      </c>
      <c r="DY91">
        <f t="shared" si="45"/>
        <v>83</v>
      </c>
      <c r="DZ91">
        <f t="shared" si="45"/>
        <v>110</v>
      </c>
      <c r="EA91">
        <f t="shared" si="45"/>
        <v>80</v>
      </c>
      <c r="EB91">
        <f t="shared" si="45"/>
        <v>83</v>
      </c>
      <c r="EC91">
        <f t="shared" si="45"/>
        <v>80</v>
      </c>
      <c r="ED91">
        <f t="shared" si="45"/>
        <v>101</v>
      </c>
      <c r="EE91">
        <f t="shared" si="45"/>
        <v>95</v>
      </c>
      <c r="EF91">
        <f t="shared" si="45"/>
        <v>93</v>
      </c>
      <c r="EG91">
        <f t="shared" si="45"/>
        <v>97</v>
      </c>
      <c r="EH91">
        <f t="shared" si="45"/>
        <v>82</v>
      </c>
      <c r="EI91">
        <f t="shared" ref="EI91:FK91" si="46">EI77+EI80+EI83+EI86+EI89</f>
        <v>81</v>
      </c>
      <c r="EJ91">
        <f t="shared" si="46"/>
        <v>77</v>
      </c>
      <c r="EK91">
        <f t="shared" si="46"/>
        <v>96</v>
      </c>
      <c r="EL91">
        <f t="shared" si="46"/>
        <v>72</v>
      </c>
      <c r="EM91">
        <f t="shared" si="46"/>
        <v>75</v>
      </c>
      <c r="EN91">
        <f t="shared" si="46"/>
        <v>86</v>
      </c>
      <c r="EO91">
        <f t="shared" si="46"/>
        <v>76</v>
      </c>
      <c r="EP91">
        <f t="shared" si="46"/>
        <v>86</v>
      </c>
      <c r="EQ91">
        <f t="shared" si="46"/>
        <v>136</v>
      </c>
      <c r="ER91">
        <f t="shared" si="46"/>
        <v>88</v>
      </c>
      <c r="ES91">
        <f t="shared" si="46"/>
        <v>80</v>
      </c>
      <c r="ET91">
        <f t="shared" si="46"/>
        <v>101</v>
      </c>
      <c r="EU91">
        <f t="shared" si="46"/>
        <v>102</v>
      </c>
      <c r="EV91">
        <f t="shared" si="46"/>
        <v>73</v>
      </c>
      <c r="EW91">
        <f t="shared" si="46"/>
        <v>87</v>
      </c>
      <c r="EX91">
        <f t="shared" si="46"/>
        <v>80</v>
      </c>
      <c r="EY91">
        <f t="shared" si="46"/>
        <v>84</v>
      </c>
      <c r="EZ91">
        <f t="shared" si="46"/>
        <v>80</v>
      </c>
      <c r="FA91">
        <f t="shared" si="46"/>
        <v>103</v>
      </c>
      <c r="FB91">
        <f t="shared" si="46"/>
        <v>115</v>
      </c>
      <c r="FC91">
        <f t="shared" si="46"/>
        <v>92</v>
      </c>
      <c r="FD91">
        <f t="shared" si="46"/>
        <v>95</v>
      </c>
      <c r="FE91">
        <f t="shared" si="46"/>
        <v>120</v>
      </c>
      <c r="FF91">
        <f t="shared" si="46"/>
        <v>90</v>
      </c>
      <c r="FG91">
        <f t="shared" si="46"/>
        <v>101</v>
      </c>
      <c r="FH91">
        <f t="shared" si="46"/>
        <v>98</v>
      </c>
      <c r="FI91">
        <f t="shared" si="46"/>
        <v>109</v>
      </c>
      <c r="FJ91">
        <f t="shared" si="46"/>
        <v>127</v>
      </c>
      <c r="FK91">
        <f t="shared" si="46"/>
        <v>122</v>
      </c>
      <c r="FL91">
        <f t="shared" si="42"/>
        <v>165</v>
      </c>
      <c r="FM91">
        <f t="shared" ref="FM91:FU91" si="47">FM77+FM80+FM83+FM86+FM89</f>
        <v>121</v>
      </c>
      <c r="FN91">
        <f t="shared" si="47"/>
        <v>119</v>
      </c>
      <c r="FO91">
        <f t="shared" si="47"/>
        <v>188</v>
      </c>
      <c r="FP91">
        <f t="shared" si="47"/>
        <v>197</v>
      </c>
      <c r="FQ91">
        <f t="shared" si="47"/>
        <v>140</v>
      </c>
      <c r="FR91">
        <f t="shared" si="47"/>
        <v>159</v>
      </c>
      <c r="FS91">
        <f t="shared" si="47"/>
        <v>148</v>
      </c>
      <c r="FT91">
        <f t="shared" si="47"/>
        <v>278</v>
      </c>
      <c r="FU91">
        <f t="shared" si="47"/>
        <v>4661</v>
      </c>
    </row>
    <row r="93" spans="8:177">
      <c r="H93" t="s">
        <v>51</v>
      </c>
      <c r="J93">
        <v>0.4</v>
      </c>
      <c r="K93">
        <v>2</v>
      </c>
      <c r="L93">
        <v>1400</v>
      </c>
      <c r="M93">
        <v>600</v>
      </c>
      <c r="N93">
        <v>90</v>
      </c>
      <c r="O93">
        <v>200</v>
      </c>
      <c r="P93">
        <v>100000</v>
      </c>
      <c r="Q93">
        <v>6.1437244529999999</v>
      </c>
      <c r="R93">
        <v>16.556747349999998</v>
      </c>
      <c r="S93">
        <v>8.1457437719999994</v>
      </c>
      <c r="T93">
        <v>4.82038586</v>
      </c>
      <c r="U93">
        <v>16.524373659999998</v>
      </c>
      <c r="V93">
        <v>6.919582814</v>
      </c>
      <c r="W93">
        <v>3.556363674</v>
      </c>
      <c r="X93">
        <v>16.65323179</v>
      </c>
      <c r="Y93">
        <v>6.053052331</v>
      </c>
    </row>
    <row r="94" spans="8:177">
      <c r="J94">
        <v>1943</v>
      </c>
      <c r="K94">
        <v>320</v>
      </c>
      <c r="L94">
        <v>135</v>
      </c>
      <c r="M94">
        <v>119</v>
      </c>
      <c r="N94">
        <v>109</v>
      </c>
      <c r="O94">
        <v>125</v>
      </c>
      <c r="P94">
        <v>113</v>
      </c>
      <c r="Q94">
        <v>109</v>
      </c>
      <c r="R94">
        <v>124</v>
      </c>
      <c r="S94">
        <v>106</v>
      </c>
      <c r="T94">
        <v>103</v>
      </c>
      <c r="U94">
        <v>111</v>
      </c>
      <c r="V94">
        <v>125</v>
      </c>
      <c r="W94">
        <v>102</v>
      </c>
      <c r="X94">
        <v>101</v>
      </c>
      <c r="Y94">
        <v>104</v>
      </c>
      <c r="Z94">
        <v>86</v>
      </c>
      <c r="AA94">
        <v>74</v>
      </c>
      <c r="AB94">
        <v>117</v>
      </c>
      <c r="AC94">
        <v>109</v>
      </c>
      <c r="AD94">
        <v>110</v>
      </c>
      <c r="AE94">
        <v>124</v>
      </c>
      <c r="AF94">
        <v>97</v>
      </c>
      <c r="AG94">
        <v>127</v>
      </c>
      <c r="AH94">
        <v>145</v>
      </c>
      <c r="AI94">
        <v>179</v>
      </c>
      <c r="AJ94">
        <v>228</v>
      </c>
      <c r="AK94">
        <v>89</v>
      </c>
      <c r="AL94">
        <v>37</v>
      </c>
      <c r="AM94">
        <v>60</v>
      </c>
      <c r="AN94">
        <v>42</v>
      </c>
      <c r="AO94">
        <v>57</v>
      </c>
      <c r="AP94">
        <v>32</v>
      </c>
      <c r="AQ94">
        <v>39</v>
      </c>
      <c r="AR94">
        <v>40</v>
      </c>
      <c r="AS94">
        <v>56</v>
      </c>
      <c r="AT94">
        <v>56</v>
      </c>
      <c r="AU94">
        <v>55</v>
      </c>
      <c r="AV94">
        <v>53</v>
      </c>
      <c r="AW94">
        <v>30</v>
      </c>
      <c r="AX94">
        <v>34</v>
      </c>
      <c r="AY94">
        <v>36</v>
      </c>
      <c r="AZ94">
        <v>36</v>
      </c>
      <c r="BA94">
        <v>47</v>
      </c>
      <c r="BB94">
        <v>38</v>
      </c>
      <c r="BC94">
        <v>29</v>
      </c>
      <c r="BD94">
        <v>34</v>
      </c>
      <c r="BE94">
        <v>29</v>
      </c>
      <c r="BF94">
        <v>35</v>
      </c>
      <c r="BG94">
        <v>36</v>
      </c>
      <c r="BH94">
        <v>37</v>
      </c>
      <c r="BI94">
        <v>36</v>
      </c>
      <c r="BJ94">
        <v>39</v>
      </c>
      <c r="BK94">
        <v>38</v>
      </c>
      <c r="BL94">
        <v>36</v>
      </c>
      <c r="BM94">
        <v>34</v>
      </c>
      <c r="BN94">
        <v>39</v>
      </c>
      <c r="BO94">
        <v>32</v>
      </c>
      <c r="BP94">
        <v>34</v>
      </c>
      <c r="BQ94">
        <v>36</v>
      </c>
      <c r="BR94">
        <v>48</v>
      </c>
      <c r="BS94">
        <v>45</v>
      </c>
      <c r="BT94">
        <v>48</v>
      </c>
      <c r="BU94">
        <v>40</v>
      </c>
      <c r="BV94">
        <v>49</v>
      </c>
      <c r="BW94">
        <v>52</v>
      </c>
      <c r="BX94">
        <v>65</v>
      </c>
      <c r="BY94">
        <v>111</v>
      </c>
      <c r="BZ94">
        <v>57</v>
      </c>
      <c r="CA94">
        <v>100</v>
      </c>
      <c r="CB94">
        <v>91</v>
      </c>
      <c r="CC94">
        <v>89</v>
      </c>
      <c r="CD94">
        <v>82</v>
      </c>
      <c r="CE94">
        <v>83</v>
      </c>
      <c r="CF94">
        <v>80</v>
      </c>
      <c r="CG94">
        <v>67</v>
      </c>
      <c r="CH94">
        <v>54</v>
      </c>
      <c r="CI94">
        <v>51</v>
      </c>
      <c r="CJ94">
        <v>67</v>
      </c>
      <c r="CK94">
        <v>82</v>
      </c>
      <c r="CL94">
        <v>50</v>
      </c>
      <c r="CM94">
        <v>75</v>
      </c>
      <c r="CN94">
        <v>58</v>
      </c>
      <c r="CO94">
        <v>71</v>
      </c>
      <c r="CP94">
        <v>69</v>
      </c>
      <c r="CQ94">
        <v>71</v>
      </c>
      <c r="CR94">
        <v>77</v>
      </c>
      <c r="CS94">
        <v>70</v>
      </c>
      <c r="CT94">
        <v>73</v>
      </c>
      <c r="CU94">
        <v>51</v>
      </c>
      <c r="CV94">
        <v>41</v>
      </c>
      <c r="CW94">
        <v>50</v>
      </c>
      <c r="CX94">
        <v>51</v>
      </c>
      <c r="CY94">
        <v>66</v>
      </c>
      <c r="CZ94">
        <v>64</v>
      </c>
      <c r="DA94">
        <v>70</v>
      </c>
      <c r="DB94">
        <v>72</v>
      </c>
      <c r="DC94">
        <v>50</v>
      </c>
      <c r="DD94">
        <v>33</v>
      </c>
      <c r="DE94">
        <v>38</v>
      </c>
      <c r="DF94">
        <v>41</v>
      </c>
      <c r="DG94">
        <v>29</v>
      </c>
      <c r="DH94">
        <v>21</v>
      </c>
      <c r="DI94">
        <v>26</v>
      </c>
      <c r="DJ94">
        <v>28</v>
      </c>
      <c r="DK94">
        <v>20</v>
      </c>
      <c r="DL94">
        <v>39</v>
      </c>
      <c r="DM94">
        <v>21</v>
      </c>
      <c r="DN94">
        <v>20</v>
      </c>
      <c r="DO94">
        <v>18</v>
      </c>
      <c r="DP94">
        <v>23</v>
      </c>
      <c r="DQ94">
        <v>21</v>
      </c>
      <c r="DR94">
        <v>31</v>
      </c>
      <c r="DS94">
        <v>24</v>
      </c>
      <c r="DT94">
        <v>23</v>
      </c>
      <c r="DU94">
        <v>16</v>
      </c>
      <c r="DV94">
        <v>11</v>
      </c>
      <c r="DW94">
        <v>15</v>
      </c>
      <c r="DX94">
        <v>6</v>
      </c>
      <c r="DY94">
        <v>16</v>
      </c>
      <c r="DZ94">
        <v>13</v>
      </c>
      <c r="EA94">
        <v>13</v>
      </c>
      <c r="EB94">
        <v>14</v>
      </c>
      <c r="EC94">
        <v>11</v>
      </c>
      <c r="ED94">
        <v>13</v>
      </c>
      <c r="EE94">
        <v>14</v>
      </c>
      <c r="EF94">
        <v>17</v>
      </c>
      <c r="EG94">
        <v>18</v>
      </c>
      <c r="EH94">
        <v>13</v>
      </c>
      <c r="EI94">
        <v>15</v>
      </c>
      <c r="EJ94">
        <v>16</v>
      </c>
      <c r="EK94">
        <v>22</v>
      </c>
      <c r="EL94">
        <v>11</v>
      </c>
      <c r="EM94">
        <v>11</v>
      </c>
      <c r="EN94">
        <v>14</v>
      </c>
      <c r="EO94">
        <v>8</v>
      </c>
      <c r="EP94">
        <v>14</v>
      </c>
      <c r="EQ94">
        <v>16</v>
      </c>
      <c r="ER94">
        <v>9</v>
      </c>
      <c r="ES94">
        <v>10</v>
      </c>
      <c r="ET94">
        <v>14</v>
      </c>
      <c r="EU94">
        <v>11</v>
      </c>
      <c r="EV94">
        <v>18</v>
      </c>
      <c r="EW94">
        <v>8</v>
      </c>
      <c r="EX94">
        <v>18</v>
      </c>
      <c r="EY94">
        <v>12</v>
      </c>
      <c r="EZ94">
        <v>16</v>
      </c>
      <c r="FA94">
        <v>17</v>
      </c>
      <c r="FB94">
        <v>16</v>
      </c>
      <c r="FC94">
        <v>21</v>
      </c>
      <c r="FD94">
        <v>12</v>
      </c>
      <c r="FE94">
        <v>17</v>
      </c>
      <c r="FF94">
        <v>24</v>
      </c>
      <c r="FG94">
        <v>18</v>
      </c>
      <c r="FH94">
        <v>18</v>
      </c>
      <c r="FI94">
        <v>15</v>
      </c>
      <c r="FJ94">
        <v>18</v>
      </c>
      <c r="FK94">
        <v>21</v>
      </c>
      <c r="FL94">
        <v>14</v>
      </c>
      <c r="FM94">
        <v>23</v>
      </c>
      <c r="FN94">
        <v>19</v>
      </c>
      <c r="FO94">
        <v>22</v>
      </c>
      <c r="FP94">
        <v>31</v>
      </c>
      <c r="FQ94">
        <v>28</v>
      </c>
      <c r="FR94">
        <v>43</v>
      </c>
      <c r="FS94">
        <v>42</v>
      </c>
      <c r="FT94">
        <v>79</v>
      </c>
      <c r="FU94">
        <v>87</v>
      </c>
    </row>
    <row r="95" spans="8:177"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10</v>
      </c>
      <c r="ET95">
        <v>10</v>
      </c>
      <c r="EU95">
        <v>6</v>
      </c>
      <c r="EV95">
        <v>6</v>
      </c>
      <c r="EW95">
        <v>4</v>
      </c>
      <c r="EX95">
        <v>4</v>
      </c>
      <c r="EY95">
        <v>4</v>
      </c>
      <c r="EZ95">
        <v>4</v>
      </c>
      <c r="FA95">
        <v>22</v>
      </c>
      <c r="FB95">
        <v>8</v>
      </c>
      <c r="FC95">
        <v>10</v>
      </c>
      <c r="FD95">
        <v>8</v>
      </c>
      <c r="FE95">
        <v>8</v>
      </c>
      <c r="FF95">
        <v>10</v>
      </c>
      <c r="FG95">
        <v>8</v>
      </c>
      <c r="FH95">
        <v>8</v>
      </c>
      <c r="FI95">
        <v>10</v>
      </c>
      <c r="FJ95">
        <v>4</v>
      </c>
      <c r="FK95">
        <v>10</v>
      </c>
      <c r="FL95">
        <v>11</v>
      </c>
      <c r="FM95">
        <v>14</v>
      </c>
      <c r="FN95">
        <v>16</v>
      </c>
      <c r="FO95">
        <v>24</v>
      </c>
      <c r="FP95">
        <v>22</v>
      </c>
      <c r="FQ95">
        <v>21</v>
      </c>
      <c r="FR95">
        <v>24</v>
      </c>
      <c r="FS95">
        <v>24</v>
      </c>
      <c r="FT95">
        <v>45</v>
      </c>
      <c r="FU95">
        <v>1989</v>
      </c>
    </row>
    <row r="96" spans="8:177">
      <c r="J96">
        <v>0.4</v>
      </c>
      <c r="K96">
        <v>3</v>
      </c>
      <c r="L96">
        <v>1400</v>
      </c>
      <c r="M96">
        <v>600</v>
      </c>
      <c r="N96">
        <v>90</v>
      </c>
      <c r="O96">
        <v>200</v>
      </c>
      <c r="P96">
        <v>100000</v>
      </c>
      <c r="Q96">
        <v>5.1525831139999996</v>
      </c>
      <c r="R96">
        <v>16.517059830000001</v>
      </c>
      <c r="S96">
        <v>7.525393373</v>
      </c>
      <c r="T96">
        <v>3.7921653530000001</v>
      </c>
      <c r="U96">
        <v>16.552253149999999</v>
      </c>
      <c r="V96">
        <v>5.946332033</v>
      </c>
      <c r="W96">
        <v>2.076816649</v>
      </c>
      <c r="X96">
        <v>16.644745759999999</v>
      </c>
      <c r="Y96">
        <v>3.7371665859999998</v>
      </c>
    </row>
    <row r="97" spans="8:177">
      <c r="J97">
        <v>4072</v>
      </c>
      <c r="K97">
        <v>170</v>
      </c>
      <c r="L97">
        <v>107</v>
      </c>
      <c r="M97">
        <v>93</v>
      </c>
      <c r="N97">
        <v>108</v>
      </c>
      <c r="O97">
        <v>102</v>
      </c>
      <c r="P97">
        <v>86</v>
      </c>
      <c r="Q97">
        <v>76</v>
      </c>
      <c r="R97">
        <v>82</v>
      </c>
      <c r="S97">
        <v>108</v>
      </c>
      <c r="T97">
        <v>99</v>
      </c>
      <c r="U97">
        <v>93</v>
      </c>
      <c r="V97">
        <v>113</v>
      </c>
      <c r="W97">
        <v>86</v>
      </c>
      <c r="X97">
        <v>90</v>
      </c>
      <c r="Y97">
        <v>130</v>
      </c>
      <c r="Z97">
        <v>151</v>
      </c>
      <c r="AA97">
        <v>124</v>
      </c>
      <c r="AB97">
        <v>107</v>
      </c>
      <c r="AC97">
        <v>94</v>
      </c>
      <c r="AD97">
        <v>97</v>
      </c>
      <c r="AE97">
        <v>85</v>
      </c>
      <c r="AF97">
        <v>97</v>
      </c>
      <c r="AG97">
        <v>104</v>
      </c>
      <c r="AH97">
        <v>128</v>
      </c>
      <c r="AI97">
        <v>122</v>
      </c>
      <c r="AJ97">
        <v>117</v>
      </c>
      <c r="AK97">
        <v>67</v>
      </c>
      <c r="AL97">
        <v>66</v>
      </c>
      <c r="AM97">
        <v>91</v>
      </c>
      <c r="AN97">
        <v>74</v>
      </c>
      <c r="AO97">
        <v>113</v>
      </c>
      <c r="AP97">
        <v>79</v>
      </c>
      <c r="AQ97">
        <v>52</v>
      </c>
      <c r="AR97">
        <v>49</v>
      </c>
      <c r="AS97">
        <v>48</v>
      </c>
      <c r="AT97">
        <v>53</v>
      </c>
      <c r="AU97">
        <v>45</v>
      </c>
      <c r="AV97">
        <v>23</v>
      </c>
      <c r="AW97">
        <v>13</v>
      </c>
      <c r="AX97">
        <v>22</v>
      </c>
      <c r="AY97">
        <v>17</v>
      </c>
      <c r="AZ97">
        <v>16</v>
      </c>
      <c r="BA97">
        <v>18</v>
      </c>
      <c r="BB97">
        <v>18</v>
      </c>
      <c r="BC97">
        <v>16</v>
      </c>
      <c r="BD97">
        <v>20</v>
      </c>
      <c r="BE97">
        <v>18</v>
      </c>
      <c r="BF97">
        <v>19</v>
      </c>
      <c r="BG97">
        <v>15</v>
      </c>
      <c r="BH97">
        <v>20</v>
      </c>
      <c r="BI97">
        <v>17</v>
      </c>
      <c r="BJ97">
        <v>15</v>
      </c>
      <c r="BK97">
        <v>20</v>
      </c>
      <c r="BL97">
        <v>18</v>
      </c>
      <c r="BM97">
        <v>18</v>
      </c>
      <c r="BN97">
        <v>22</v>
      </c>
      <c r="BO97">
        <v>19</v>
      </c>
      <c r="BP97">
        <v>20</v>
      </c>
      <c r="BQ97">
        <v>24</v>
      </c>
      <c r="BR97">
        <v>15</v>
      </c>
      <c r="BS97">
        <v>23</v>
      </c>
      <c r="BT97">
        <v>21</v>
      </c>
      <c r="BU97">
        <v>20</v>
      </c>
      <c r="BV97">
        <v>22</v>
      </c>
      <c r="BW97">
        <v>24</v>
      </c>
      <c r="BX97">
        <v>38</v>
      </c>
      <c r="BY97">
        <v>67</v>
      </c>
      <c r="BZ97">
        <v>31</v>
      </c>
      <c r="CA97">
        <v>32</v>
      </c>
      <c r="CB97">
        <v>37</v>
      </c>
      <c r="CC97">
        <v>32</v>
      </c>
      <c r="CD97">
        <v>46</v>
      </c>
      <c r="CE97">
        <v>52</v>
      </c>
      <c r="CF97">
        <v>52</v>
      </c>
      <c r="CG97">
        <v>49</v>
      </c>
      <c r="CH97">
        <v>40</v>
      </c>
      <c r="CI97">
        <v>47</v>
      </c>
      <c r="CJ97">
        <v>54</v>
      </c>
      <c r="CK97">
        <v>49</v>
      </c>
      <c r="CL97">
        <v>47</v>
      </c>
      <c r="CM97">
        <v>53</v>
      </c>
      <c r="CN97">
        <v>46</v>
      </c>
      <c r="CO97">
        <v>65</v>
      </c>
      <c r="CP97">
        <v>71</v>
      </c>
      <c r="CQ97">
        <v>73</v>
      </c>
      <c r="CR97">
        <v>56</v>
      </c>
      <c r="CS97">
        <v>64</v>
      </c>
      <c r="CT97">
        <v>73</v>
      </c>
      <c r="CU97">
        <v>77</v>
      </c>
      <c r="CV97">
        <v>45</v>
      </c>
      <c r="CW97">
        <v>51</v>
      </c>
      <c r="CX97">
        <v>65</v>
      </c>
      <c r="CY97">
        <v>56</v>
      </c>
      <c r="CZ97">
        <v>48</v>
      </c>
      <c r="DA97">
        <v>57</v>
      </c>
      <c r="DB97">
        <v>50</v>
      </c>
      <c r="DC97">
        <v>40</v>
      </c>
      <c r="DD97">
        <v>45</v>
      </c>
      <c r="DE97">
        <v>55</v>
      </c>
      <c r="DF97">
        <v>61</v>
      </c>
      <c r="DG97">
        <v>39</v>
      </c>
      <c r="DH97">
        <v>31</v>
      </c>
      <c r="DI97">
        <v>39</v>
      </c>
      <c r="DJ97">
        <v>30</v>
      </c>
      <c r="DK97">
        <v>38</v>
      </c>
      <c r="DL97">
        <v>41</v>
      </c>
      <c r="DM97">
        <v>38</v>
      </c>
      <c r="DN97">
        <v>26</v>
      </c>
      <c r="DO97">
        <v>19</v>
      </c>
      <c r="DP97">
        <v>20</v>
      </c>
      <c r="DQ97">
        <v>21</v>
      </c>
      <c r="DR97">
        <v>26</v>
      </c>
      <c r="DS97">
        <v>25</v>
      </c>
      <c r="DT97">
        <v>16</v>
      </c>
      <c r="DU97">
        <v>20</v>
      </c>
      <c r="DV97">
        <v>22</v>
      </c>
      <c r="DW97">
        <v>22</v>
      </c>
      <c r="DX97">
        <v>12</v>
      </c>
      <c r="DY97">
        <v>10</v>
      </c>
      <c r="DZ97">
        <v>14</v>
      </c>
      <c r="EA97">
        <v>12</v>
      </c>
      <c r="EB97">
        <v>8</v>
      </c>
      <c r="EC97">
        <v>18</v>
      </c>
      <c r="ED97">
        <v>6</v>
      </c>
      <c r="EE97">
        <v>18</v>
      </c>
      <c r="EF97">
        <v>9</v>
      </c>
      <c r="EG97">
        <v>14</v>
      </c>
      <c r="EH97">
        <v>9</v>
      </c>
      <c r="EI97">
        <v>11</v>
      </c>
      <c r="EJ97">
        <v>13</v>
      </c>
      <c r="EK97">
        <v>10</v>
      </c>
      <c r="EL97">
        <v>12</v>
      </c>
      <c r="EM97">
        <v>9</v>
      </c>
      <c r="EN97">
        <v>12</v>
      </c>
      <c r="EO97">
        <v>11</v>
      </c>
      <c r="EP97">
        <v>12</v>
      </c>
      <c r="EQ97">
        <v>13</v>
      </c>
      <c r="ER97">
        <v>9</v>
      </c>
      <c r="ES97">
        <v>16</v>
      </c>
      <c r="ET97">
        <v>9</v>
      </c>
      <c r="EU97">
        <v>12</v>
      </c>
      <c r="EV97">
        <v>14</v>
      </c>
      <c r="EW97">
        <v>14</v>
      </c>
      <c r="EX97">
        <v>11</v>
      </c>
      <c r="EY97">
        <v>17</v>
      </c>
      <c r="EZ97">
        <v>11</v>
      </c>
      <c r="FA97">
        <v>12</v>
      </c>
      <c r="FB97">
        <v>16</v>
      </c>
      <c r="FC97">
        <v>13</v>
      </c>
      <c r="FD97">
        <v>13</v>
      </c>
      <c r="FE97">
        <v>14</v>
      </c>
      <c r="FF97">
        <v>18</v>
      </c>
      <c r="FG97">
        <v>12</v>
      </c>
      <c r="FH97">
        <v>17</v>
      </c>
      <c r="FI97">
        <v>17</v>
      </c>
      <c r="FJ97">
        <v>19</v>
      </c>
      <c r="FK97">
        <v>20</v>
      </c>
      <c r="FL97">
        <v>20</v>
      </c>
      <c r="FM97">
        <v>41</v>
      </c>
      <c r="FN97">
        <v>38</v>
      </c>
      <c r="FO97">
        <v>37</v>
      </c>
      <c r="FP97">
        <v>41</v>
      </c>
      <c r="FQ97">
        <v>42</v>
      </c>
      <c r="FR97">
        <v>55</v>
      </c>
      <c r="FS97">
        <v>57</v>
      </c>
      <c r="FT97">
        <v>133</v>
      </c>
      <c r="FU97">
        <v>542</v>
      </c>
    </row>
    <row r="98" spans="8:177"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5</v>
      </c>
      <c r="ET98">
        <v>5</v>
      </c>
      <c r="EU98">
        <v>4</v>
      </c>
      <c r="EV98">
        <v>2</v>
      </c>
      <c r="EW98">
        <v>2</v>
      </c>
      <c r="EX98">
        <v>2</v>
      </c>
      <c r="EY98">
        <v>2</v>
      </c>
      <c r="EZ98">
        <v>2</v>
      </c>
      <c r="FA98">
        <v>20</v>
      </c>
      <c r="FB98">
        <v>8</v>
      </c>
      <c r="FC98">
        <v>7</v>
      </c>
      <c r="FD98">
        <v>6</v>
      </c>
      <c r="FE98">
        <v>6</v>
      </c>
      <c r="FF98">
        <v>8</v>
      </c>
      <c r="FG98">
        <v>6</v>
      </c>
      <c r="FH98">
        <v>7</v>
      </c>
      <c r="FI98">
        <v>8</v>
      </c>
      <c r="FJ98">
        <v>3</v>
      </c>
      <c r="FK98">
        <v>10</v>
      </c>
      <c r="FL98">
        <v>7</v>
      </c>
      <c r="FM98">
        <v>11</v>
      </c>
      <c r="FN98">
        <v>8</v>
      </c>
      <c r="FO98">
        <v>53</v>
      </c>
      <c r="FP98">
        <v>38</v>
      </c>
      <c r="FQ98">
        <v>27</v>
      </c>
      <c r="FR98">
        <v>35</v>
      </c>
      <c r="FS98">
        <v>39</v>
      </c>
      <c r="FT98">
        <v>62</v>
      </c>
      <c r="FU98">
        <v>2070</v>
      </c>
    </row>
    <row r="99" spans="8:177">
      <c r="J99">
        <v>0.4</v>
      </c>
      <c r="K99">
        <v>6</v>
      </c>
      <c r="L99">
        <v>1400</v>
      </c>
      <c r="M99">
        <v>600</v>
      </c>
      <c r="N99">
        <v>90</v>
      </c>
      <c r="O99">
        <v>200</v>
      </c>
      <c r="P99">
        <v>100000</v>
      </c>
      <c r="Q99">
        <v>8.5279977959999993</v>
      </c>
      <c r="R99">
        <v>15.704322680000001</v>
      </c>
      <c r="S99">
        <v>10.206117620000001</v>
      </c>
      <c r="T99">
        <v>7.5821211039999996</v>
      </c>
      <c r="U99">
        <v>15.825477210000001</v>
      </c>
      <c r="V99">
        <v>9.5659524329999996</v>
      </c>
      <c r="W99">
        <v>5.3739213389999998</v>
      </c>
      <c r="X99">
        <v>16.48203212</v>
      </c>
      <c r="Y99">
        <v>7.7276968110000004</v>
      </c>
    </row>
    <row r="100" spans="8:177">
      <c r="J100">
        <v>1501</v>
      </c>
      <c r="K100">
        <v>72</v>
      </c>
      <c r="L100">
        <v>51</v>
      </c>
      <c r="M100">
        <v>51</v>
      </c>
      <c r="N100">
        <v>49</v>
      </c>
      <c r="O100">
        <v>46</v>
      </c>
      <c r="P100">
        <v>39</v>
      </c>
      <c r="Q100">
        <v>38</v>
      </c>
      <c r="R100">
        <v>28</v>
      </c>
      <c r="S100">
        <v>54</v>
      </c>
      <c r="T100">
        <v>36</v>
      </c>
      <c r="U100">
        <v>34</v>
      </c>
      <c r="V100">
        <v>52</v>
      </c>
      <c r="W100">
        <v>40</v>
      </c>
      <c r="X100">
        <v>30</v>
      </c>
      <c r="Y100">
        <v>55</v>
      </c>
      <c r="Z100">
        <v>50</v>
      </c>
      <c r="AA100">
        <v>61</v>
      </c>
      <c r="AB100">
        <v>37</v>
      </c>
      <c r="AC100">
        <v>13</v>
      </c>
      <c r="AD100">
        <v>15</v>
      </c>
      <c r="AE100">
        <v>15</v>
      </c>
      <c r="AF100">
        <v>11</v>
      </c>
      <c r="AG100">
        <v>16</v>
      </c>
      <c r="AH100">
        <v>15</v>
      </c>
      <c r="AI100">
        <v>12</v>
      </c>
      <c r="AJ100">
        <v>14</v>
      </c>
      <c r="AK100">
        <v>14</v>
      </c>
      <c r="AL100">
        <v>18</v>
      </c>
      <c r="AM100">
        <v>15</v>
      </c>
      <c r="AN100">
        <v>14</v>
      </c>
      <c r="AO100">
        <v>21</v>
      </c>
      <c r="AP100">
        <v>15</v>
      </c>
      <c r="AQ100">
        <v>15</v>
      </c>
      <c r="AR100">
        <v>10</v>
      </c>
      <c r="AS100">
        <v>15</v>
      </c>
      <c r="AT100">
        <v>11</v>
      </c>
      <c r="AU100">
        <v>14</v>
      </c>
      <c r="AV100">
        <v>14</v>
      </c>
      <c r="AW100">
        <v>14</v>
      </c>
      <c r="AX100">
        <v>12</v>
      </c>
      <c r="AY100">
        <v>13</v>
      </c>
      <c r="AZ100">
        <v>12</v>
      </c>
      <c r="BA100">
        <v>16</v>
      </c>
      <c r="BB100">
        <v>12</v>
      </c>
      <c r="BC100">
        <v>17</v>
      </c>
      <c r="BD100">
        <v>13</v>
      </c>
      <c r="BE100">
        <v>14</v>
      </c>
      <c r="BF100">
        <v>13</v>
      </c>
      <c r="BG100">
        <v>14</v>
      </c>
      <c r="BH100">
        <v>14</v>
      </c>
      <c r="BI100">
        <v>16</v>
      </c>
      <c r="BJ100">
        <v>13</v>
      </c>
      <c r="BK100">
        <v>16</v>
      </c>
      <c r="BL100">
        <v>17</v>
      </c>
      <c r="BM100">
        <v>19</v>
      </c>
      <c r="BN100">
        <v>25</v>
      </c>
      <c r="BO100">
        <v>24</v>
      </c>
      <c r="BP100">
        <v>22</v>
      </c>
      <c r="BQ100">
        <v>23</v>
      </c>
      <c r="BR100">
        <v>24</v>
      </c>
      <c r="BS100">
        <v>37</v>
      </c>
      <c r="BT100">
        <v>28</v>
      </c>
      <c r="BU100">
        <v>24</v>
      </c>
      <c r="BV100">
        <v>34</v>
      </c>
      <c r="BW100">
        <v>36</v>
      </c>
      <c r="BX100">
        <v>106</v>
      </c>
      <c r="BY100">
        <v>111</v>
      </c>
      <c r="BZ100">
        <v>76</v>
      </c>
      <c r="CA100">
        <v>85</v>
      </c>
      <c r="CB100">
        <v>84</v>
      </c>
      <c r="CC100">
        <v>101</v>
      </c>
      <c r="CD100">
        <v>114</v>
      </c>
      <c r="CE100">
        <v>124</v>
      </c>
      <c r="CF100">
        <v>131</v>
      </c>
      <c r="CG100">
        <v>163</v>
      </c>
      <c r="CH100">
        <v>119</v>
      </c>
      <c r="CI100">
        <v>121</v>
      </c>
      <c r="CJ100">
        <v>89</v>
      </c>
      <c r="CK100">
        <v>75</v>
      </c>
      <c r="CL100">
        <v>83</v>
      </c>
      <c r="CM100">
        <v>92</v>
      </c>
      <c r="CN100">
        <v>83</v>
      </c>
      <c r="CO100">
        <v>108</v>
      </c>
      <c r="CP100">
        <v>66</v>
      </c>
      <c r="CQ100">
        <v>60</v>
      </c>
      <c r="CR100">
        <v>78</v>
      </c>
      <c r="CS100">
        <v>63</v>
      </c>
      <c r="CT100">
        <v>84</v>
      </c>
      <c r="CU100">
        <v>52</v>
      </c>
      <c r="CV100">
        <v>66</v>
      </c>
      <c r="CW100">
        <v>72</v>
      </c>
      <c r="CX100">
        <v>84</v>
      </c>
      <c r="CY100">
        <v>52</v>
      </c>
      <c r="CZ100">
        <v>71</v>
      </c>
      <c r="DA100">
        <v>49</v>
      </c>
      <c r="DB100">
        <v>46</v>
      </c>
      <c r="DC100">
        <v>75</v>
      </c>
      <c r="DD100">
        <v>55</v>
      </c>
      <c r="DE100">
        <v>58</v>
      </c>
      <c r="DF100">
        <v>75</v>
      </c>
      <c r="DG100">
        <v>64</v>
      </c>
      <c r="DH100">
        <v>37</v>
      </c>
      <c r="DI100">
        <v>47</v>
      </c>
      <c r="DJ100">
        <v>33</v>
      </c>
      <c r="DK100">
        <v>48</v>
      </c>
      <c r="DL100">
        <v>44</v>
      </c>
      <c r="DM100">
        <v>52</v>
      </c>
      <c r="DN100">
        <v>36</v>
      </c>
      <c r="DO100">
        <v>37</v>
      </c>
      <c r="DP100">
        <v>40</v>
      </c>
      <c r="DQ100">
        <v>32</v>
      </c>
      <c r="DR100">
        <v>30</v>
      </c>
      <c r="DS100">
        <v>39</v>
      </c>
      <c r="DT100">
        <v>39</v>
      </c>
      <c r="DU100">
        <v>34</v>
      </c>
      <c r="DV100">
        <v>40</v>
      </c>
      <c r="DW100">
        <v>24</v>
      </c>
      <c r="DX100">
        <v>26</v>
      </c>
      <c r="DY100">
        <v>38</v>
      </c>
      <c r="DZ100">
        <v>26</v>
      </c>
      <c r="EA100">
        <v>24</v>
      </c>
      <c r="EB100">
        <v>23</v>
      </c>
      <c r="EC100">
        <v>28</v>
      </c>
      <c r="ED100">
        <v>20</v>
      </c>
      <c r="EE100">
        <v>25</v>
      </c>
      <c r="EF100">
        <v>20</v>
      </c>
      <c r="EG100">
        <v>21</v>
      </c>
      <c r="EH100">
        <v>29</v>
      </c>
      <c r="EI100">
        <v>20</v>
      </c>
      <c r="EJ100">
        <v>27</v>
      </c>
      <c r="EK100">
        <v>25</v>
      </c>
      <c r="EL100">
        <v>26</v>
      </c>
      <c r="EM100">
        <v>74</v>
      </c>
      <c r="EN100">
        <v>30</v>
      </c>
      <c r="EO100">
        <v>27</v>
      </c>
      <c r="EP100">
        <v>31</v>
      </c>
      <c r="EQ100">
        <v>24</v>
      </c>
      <c r="ER100">
        <v>24</v>
      </c>
      <c r="ES100">
        <v>27</v>
      </c>
      <c r="ET100">
        <v>20</v>
      </c>
      <c r="EU100">
        <v>25</v>
      </c>
      <c r="EV100">
        <v>19</v>
      </c>
      <c r="EW100">
        <v>24</v>
      </c>
      <c r="EX100">
        <v>24</v>
      </c>
      <c r="EY100">
        <v>18</v>
      </c>
      <c r="EZ100">
        <v>22</v>
      </c>
      <c r="FA100">
        <v>21</v>
      </c>
      <c r="FB100">
        <v>24</v>
      </c>
      <c r="FC100">
        <v>27</v>
      </c>
      <c r="FD100">
        <v>21</v>
      </c>
      <c r="FE100">
        <v>26</v>
      </c>
      <c r="FF100">
        <v>30</v>
      </c>
      <c r="FG100">
        <v>21</v>
      </c>
      <c r="FH100">
        <v>31</v>
      </c>
      <c r="FI100">
        <v>34</v>
      </c>
      <c r="FJ100">
        <v>23</v>
      </c>
      <c r="FK100">
        <v>32</v>
      </c>
      <c r="FL100">
        <v>37</v>
      </c>
      <c r="FM100">
        <v>23</v>
      </c>
      <c r="FN100">
        <v>19</v>
      </c>
      <c r="FO100">
        <v>26</v>
      </c>
      <c r="FP100">
        <v>32</v>
      </c>
      <c r="FQ100">
        <v>30</v>
      </c>
      <c r="FR100">
        <v>40</v>
      </c>
      <c r="FS100">
        <v>42</v>
      </c>
      <c r="FT100">
        <v>91</v>
      </c>
      <c r="FU100">
        <v>120</v>
      </c>
    </row>
    <row r="101" spans="8:177"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</v>
      </c>
      <c r="X101">
        <v>2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0</v>
      </c>
      <c r="AE101">
        <v>1</v>
      </c>
      <c r="AF101">
        <v>1</v>
      </c>
      <c r="AG101">
        <v>0</v>
      </c>
      <c r="AH101">
        <v>1</v>
      </c>
      <c r="AI101">
        <v>1</v>
      </c>
      <c r="AJ101">
        <v>0</v>
      </c>
      <c r="AK101">
        <v>1</v>
      </c>
      <c r="AL101">
        <v>0</v>
      </c>
      <c r="AM101">
        <v>1</v>
      </c>
      <c r="AN101">
        <v>1</v>
      </c>
      <c r="AO101">
        <v>1</v>
      </c>
      <c r="AP101">
        <v>0</v>
      </c>
      <c r="AQ101">
        <v>1</v>
      </c>
      <c r="AR101">
        <v>0</v>
      </c>
      <c r="AS101">
        <v>1</v>
      </c>
      <c r="AT101">
        <v>0</v>
      </c>
      <c r="AU101">
        <v>1</v>
      </c>
      <c r="AV101">
        <v>0</v>
      </c>
      <c r="AW101">
        <v>1</v>
      </c>
      <c r="AX101">
        <v>0</v>
      </c>
      <c r="AY101">
        <v>0</v>
      </c>
      <c r="AZ101">
        <v>1</v>
      </c>
      <c r="BA101">
        <v>0</v>
      </c>
      <c r="BB101">
        <v>1</v>
      </c>
      <c r="BC101">
        <v>0</v>
      </c>
      <c r="BD101">
        <v>1</v>
      </c>
      <c r="BE101">
        <v>0</v>
      </c>
      <c r="BF101">
        <v>1</v>
      </c>
      <c r="BG101">
        <v>0</v>
      </c>
      <c r="BH101">
        <v>7</v>
      </c>
      <c r="BI101">
        <v>2</v>
      </c>
      <c r="BJ101">
        <v>2</v>
      </c>
      <c r="BK101">
        <v>2</v>
      </c>
      <c r="BL101">
        <v>1</v>
      </c>
      <c r="BM101">
        <v>2</v>
      </c>
      <c r="BN101">
        <v>1</v>
      </c>
      <c r="BO101">
        <v>1</v>
      </c>
      <c r="BP101">
        <v>2</v>
      </c>
      <c r="BQ101">
        <v>1</v>
      </c>
      <c r="BR101">
        <v>2</v>
      </c>
      <c r="BS101">
        <v>2</v>
      </c>
      <c r="BT101">
        <v>2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0</v>
      </c>
      <c r="CC101">
        <v>1</v>
      </c>
      <c r="CD101">
        <v>1</v>
      </c>
      <c r="CE101">
        <v>0</v>
      </c>
      <c r="CF101">
        <v>1</v>
      </c>
      <c r="CG101">
        <v>1</v>
      </c>
      <c r="CH101">
        <v>0</v>
      </c>
      <c r="CI101">
        <v>2</v>
      </c>
      <c r="CJ101">
        <v>4</v>
      </c>
      <c r="CK101">
        <v>3</v>
      </c>
      <c r="CL101">
        <v>4</v>
      </c>
      <c r="CM101">
        <v>4</v>
      </c>
      <c r="CN101">
        <v>1</v>
      </c>
      <c r="CO101">
        <v>3</v>
      </c>
      <c r="CP101">
        <v>1</v>
      </c>
      <c r="CQ101">
        <v>2</v>
      </c>
      <c r="CR101">
        <v>1</v>
      </c>
      <c r="CS101">
        <v>2</v>
      </c>
      <c r="CT101">
        <v>1</v>
      </c>
      <c r="CU101">
        <v>2</v>
      </c>
      <c r="CV101">
        <v>1</v>
      </c>
      <c r="CW101">
        <v>2</v>
      </c>
      <c r="CX101">
        <v>2</v>
      </c>
      <c r="CY101">
        <v>1</v>
      </c>
      <c r="CZ101">
        <v>1</v>
      </c>
      <c r="DA101">
        <v>2</v>
      </c>
      <c r="DB101">
        <v>1</v>
      </c>
      <c r="DC101">
        <v>2</v>
      </c>
      <c r="DD101">
        <v>0</v>
      </c>
      <c r="DE101">
        <v>2</v>
      </c>
      <c r="DF101">
        <v>2</v>
      </c>
      <c r="DG101">
        <v>1</v>
      </c>
      <c r="DH101">
        <v>1</v>
      </c>
      <c r="DI101">
        <v>1</v>
      </c>
      <c r="DJ101">
        <v>2</v>
      </c>
      <c r="DK101">
        <v>4</v>
      </c>
      <c r="DL101">
        <v>7</v>
      </c>
      <c r="DM101">
        <v>3</v>
      </c>
      <c r="DN101">
        <v>5</v>
      </c>
      <c r="DO101">
        <v>5</v>
      </c>
      <c r="DP101">
        <v>2</v>
      </c>
      <c r="DQ101">
        <v>3</v>
      </c>
      <c r="DR101">
        <v>3</v>
      </c>
      <c r="DS101">
        <v>3</v>
      </c>
      <c r="DT101">
        <v>7</v>
      </c>
      <c r="DU101">
        <v>4</v>
      </c>
      <c r="DV101">
        <v>7</v>
      </c>
      <c r="DW101">
        <v>4</v>
      </c>
      <c r="DX101">
        <v>9</v>
      </c>
      <c r="DY101">
        <v>7</v>
      </c>
      <c r="DZ101">
        <v>6</v>
      </c>
      <c r="EA101">
        <v>9</v>
      </c>
      <c r="EB101">
        <v>5</v>
      </c>
      <c r="EC101">
        <v>5</v>
      </c>
      <c r="ED101">
        <v>8</v>
      </c>
      <c r="EE101">
        <v>4</v>
      </c>
      <c r="EF101">
        <v>4</v>
      </c>
      <c r="EG101">
        <v>6</v>
      </c>
      <c r="EH101">
        <v>7</v>
      </c>
      <c r="EI101">
        <v>3</v>
      </c>
      <c r="EJ101">
        <v>6</v>
      </c>
      <c r="EK101">
        <v>6</v>
      </c>
      <c r="EL101">
        <v>6</v>
      </c>
      <c r="EM101">
        <v>20</v>
      </c>
      <c r="EN101">
        <v>4</v>
      </c>
      <c r="EO101">
        <v>3</v>
      </c>
      <c r="EP101">
        <v>4</v>
      </c>
      <c r="EQ101">
        <v>4</v>
      </c>
      <c r="ER101">
        <v>2</v>
      </c>
      <c r="ES101">
        <v>6</v>
      </c>
      <c r="ET101">
        <v>3</v>
      </c>
      <c r="EU101">
        <v>6</v>
      </c>
      <c r="EV101">
        <v>6</v>
      </c>
      <c r="EW101">
        <v>4</v>
      </c>
      <c r="EX101">
        <v>5</v>
      </c>
      <c r="EY101">
        <v>20</v>
      </c>
      <c r="EZ101">
        <v>20</v>
      </c>
      <c r="FA101">
        <v>11</v>
      </c>
      <c r="FB101">
        <v>10</v>
      </c>
      <c r="FC101">
        <v>7</v>
      </c>
      <c r="FD101">
        <v>6</v>
      </c>
      <c r="FE101">
        <v>6</v>
      </c>
      <c r="FF101">
        <v>9</v>
      </c>
      <c r="FG101">
        <v>5</v>
      </c>
      <c r="FH101">
        <v>10</v>
      </c>
      <c r="FI101">
        <v>7</v>
      </c>
      <c r="FJ101">
        <v>9</v>
      </c>
      <c r="FK101">
        <v>9</v>
      </c>
      <c r="FL101">
        <v>7</v>
      </c>
      <c r="FM101">
        <v>16</v>
      </c>
      <c r="FN101">
        <v>19</v>
      </c>
      <c r="FO101">
        <v>14</v>
      </c>
      <c r="FP101">
        <v>23</v>
      </c>
      <c r="FQ101">
        <v>21</v>
      </c>
      <c r="FR101">
        <v>23</v>
      </c>
      <c r="FS101">
        <v>19</v>
      </c>
      <c r="FT101">
        <v>45</v>
      </c>
      <c r="FU101">
        <v>2022</v>
      </c>
    </row>
    <row r="102" spans="8:177">
      <c r="J102">
        <v>0.4</v>
      </c>
      <c r="K102">
        <v>4</v>
      </c>
      <c r="L102">
        <v>1400</v>
      </c>
      <c r="M102">
        <v>600</v>
      </c>
      <c r="N102">
        <v>90</v>
      </c>
      <c r="O102">
        <v>200</v>
      </c>
      <c r="P102">
        <v>100000</v>
      </c>
      <c r="Q102">
        <v>5.6212815450000004</v>
      </c>
      <c r="R102">
        <v>16.472375379999999</v>
      </c>
      <c r="S102">
        <v>7.8719288479999996</v>
      </c>
      <c r="T102">
        <v>4.2826086989999999</v>
      </c>
      <c r="U102">
        <v>16.48816931</v>
      </c>
      <c r="V102">
        <v>6.4683255490000002</v>
      </c>
      <c r="W102">
        <v>2.7089067820000001</v>
      </c>
      <c r="X102">
        <v>16.431613890000001</v>
      </c>
      <c r="Y102">
        <v>4.4326083809999997</v>
      </c>
    </row>
    <row r="103" spans="8:177">
      <c r="J103">
        <v>2353</v>
      </c>
      <c r="K103">
        <v>346</v>
      </c>
      <c r="L103">
        <v>159</v>
      </c>
      <c r="M103">
        <v>181</v>
      </c>
      <c r="N103">
        <v>190</v>
      </c>
      <c r="O103">
        <v>162</v>
      </c>
      <c r="P103">
        <v>122</v>
      </c>
      <c r="Q103">
        <v>124</v>
      </c>
      <c r="R103">
        <v>132</v>
      </c>
      <c r="S103">
        <v>249</v>
      </c>
      <c r="T103">
        <v>153</v>
      </c>
      <c r="U103">
        <v>164</v>
      </c>
      <c r="V103">
        <v>226</v>
      </c>
      <c r="W103">
        <v>163</v>
      </c>
      <c r="X103">
        <v>170</v>
      </c>
      <c r="Y103">
        <v>248</v>
      </c>
      <c r="Z103">
        <v>273</v>
      </c>
      <c r="AA103">
        <v>255</v>
      </c>
      <c r="AB103">
        <v>316</v>
      </c>
      <c r="AC103">
        <v>114</v>
      </c>
      <c r="AD103">
        <v>101</v>
      </c>
      <c r="AE103">
        <v>75</v>
      </c>
      <c r="AF103">
        <v>80</v>
      </c>
      <c r="AG103">
        <v>78</v>
      </c>
      <c r="AH103">
        <v>79</v>
      </c>
      <c r="AI103">
        <v>110</v>
      </c>
      <c r="AJ103">
        <v>43</v>
      </c>
      <c r="AK103">
        <v>31</v>
      </c>
      <c r="AL103">
        <v>26</v>
      </c>
      <c r="AM103">
        <v>24</v>
      </c>
      <c r="AN103">
        <v>22</v>
      </c>
      <c r="AO103">
        <v>24</v>
      </c>
      <c r="AP103">
        <v>23</v>
      </c>
      <c r="AQ103">
        <v>20</v>
      </c>
      <c r="AR103">
        <v>29</v>
      </c>
      <c r="AS103">
        <v>23</v>
      </c>
      <c r="AT103">
        <v>31</v>
      </c>
      <c r="AU103">
        <v>32</v>
      </c>
      <c r="AV103">
        <v>13</v>
      </c>
      <c r="AW103">
        <v>20</v>
      </c>
      <c r="AX103">
        <v>17</v>
      </c>
      <c r="AY103">
        <v>23</v>
      </c>
      <c r="AZ103">
        <v>15</v>
      </c>
      <c r="BA103">
        <v>20</v>
      </c>
      <c r="BB103">
        <v>11</v>
      </c>
      <c r="BC103">
        <v>25</v>
      </c>
      <c r="BD103">
        <v>14</v>
      </c>
      <c r="BE103">
        <v>22</v>
      </c>
      <c r="BF103">
        <v>17</v>
      </c>
      <c r="BG103">
        <v>16</v>
      </c>
      <c r="BH103">
        <v>23</v>
      </c>
      <c r="BI103">
        <v>16</v>
      </c>
      <c r="BJ103">
        <v>21</v>
      </c>
      <c r="BK103">
        <v>17</v>
      </c>
      <c r="BL103">
        <v>18</v>
      </c>
      <c r="BM103">
        <v>22</v>
      </c>
      <c r="BN103">
        <v>22</v>
      </c>
      <c r="BO103">
        <v>14</v>
      </c>
      <c r="BP103">
        <v>25</v>
      </c>
      <c r="BQ103">
        <v>20</v>
      </c>
      <c r="BR103">
        <v>27</v>
      </c>
      <c r="BS103">
        <v>30</v>
      </c>
      <c r="BT103">
        <v>28</v>
      </c>
      <c r="BU103">
        <v>25</v>
      </c>
      <c r="BV103">
        <v>38</v>
      </c>
      <c r="BW103">
        <v>46</v>
      </c>
      <c r="BX103">
        <v>31</v>
      </c>
      <c r="BY103">
        <v>66</v>
      </c>
      <c r="BZ103">
        <v>41</v>
      </c>
      <c r="CA103">
        <v>34</v>
      </c>
      <c r="CB103">
        <v>26</v>
      </c>
      <c r="CC103">
        <v>32</v>
      </c>
      <c r="CD103">
        <v>46</v>
      </c>
      <c r="CE103">
        <v>42</v>
      </c>
      <c r="CF103">
        <v>38</v>
      </c>
      <c r="CG103">
        <v>45</v>
      </c>
      <c r="CH103">
        <v>39</v>
      </c>
      <c r="CI103">
        <v>24</v>
      </c>
      <c r="CJ103">
        <v>42</v>
      </c>
      <c r="CK103">
        <v>26</v>
      </c>
      <c r="CL103">
        <v>63</v>
      </c>
      <c r="CM103">
        <v>34</v>
      </c>
      <c r="CN103">
        <v>30</v>
      </c>
      <c r="CO103">
        <v>45</v>
      </c>
      <c r="CP103">
        <v>62</v>
      </c>
      <c r="CQ103">
        <v>36</v>
      </c>
      <c r="CR103">
        <v>45</v>
      </c>
      <c r="CS103">
        <v>35</v>
      </c>
      <c r="CT103">
        <v>46</v>
      </c>
      <c r="CU103">
        <v>55</v>
      </c>
      <c r="CV103">
        <v>30</v>
      </c>
      <c r="CW103">
        <v>38</v>
      </c>
      <c r="CX103">
        <v>38</v>
      </c>
      <c r="CY103">
        <v>51</v>
      </c>
      <c r="CZ103">
        <v>86</v>
      </c>
      <c r="DA103">
        <v>58</v>
      </c>
      <c r="DB103">
        <v>43</v>
      </c>
      <c r="DC103">
        <v>67</v>
      </c>
      <c r="DD103">
        <v>50</v>
      </c>
      <c r="DE103">
        <v>87</v>
      </c>
      <c r="DF103">
        <v>89</v>
      </c>
      <c r="DG103">
        <v>60</v>
      </c>
      <c r="DH103">
        <v>66</v>
      </c>
      <c r="DI103">
        <v>72</v>
      </c>
      <c r="DJ103">
        <v>49</v>
      </c>
      <c r="DK103">
        <v>41</v>
      </c>
      <c r="DL103">
        <v>33</v>
      </c>
      <c r="DM103">
        <v>39</v>
      </c>
      <c r="DN103">
        <v>35</v>
      </c>
      <c r="DO103">
        <v>39</v>
      </c>
      <c r="DP103">
        <v>44</v>
      </c>
      <c r="DQ103">
        <v>22</v>
      </c>
      <c r="DR103">
        <v>36</v>
      </c>
      <c r="DS103">
        <v>30</v>
      </c>
      <c r="DT103">
        <v>40</v>
      </c>
      <c r="DU103">
        <v>22</v>
      </c>
      <c r="DV103">
        <v>31</v>
      </c>
      <c r="DW103">
        <v>42</v>
      </c>
      <c r="DX103">
        <v>40</v>
      </c>
      <c r="DY103">
        <v>18</v>
      </c>
      <c r="DZ103">
        <v>18</v>
      </c>
      <c r="EA103">
        <v>19</v>
      </c>
      <c r="EB103">
        <v>19</v>
      </c>
      <c r="EC103">
        <v>23</v>
      </c>
      <c r="ED103">
        <v>30</v>
      </c>
      <c r="EE103">
        <v>13</v>
      </c>
      <c r="EF103">
        <v>16</v>
      </c>
      <c r="EG103">
        <v>19</v>
      </c>
      <c r="EH103">
        <v>14</v>
      </c>
      <c r="EI103">
        <v>13</v>
      </c>
      <c r="EJ103">
        <v>17</v>
      </c>
      <c r="EK103">
        <v>15</v>
      </c>
      <c r="EL103">
        <v>16</v>
      </c>
      <c r="EM103">
        <v>11</v>
      </c>
      <c r="EN103">
        <v>16</v>
      </c>
      <c r="EO103">
        <v>12</v>
      </c>
      <c r="EP103">
        <v>15</v>
      </c>
      <c r="EQ103">
        <v>12</v>
      </c>
      <c r="ER103">
        <v>12</v>
      </c>
      <c r="ES103">
        <v>17</v>
      </c>
      <c r="ET103">
        <v>11</v>
      </c>
      <c r="EU103">
        <v>16</v>
      </c>
      <c r="EV103">
        <v>13</v>
      </c>
      <c r="EW103">
        <v>17</v>
      </c>
      <c r="EX103">
        <v>11</v>
      </c>
      <c r="EY103">
        <v>19</v>
      </c>
      <c r="EZ103">
        <v>15</v>
      </c>
      <c r="FA103">
        <v>12</v>
      </c>
      <c r="FB103">
        <v>20</v>
      </c>
      <c r="FC103">
        <v>12</v>
      </c>
      <c r="FD103">
        <v>18</v>
      </c>
      <c r="FE103">
        <v>16</v>
      </c>
      <c r="FF103">
        <v>17</v>
      </c>
      <c r="FG103">
        <v>18</v>
      </c>
      <c r="FH103">
        <v>19</v>
      </c>
      <c r="FI103">
        <v>15</v>
      </c>
      <c r="FJ103">
        <v>18</v>
      </c>
      <c r="FK103">
        <v>23</v>
      </c>
      <c r="FL103">
        <v>18</v>
      </c>
      <c r="FM103">
        <v>27</v>
      </c>
      <c r="FN103">
        <v>28</v>
      </c>
      <c r="FO103">
        <v>41</v>
      </c>
      <c r="FP103">
        <v>43</v>
      </c>
      <c r="FQ103">
        <v>40</v>
      </c>
      <c r="FR103">
        <v>45</v>
      </c>
      <c r="FS103">
        <v>50</v>
      </c>
      <c r="FT103">
        <v>107</v>
      </c>
      <c r="FU103">
        <v>564</v>
      </c>
    </row>
    <row r="104" spans="8:177"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2</v>
      </c>
      <c r="ER104">
        <v>10</v>
      </c>
      <c r="ES104">
        <v>14</v>
      </c>
      <c r="ET104">
        <v>12</v>
      </c>
      <c r="EU104">
        <v>9</v>
      </c>
      <c r="EV104">
        <v>6</v>
      </c>
      <c r="EW104">
        <v>7</v>
      </c>
      <c r="EX104">
        <v>7</v>
      </c>
      <c r="EY104">
        <v>7</v>
      </c>
      <c r="EZ104">
        <v>6</v>
      </c>
      <c r="FA104">
        <v>16</v>
      </c>
      <c r="FB104">
        <v>11</v>
      </c>
      <c r="FC104">
        <v>7</v>
      </c>
      <c r="FD104">
        <v>10</v>
      </c>
      <c r="FE104">
        <v>9</v>
      </c>
      <c r="FF104">
        <v>8</v>
      </c>
      <c r="FG104">
        <v>9</v>
      </c>
      <c r="FH104">
        <v>9</v>
      </c>
      <c r="FI104">
        <v>10</v>
      </c>
      <c r="FJ104">
        <v>6</v>
      </c>
      <c r="FK104">
        <v>12</v>
      </c>
      <c r="FL104">
        <v>9</v>
      </c>
      <c r="FM104">
        <v>11</v>
      </c>
      <c r="FN104">
        <v>11</v>
      </c>
      <c r="FO104">
        <v>11</v>
      </c>
      <c r="FP104">
        <v>17</v>
      </c>
      <c r="FQ104">
        <v>16</v>
      </c>
      <c r="FR104">
        <v>21</v>
      </c>
      <c r="FS104">
        <v>24</v>
      </c>
      <c r="FT104">
        <v>40</v>
      </c>
      <c r="FU104">
        <v>1686</v>
      </c>
    </row>
    <row r="105" spans="8:177">
      <c r="J105">
        <v>0.4</v>
      </c>
      <c r="K105">
        <v>5</v>
      </c>
      <c r="L105">
        <v>1400</v>
      </c>
      <c r="M105">
        <v>600</v>
      </c>
      <c r="N105">
        <v>90</v>
      </c>
      <c r="O105">
        <v>200</v>
      </c>
      <c r="P105">
        <v>100000</v>
      </c>
      <c r="Q105">
        <v>6.8427021259999998</v>
      </c>
      <c r="R105">
        <v>16.366305100000002</v>
      </c>
      <c r="S105">
        <v>8.6598205900000007</v>
      </c>
      <c r="T105">
        <v>5.7861561269999999</v>
      </c>
      <c r="U105">
        <v>16.407153210000001</v>
      </c>
      <c r="V105">
        <v>7.5437217490000004</v>
      </c>
      <c r="W105">
        <v>3.4701072320000002</v>
      </c>
      <c r="X105">
        <v>16.479524290000001</v>
      </c>
      <c r="Y105">
        <v>5.3076060250000001</v>
      </c>
    </row>
    <row r="106" spans="8:177">
      <c r="J106">
        <v>1391</v>
      </c>
      <c r="K106">
        <v>244</v>
      </c>
      <c r="L106">
        <v>155</v>
      </c>
      <c r="M106">
        <v>157</v>
      </c>
      <c r="N106">
        <v>203</v>
      </c>
      <c r="O106">
        <v>149</v>
      </c>
      <c r="P106">
        <v>152</v>
      </c>
      <c r="Q106">
        <v>110</v>
      </c>
      <c r="R106">
        <v>144</v>
      </c>
      <c r="S106">
        <v>159</v>
      </c>
      <c r="T106">
        <v>124</v>
      </c>
      <c r="U106">
        <v>116</v>
      </c>
      <c r="V106">
        <v>170</v>
      </c>
      <c r="W106">
        <v>128</v>
      </c>
      <c r="X106">
        <v>137</v>
      </c>
      <c r="Y106">
        <v>198</v>
      </c>
      <c r="Z106">
        <v>272</v>
      </c>
      <c r="AA106">
        <v>174</v>
      </c>
      <c r="AB106">
        <v>123</v>
      </c>
      <c r="AC106">
        <v>38</v>
      </c>
      <c r="AD106">
        <v>40</v>
      </c>
      <c r="AE106">
        <v>48</v>
      </c>
      <c r="AF106">
        <v>38</v>
      </c>
      <c r="AG106">
        <v>41</v>
      </c>
      <c r="AH106">
        <v>50</v>
      </c>
      <c r="AI106">
        <v>40</v>
      </c>
      <c r="AJ106">
        <v>57</v>
      </c>
      <c r="AK106">
        <v>53</v>
      </c>
      <c r="AL106">
        <v>35</v>
      </c>
      <c r="AM106">
        <v>44</v>
      </c>
      <c r="AN106">
        <v>25</v>
      </c>
      <c r="AO106">
        <v>17</v>
      </c>
      <c r="AP106">
        <v>16</v>
      </c>
      <c r="AQ106">
        <v>23</v>
      </c>
      <c r="AR106">
        <v>20</v>
      </c>
      <c r="AS106">
        <v>14</v>
      </c>
      <c r="AT106">
        <v>20</v>
      </c>
      <c r="AU106">
        <v>12</v>
      </c>
      <c r="AV106">
        <v>18</v>
      </c>
      <c r="AW106">
        <v>15</v>
      </c>
      <c r="AX106">
        <v>18</v>
      </c>
      <c r="AY106">
        <v>13</v>
      </c>
      <c r="AZ106">
        <v>19</v>
      </c>
      <c r="BA106">
        <v>24</v>
      </c>
      <c r="BB106">
        <v>22</v>
      </c>
      <c r="BC106">
        <v>20</v>
      </c>
      <c r="BD106">
        <v>24</v>
      </c>
      <c r="BE106">
        <v>16</v>
      </c>
      <c r="BF106">
        <v>20</v>
      </c>
      <c r="BG106">
        <v>23</v>
      </c>
      <c r="BH106">
        <v>16</v>
      </c>
      <c r="BI106">
        <v>19</v>
      </c>
      <c r="BJ106">
        <v>23</v>
      </c>
      <c r="BK106">
        <v>21</v>
      </c>
      <c r="BL106">
        <v>27</v>
      </c>
      <c r="BM106">
        <v>22</v>
      </c>
      <c r="BN106">
        <v>23</v>
      </c>
      <c r="BO106">
        <v>36</v>
      </c>
      <c r="BP106">
        <v>41</v>
      </c>
      <c r="BQ106">
        <v>31</v>
      </c>
      <c r="BR106">
        <v>45</v>
      </c>
      <c r="BS106">
        <v>49</v>
      </c>
      <c r="BT106">
        <v>51</v>
      </c>
      <c r="BU106">
        <v>57</v>
      </c>
      <c r="BV106">
        <v>49</v>
      </c>
      <c r="BW106">
        <v>60</v>
      </c>
      <c r="BX106">
        <v>131</v>
      </c>
      <c r="BY106">
        <v>143</v>
      </c>
      <c r="BZ106">
        <v>95</v>
      </c>
      <c r="CA106">
        <v>81</v>
      </c>
      <c r="CB106">
        <v>81</v>
      </c>
      <c r="CC106">
        <v>86</v>
      </c>
      <c r="CD106">
        <v>94</v>
      </c>
      <c r="CE106">
        <v>97</v>
      </c>
      <c r="CF106">
        <v>116</v>
      </c>
      <c r="CG106">
        <v>171</v>
      </c>
      <c r="CH106">
        <v>108</v>
      </c>
      <c r="CI106">
        <v>87</v>
      </c>
      <c r="CJ106">
        <v>108</v>
      </c>
      <c r="CK106">
        <v>56</v>
      </c>
      <c r="CL106">
        <v>75</v>
      </c>
      <c r="CM106">
        <v>82</v>
      </c>
      <c r="CN106">
        <v>77</v>
      </c>
      <c r="CO106">
        <v>67</v>
      </c>
      <c r="CP106">
        <v>41</v>
      </c>
      <c r="CQ106">
        <v>48</v>
      </c>
      <c r="CR106">
        <v>47</v>
      </c>
      <c r="CS106">
        <v>30</v>
      </c>
      <c r="CT106">
        <v>35</v>
      </c>
      <c r="CU106">
        <v>37</v>
      </c>
      <c r="CV106">
        <v>48</v>
      </c>
      <c r="CW106">
        <v>47</v>
      </c>
      <c r="CX106">
        <v>59</v>
      </c>
      <c r="CY106">
        <v>63</v>
      </c>
      <c r="CZ106">
        <v>60</v>
      </c>
      <c r="DA106">
        <v>32</v>
      </c>
      <c r="DB106">
        <v>26</v>
      </c>
      <c r="DC106">
        <v>51</v>
      </c>
      <c r="DD106">
        <v>24</v>
      </c>
      <c r="DE106">
        <v>20</v>
      </c>
      <c r="DF106">
        <v>28</v>
      </c>
      <c r="DG106">
        <v>23</v>
      </c>
      <c r="DH106">
        <v>32</v>
      </c>
      <c r="DI106">
        <v>29</v>
      </c>
      <c r="DJ106">
        <v>32</v>
      </c>
      <c r="DK106">
        <v>35</v>
      </c>
      <c r="DL106">
        <v>36</v>
      </c>
      <c r="DM106">
        <v>30</v>
      </c>
      <c r="DN106">
        <v>21</v>
      </c>
      <c r="DO106">
        <v>25</v>
      </c>
      <c r="DP106">
        <v>22</v>
      </c>
      <c r="DQ106">
        <v>22</v>
      </c>
      <c r="DR106">
        <v>24</v>
      </c>
      <c r="DS106">
        <v>18</v>
      </c>
      <c r="DT106">
        <v>23</v>
      </c>
      <c r="DU106">
        <v>20</v>
      </c>
      <c r="DV106">
        <v>27</v>
      </c>
      <c r="DW106">
        <v>23</v>
      </c>
      <c r="DX106">
        <v>22</v>
      </c>
      <c r="DY106">
        <v>26</v>
      </c>
      <c r="DZ106">
        <v>30</v>
      </c>
      <c r="EA106">
        <v>32</v>
      </c>
      <c r="EB106">
        <v>26</v>
      </c>
      <c r="EC106">
        <v>21</v>
      </c>
      <c r="ED106">
        <v>21</v>
      </c>
      <c r="EE106">
        <v>21</v>
      </c>
      <c r="EF106">
        <v>21</v>
      </c>
      <c r="EG106">
        <v>16</v>
      </c>
      <c r="EH106">
        <v>18</v>
      </c>
      <c r="EI106">
        <v>17</v>
      </c>
      <c r="EJ106">
        <v>23</v>
      </c>
      <c r="EK106">
        <v>21</v>
      </c>
      <c r="EL106">
        <v>16</v>
      </c>
      <c r="EM106">
        <v>17</v>
      </c>
      <c r="EN106">
        <v>20</v>
      </c>
      <c r="EO106">
        <v>18</v>
      </c>
      <c r="EP106">
        <v>19</v>
      </c>
      <c r="EQ106">
        <v>22</v>
      </c>
      <c r="ER106">
        <v>18</v>
      </c>
      <c r="ES106">
        <v>16</v>
      </c>
      <c r="ET106">
        <v>18</v>
      </c>
      <c r="EU106">
        <v>17</v>
      </c>
      <c r="EV106">
        <v>18</v>
      </c>
      <c r="EW106">
        <v>18</v>
      </c>
      <c r="EX106">
        <v>18</v>
      </c>
      <c r="EY106">
        <v>26</v>
      </c>
      <c r="EZ106">
        <v>11</v>
      </c>
      <c r="FA106">
        <v>25</v>
      </c>
      <c r="FB106">
        <v>23</v>
      </c>
      <c r="FC106">
        <v>16</v>
      </c>
      <c r="FD106">
        <v>21</v>
      </c>
      <c r="FE106">
        <v>21</v>
      </c>
      <c r="FF106">
        <v>17</v>
      </c>
      <c r="FG106">
        <v>20</v>
      </c>
      <c r="FH106">
        <v>31</v>
      </c>
      <c r="FI106">
        <v>16</v>
      </c>
      <c r="FJ106">
        <v>31</v>
      </c>
      <c r="FK106">
        <v>26</v>
      </c>
      <c r="FL106" s="1">
        <v>23</v>
      </c>
      <c r="FM106" s="1">
        <v>27</v>
      </c>
      <c r="FN106" s="1">
        <v>28</v>
      </c>
      <c r="FO106" s="1">
        <v>41</v>
      </c>
      <c r="FP106" s="1">
        <v>43</v>
      </c>
      <c r="FQ106" s="1">
        <v>40</v>
      </c>
      <c r="FR106" s="1">
        <v>45</v>
      </c>
      <c r="FS106" s="1">
        <v>50</v>
      </c>
      <c r="FT106" s="1">
        <v>107</v>
      </c>
      <c r="FU106" s="1">
        <v>564</v>
      </c>
    </row>
    <row r="107" spans="8:177"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1</v>
      </c>
      <c r="EB107">
        <v>5</v>
      </c>
      <c r="EC107">
        <v>3</v>
      </c>
      <c r="ED107">
        <v>3</v>
      </c>
      <c r="EE107">
        <v>4</v>
      </c>
      <c r="EF107">
        <v>1</v>
      </c>
      <c r="EG107">
        <v>3</v>
      </c>
      <c r="EH107">
        <v>2</v>
      </c>
      <c r="EI107">
        <v>1</v>
      </c>
      <c r="EJ107">
        <v>2</v>
      </c>
      <c r="EK107">
        <v>1</v>
      </c>
      <c r="EL107">
        <v>3</v>
      </c>
      <c r="EM107">
        <v>1</v>
      </c>
      <c r="EN107">
        <v>2</v>
      </c>
      <c r="EO107">
        <v>1</v>
      </c>
      <c r="EP107">
        <v>0</v>
      </c>
      <c r="EQ107">
        <v>3</v>
      </c>
      <c r="ER107">
        <v>5</v>
      </c>
      <c r="ES107">
        <v>4</v>
      </c>
      <c r="ET107">
        <v>10</v>
      </c>
      <c r="EU107">
        <v>15</v>
      </c>
      <c r="EV107">
        <v>11</v>
      </c>
      <c r="EW107">
        <v>8</v>
      </c>
      <c r="EX107">
        <v>9</v>
      </c>
      <c r="EY107">
        <v>8</v>
      </c>
      <c r="EZ107">
        <v>6</v>
      </c>
      <c r="FA107">
        <v>9</v>
      </c>
      <c r="FB107">
        <v>4</v>
      </c>
      <c r="FC107">
        <v>14</v>
      </c>
      <c r="FD107">
        <v>13</v>
      </c>
      <c r="FE107">
        <v>8</v>
      </c>
      <c r="FF107">
        <v>10</v>
      </c>
      <c r="FG107">
        <v>11</v>
      </c>
      <c r="FH107">
        <v>10</v>
      </c>
      <c r="FI107">
        <v>9</v>
      </c>
      <c r="FJ107">
        <v>10</v>
      </c>
      <c r="FK107">
        <v>11</v>
      </c>
      <c r="FL107" s="1">
        <v>11</v>
      </c>
      <c r="FM107" s="1">
        <v>11</v>
      </c>
      <c r="FN107" s="1">
        <v>11</v>
      </c>
      <c r="FO107" s="1">
        <v>11</v>
      </c>
      <c r="FP107" s="1">
        <v>17</v>
      </c>
      <c r="FQ107" s="1">
        <v>16</v>
      </c>
      <c r="FR107" s="1">
        <v>21</v>
      </c>
      <c r="FS107" s="1">
        <v>24</v>
      </c>
      <c r="FT107" s="1">
        <v>40</v>
      </c>
      <c r="FU107" s="1">
        <v>1686</v>
      </c>
    </row>
    <row r="108" spans="8:177">
      <c r="I108" t="s">
        <v>37</v>
      </c>
      <c r="J108">
        <f>J94+J97+J100+J103+J106</f>
        <v>11260</v>
      </c>
      <c r="K108">
        <f t="shared" ref="K108:BV108" si="48">K94+K97+K100+K103+K106</f>
        <v>1152</v>
      </c>
      <c r="L108">
        <f t="shared" si="48"/>
        <v>607</v>
      </c>
      <c r="M108">
        <f t="shared" si="48"/>
        <v>601</v>
      </c>
      <c r="N108">
        <f t="shared" si="48"/>
        <v>659</v>
      </c>
      <c r="O108">
        <f t="shared" si="48"/>
        <v>584</v>
      </c>
      <c r="P108">
        <f t="shared" si="48"/>
        <v>512</v>
      </c>
      <c r="Q108">
        <f t="shared" si="48"/>
        <v>457</v>
      </c>
      <c r="R108">
        <f t="shared" si="48"/>
        <v>510</v>
      </c>
      <c r="S108">
        <f t="shared" si="48"/>
        <v>676</v>
      </c>
      <c r="T108">
        <f t="shared" si="48"/>
        <v>515</v>
      </c>
      <c r="U108">
        <f t="shared" si="48"/>
        <v>518</v>
      </c>
      <c r="V108">
        <f t="shared" si="48"/>
        <v>686</v>
      </c>
      <c r="W108">
        <f t="shared" si="48"/>
        <v>519</v>
      </c>
      <c r="X108">
        <f t="shared" si="48"/>
        <v>528</v>
      </c>
      <c r="Y108">
        <f t="shared" si="48"/>
        <v>735</v>
      </c>
      <c r="Z108">
        <f t="shared" si="48"/>
        <v>832</v>
      </c>
      <c r="AA108">
        <f t="shared" si="48"/>
        <v>688</v>
      </c>
      <c r="AB108">
        <f t="shared" si="48"/>
        <v>700</v>
      </c>
      <c r="AC108">
        <f t="shared" si="48"/>
        <v>368</v>
      </c>
      <c r="AD108">
        <f t="shared" si="48"/>
        <v>363</v>
      </c>
      <c r="AE108">
        <f t="shared" si="48"/>
        <v>347</v>
      </c>
      <c r="AF108">
        <f t="shared" si="48"/>
        <v>323</v>
      </c>
      <c r="AG108">
        <f t="shared" si="48"/>
        <v>366</v>
      </c>
      <c r="AH108">
        <f t="shared" si="48"/>
        <v>417</v>
      </c>
      <c r="AI108">
        <f t="shared" si="48"/>
        <v>463</v>
      </c>
      <c r="AJ108">
        <f t="shared" si="48"/>
        <v>459</v>
      </c>
      <c r="AK108">
        <f t="shared" si="48"/>
        <v>254</v>
      </c>
      <c r="AL108">
        <f t="shared" si="48"/>
        <v>182</v>
      </c>
      <c r="AM108">
        <f t="shared" si="48"/>
        <v>234</v>
      </c>
      <c r="AN108">
        <f t="shared" si="48"/>
        <v>177</v>
      </c>
      <c r="AO108">
        <f t="shared" si="48"/>
        <v>232</v>
      </c>
      <c r="AP108">
        <f t="shared" si="48"/>
        <v>165</v>
      </c>
      <c r="AQ108">
        <f t="shared" si="48"/>
        <v>149</v>
      </c>
      <c r="AR108">
        <f t="shared" si="48"/>
        <v>148</v>
      </c>
      <c r="AS108">
        <f t="shared" si="48"/>
        <v>156</v>
      </c>
      <c r="AT108">
        <f t="shared" si="48"/>
        <v>171</v>
      </c>
      <c r="AU108">
        <f t="shared" si="48"/>
        <v>158</v>
      </c>
      <c r="AV108">
        <f t="shared" si="48"/>
        <v>121</v>
      </c>
      <c r="AW108">
        <f t="shared" si="48"/>
        <v>92</v>
      </c>
      <c r="AX108">
        <f t="shared" si="48"/>
        <v>103</v>
      </c>
      <c r="AY108">
        <f t="shared" si="48"/>
        <v>102</v>
      </c>
      <c r="AZ108">
        <f t="shared" si="48"/>
        <v>98</v>
      </c>
      <c r="BA108">
        <f t="shared" si="48"/>
        <v>125</v>
      </c>
      <c r="BB108">
        <f t="shared" si="48"/>
        <v>101</v>
      </c>
      <c r="BC108">
        <f t="shared" si="48"/>
        <v>107</v>
      </c>
      <c r="BD108">
        <f t="shared" si="48"/>
        <v>105</v>
      </c>
      <c r="BE108">
        <f t="shared" si="48"/>
        <v>99</v>
      </c>
      <c r="BF108">
        <f t="shared" si="48"/>
        <v>104</v>
      </c>
      <c r="BG108">
        <f t="shared" si="48"/>
        <v>104</v>
      </c>
      <c r="BH108">
        <f t="shared" si="48"/>
        <v>110</v>
      </c>
      <c r="BI108">
        <f t="shared" si="48"/>
        <v>104</v>
      </c>
      <c r="BJ108">
        <f t="shared" si="48"/>
        <v>111</v>
      </c>
      <c r="BK108">
        <f t="shared" si="48"/>
        <v>112</v>
      </c>
      <c r="BL108">
        <f t="shared" si="48"/>
        <v>116</v>
      </c>
      <c r="BM108">
        <f t="shared" si="48"/>
        <v>115</v>
      </c>
      <c r="BN108">
        <f t="shared" si="48"/>
        <v>131</v>
      </c>
      <c r="BO108">
        <f t="shared" si="48"/>
        <v>125</v>
      </c>
      <c r="BP108">
        <f t="shared" si="48"/>
        <v>142</v>
      </c>
      <c r="BQ108">
        <f t="shared" si="48"/>
        <v>134</v>
      </c>
      <c r="BR108">
        <f t="shared" si="48"/>
        <v>159</v>
      </c>
      <c r="BS108">
        <f t="shared" si="48"/>
        <v>184</v>
      </c>
      <c r="BT108">
        <f t="shared" si="48"/>
        <v>176</v>
      </c>
      <c r="BU108">
        <f t="shared" si="48"/>
        <v>166</v>
      </c>
      <c r="BV108">
        <f t="shared" si="48"/>
        <v>192</v>
      </c>
      <c r="BW108">
        <f t="shared" ref="BW108:EH108" si="49">BW94+BW97+BW100+BW103+BW106</f>
        <v>218</v>
      </c>
      <c r="BX108">
        <f t="shared" si="49"/>
        <v>371</v>
      </c>
      <c r="BY108">
        <f t="shared" si="49"/>
        <v>498</v>
      </c>
      <c r="BZ108">
        <f t="shared" si="49"/>
        <v>300</v>
      </c>
      <c r="CA108">
        <f t="shared" si="49"/>
        <v>332</v>
      </c>
      <c r="CB108">
        <f t="shared" si="49"/>
        <v>319</v>
      </c>
      <c r="CC108">
        <f t="shared" si="49"/>
        <v>340</v>
      </c>
      <c r="CD108">
        <f t="shared" si="49"/>
        <v>382</v>
      </c>
      <c r="CE108">
        <f t="shared" si="49"/>
        <v>398</v>
      </c>
      <c r="CF108">
        <f t="shared" si="49"/>
        <v>417</v>
      </c>
      <c r="CG108">
        <f t="shared" si="49"/>
        <v>495</v>
      </c>
      <c r="CH108">
        <f t="shared" si="49"/>
        <v>360</v>
      </c>
      <c r="CI108">
        <f t="shared" si="49"/>
        <v>330</v>
      </c>
      <c r="CJ108">
        <f t="shared" si="49"/>
        <v>360</v>
      </c>
      <c r="CK108">
        <f t="shared" si="49"/>
        <v>288</v>
      </c>
      <c r="CL108">
        <f t="shared" si="49"/>
        <v>318</v>
      </c>
      <c r="CM108">
        <f t="shared" si="49"/>
        <v>336</v>
      </c>
      <c r="CN108">
        <f t="shared" si="49"/>
        <v>294</v>
      </c>
      <c r="CO108">
        <f t="shared" si="49"/>
        <v>356</v>
      </c>
      <c r="CP108">
        <f t="shared" si="49"/>
        <v>309</v>
      </c>
      <c r="CQ108">
        <f t="shared" si="49"/>
        <v>288</v>
      </c>
      <c r="CR108">
        <f t="shared" si="49"/>
        <v>303</v>
      </c>
      <c r="CS108">
        <f t="shared" si="49"/>
        <v>262</v>
      </c>
      <c r="CT108">
        <f t="shared" si="49"/>
        <v>311</v>
      </c>
      <c r="CU108">
        <f t="shared" si="49"/>
        <v>272</v>
      </c>
      <c r="CV108">
        <f t="shared" si="49"/>
        <v>230</v>
      </c>
      <c r="CW108">
        <f t="shared" si="49"/>
        <v>258</v>
      </c>
      <c r="CX108">
        <f t="shared" si="49"/>
        <v>297</v>
      </c>
      <c r="CY108">
        <f t="shared" si="49"/>
        <v>288</v>
      </c>
      <c r="CZ108">
        <f t="shared" si="49"/>
        <v>329</v>
      </c>
      <c r="DA108">
        <f t="shared" si="49"/>
        <v>266</v>
      </c>
      <c r="DB108">
        <f t="shared" si="49"/>
        <v>237</v>
      </c>
      <c r="DC108">
        <f t="shared" si="49"/>
        <v>283</v>
      </c>
      <c r="DD108">
        <f t="shared" si="49"/>
        <v>207</v>
      </c>
      <c r="DE108">
        <f t="shared" si="49"/>
        <v>258</v>
      </c>
      <c r="DF108">
        <f t="shared" si="49"/>
        <v>294</v>
      </c>
      <c r="DG108">
        <f t="shared" si="49"/>
        <v>215</v>
      </c>
      <c r="DH108">
        <f t="shared" si="49"/>
        <v>187</v>
      </c>
      <c r="DI108">
        <f t="shared" si="49"/>
        <v>213</v>
      </c>
      <c r="DJ108">
        <f t="shared" si="49"/>
        <v>172</v>
      </c>
      <c r="DK108">
        <f t="shared" si="49"/>
        <v>182</v>
      </c>
      <c r="DL108">
        <f t="shared" si="49"/>
        <v>193</v>
      </c>
      <c r="DM108">
        <f t="shared" si="49"/>
        <v>180</v>
      </c>
      <c r="DN108">
        <f t="shared" si="49"/>
        <v>138</v>
      </c>
      <c r="DO108">
        <f t="shared" si="49"/>
        <v>138</v>
      </c>
      <c r="DP108">
        <f t="shared" si="49"/>
        <v>149</v>
      </c>
      <c r="DQ108">
        <f t="shared" si="49"/>
        <v>118</v>
      </c>
      <c r="DR108">
        <f t="shared" si="49"/>
        <v>147</v>
      </c>
      <c r="DS108">
        <f t="shared" si="49"/>
        <v>136</v>
      </c>
      <c r="DT108">
        <f t="shared" si="49"/>
        <v>141</v>
      </c>
      <c r="DU108">
        <f t="shared" si="49"/>
        <v>112</v>
      </c>
      <c r="DV108">
        <f t="shared" si="49"/>
        <v>131</v>
      </c>
      <c r="DW108">
        <f t="shared" si="49"/>
        <v>126</v>
      </c>
      <c r="DX108">
        <f t="shared" si="49"/>
        <v>106</v>
      </c>
      <c r="DY108">
        <f t="shared" si="49"/>
        <v>108</v>
      </c>
      <c r="DZ108">
        <f t="shared" si="49"/>
        <v>101</v>
      </c>
      <c r="EA108">
        <f t="shared" si="49"/>
        <v>100</v>
      </c>
      <c r="EB108">
        <f t="shared" si="49"/>
        <v>90</v>
      </c>
      <c r="EC108">
        <f t="shared" si="49"/>
        <v>101</v>
      </c>
      <c r="ED108">
        <f t="shared" si="49"/>
        <v>90</v>
      </c>
      <c r="EE108">
        <f t="shared" si="49"/>
        <v>91</v>
      </c>
      <c r="EF108">
        <f t="shared" si="49"/>
        <v>83</v>
      </c>
      <c r="EG108">
        <f t="shared" si="49"/>
        <v>88</v>
      </c>
      <c r="EH108">
        <f t="shared" si="49"/>
        <v>83</v>
      </c>
      <c r="EI108">
        <f t="shared" ref="EI108:FL109" si="50">EI94+EI97+EI100+EI103+EI106</f>
        <v>76</v>
      </c>
      <c r="EJ108">
        <f t="shared" si="50"/>
        <v>96</v>
      </c>
      <c r="EK108">
        <f t="shared" si="50"/>
        <v>93</v>
      </c>
      <c r="EL108">
        <f t="shared" si="50"/>
        <v>81</v>
      </c>
      <c r="EM108">
        <f t="shared" si="50"/>
        <v>122</v>
      </c>
      <c r="EN108">
        <f t="shared" si="50"/>
        <v>92</v>
      </c>
      <c r="EO108">
        <f t="shared" si="50"/>
        <v>76</v>
      </c>
      <c r="EP108">
        <f t="shared" si="50"/>
        <v>91</v>
      </c>
      <c r="EQ108">
        <f t="shared" si="50"/>
        <v>87</v>
      </c>
      <c r="ER108">
        <f t="shared" si="50"/>
        <v>72</v>
      </c>
      <c r="ES108">
        <f t="shared" si="50"/>
        <v>86</v>
      </c>
      <c r="ET108">
        <f t="shared" si="50"/>
        <v>72</v>
      </c>
      <c r="EU108">
        <f t="shared" si="50"/>
        <v>81</v>
      </c>
      <c r="EV108">
        <f t="shared" si="50"/>
        <v>82</v>
      </c>
      <c r="EW108">
        <f t="shared" si="50"/>
        <v>81</v>
      </c>
      <c r="EX108">
        <f t="shared" si="50"/>
        <v>82</v>
      </c>
      <c r="EY108">
        <f t="shared" si="50"/>
        <v>92</v>
      </c>
      <c r="EZ108">
        <f t="shared" si="50"/>
        <v>75</v>
      </c>
      <c r="FA108">
        <f t="shared" si="50"/>
        <v>87</v>
      </c>
      <c r="FB108">
        <f t="shared" si="50"/>
        <v>99</v>
      </c>
      <c r="FC108">
        <f t="shared" si="50"/>
        <v>89</v>
      </c>
      <c r="FD108">
        <f t="shared" si="50"/>
        <v>85</v>
      </c>
      <c r="FE108">
        <f t="shared" si="50"/>
        <v>94</v>
      </c>
      <c r="FF108">
        <f t="shared" si="50"/>
        <v>106</v>
      </c>
      <c r="FG108">
        <f t="shared" si="50"/>
        <v>89</v>
      </c>
      <c r="FH108">
        <f t="shared" si="50"/>
        <v>116</v>
      </c>
      <c r="FI108">
        <f t="shared" si="50"/>
        <v>97</v>
      </c>
      <c r="FJ108">
        <f t="shared" si="50"/>
        <v>109</v>
      </c>
      <c r="FK108">
        <f t="shared" si="50"/>
        <v>122</v>
      </c>
      <c r="FL108">
        <f t="shared" si="50"/>
        <v>112</v>
      </c>
      <c r="FM108">
        <f t="shared" ref="FM108:FU108" si="51">FM94+FM97+FM100+FM103+FM106</f>
        <v>141</v>
      </c>
      <c r="FN108">
        <f t="shared" si="51"/>
        <v>132</v>
      </c>
      <c r="FO108">
        <f t="shared" si="51"/>
        <v>167</v>
      </c>
      <c r="FP108">
        <f t="shared" si="51"/>
        <v>190</v>
      </c>
      <c r="FQ108">
        <f t="shared" si="51"/>
        <v>180</v>
      </c>
      <c r="FR108">
        <f t="shared" si="51"/>
        <v>228</v>
      </c>
      <c r="FS108">
        <f t="shared" si="51"/>
        <v>241</v>
      </c>
      <c r="FT108">
        <f t="shared" si="51"/>
        <v>517</v>
      </c>
      <c r="FU108">
        <f t="shared" si="51"/>
        <v>1877</v>
      </c>
    </row>
    <row r="109" spans="8:177">
      <c r="I109" t="s">
        <v>38</v>
      </c>
      <c r="J109">
        <f>J95+J98+J101+J104+J107</f>
        <v>0</v>
      </c>
      <c r="K109">
        <f t="shared" ref="K109:BV109" si="52">K95+K98+K101+K104+K107</f>
        <v>0</v>
      </c>
      <c r="L109">
        <f t="shared" si="52"/>
        <v>0</v>
      </c>
      <c r="M109">
        <f t="shared" si="52"/>
        <v>0</v>
      </c>
      <c r="N109">
        <f t="shared" si="52"/>
        <v>0</v>
      </c>
      <c r="O109">
        <f t="shared" si="52"/>
        <v>0</v>
      </c>
      <c r="P109">
        <f t="shared" si="52"/>
        <v>0</v>
      </c>
      <c r="Q109">
        <f t="shared" si="52"/>
        <v>0</v>
      </c>
      <c r="R109">
        <f t="shared" si="52"/>
        <v>0</v>
      </c>
      <c r="S109">
        <f t="shared" si="52"/>
        <v>0</v>
      </c>
      <c r="T109">
        <f t="shared" si="52"/>
        <v>0</v>
      </c>
      <c r="U109">
        <f t="shared" si="52"/>
        <v>0</v>
      </c>
      <c r="V109">
        <f t="shared" si="52"/>
        <v>0</v>
      </c>
      <c r="W109">
        <f t="shared" si="52"/>
        <v>2</v>
      </c>
      <c r="X109">
        <f t="shared" si="52"/>
        <v>2</v>
      </c>
      <c r="Y109">
        <f t="shared" si="52"/>
        <v>1</v>
      </c>
      <c r="Z109">
        <f t="shared" si="52"/>
        <v>1</v>
      </c>
      <c r="AA109">
        <f t="shared" si="52"/>
        <v>1</v>
      </c>
      <c r="AB109">
        <f t="shared" si="52"/>
        <v>1</v>
      </c>
      <c r="AC109">
        <f t="shared" si="52"/>
        <v>1</v>
      </c>
      <c r="AD109">
        <f t="shared" si="52"/>
        <v>0</v>
      </c>
      <c r="AE109">
        <f t="shared" si="52"/>
        <v>1</v>
      </c>
      <c r="AF109">
        <f t="shared" si="52"/>
        <v>1</v>
      </c>
      <c r="AG109">
        <f t="shared" si="52"/>
        <v>0</v>
      </c>
      <c r="AH109">
        <f t="shared" si="52"/>
        <v>1</v>
      </c>
      <c r="AI109">
        <f t="shared" si="52"/>
        <v>1</v>
      </c>
      <c r="AJ109">
        <f t="shared" si="52"/>
        <v>0</v>
      </c>
      <c r="AK109">
        <f t="shared" si="52"/>
        <v>1</v>
      </c>
      <c r="AL109">
        <f t="shared" si="52"/>
        <v>0</v>
      </c>
      <c r="AM109">
        <f t="shared" si="52"/>
        <v>1</v>
      </c>
      <c r="AN109">
        <f t="shared" si="52"/>
        <v>1</v>
      </c>
      <c r="AO109">
        <f t="shared" si="52"/>
        <v>1</v>
      </c>
      <c r="AP109">
        <f t="shared" si="52"/>
        <v>0</v>
      </c>
      <c r="AQ109">
        <f t="shared" si="52"/>
        <v>1</v>
      </c>
      <c r="AR109">
        <f t="shared" si="52"/>
        <v>0</v>
      </c>
      <c r="AS109">
        <f t="shared" si="52"/>
        <v>1</v>
      </c>
      <c r="AT109">
        <f t="shared" si="52"/>
        <v>0</v>
      </c>
      <c r="AU109">
        <f t="shared" si="52"/>
        <v>1</v>
      </c>
      <c r="AV109">
        <f t="shared" si="52"/>
        <v>0</v>
      </c>
      <c r="AW109">
        <f t="shared" si="52"/>
        <v>1</v>
      </c>
      <c r="AX109">
        <f t="shared" si="52"/>
        <v>0</v>
      </c>
      <c r="AY109">
        <f t="shared" si="52"/>
        <v>0</v>
      </c>
      <c r="AZ109">
        <f t="shared" si="52"/>
        <v>1</v>
      </c>
      <c r="BA109">
        <f t="shared" si="52"/>
        <v>0</v>
      </c>
      <c r="BB109">
        <f t="shared" si="52"/>
        <v>1</v>
      </c>
      <c r="BC109">
        <f t="shared" si="52"/>
        <v>0</v>
      </c>
      <c r="BD109">
        <f t="shared" si="52"/>
        <v>1</v>
      </c>
      <c r="BE109">
        <f t="shared" si="52"/>
        <v>0</v>
      </c>
      <c r="BF109">
        <f t="shared" si="52"/>
        <v>1</v>
      </c>
      <c r="BG109">
        <f t="shared" si="52"/>
        <v>0</v>
      </c>
      <c r="BH109">
        <f t="shared" si="52"/>
        <v>7</v>
      </c>
      <c r="BI109">
        <f t="shared" si="52"/>
        <v>2</v>
      </c>
      <c r="BJ109">
        <f t="shared" si="52"/>
        <v>2</v>
      </c>
      <c r="BK109">
        <f t="shared" si="52"/>
        <v>2</v>
      </c>
      <c r="BL109">
        <f t="shared" si="52"/>
        <v>1</v>
      </c>
      <c r="BM109">
        <f t="shared" si="52"/>
        <v>2</v>
      </c>
      <c r="BN109">
        <f t="shared" si="52"/>
        <v>1</v>
      </c>
      <c r="BO109">
        <f t="shared" si="52"/>
        <v>1</v>
      </c>
      <c r="BP109">
        <f t="shared" si="52"/>
        <v>2</v>
      </c>
      <c r="BQ109">
        <f t="shared" si="52"/>
        <v>1</v>
      </c>
      <c r="BR109">
        <f t="shared" si="52"/>
        <v>2</v>
      </c>
      <c r="BS109">
        <f t="shared" si="52"/>
        <v>2</v>
      </c>
      <c r="BT109">
        <f t="shared" si="52"/>
        <v>2</v>
      </c>
      <c r="BU109">
        <f t="shared" si="52"/>
        <v>1</v>
      </c>
      <c r="BV109">
        <f t="shared" si="52"/>
        <v>1</v>
      </c>
      <c r="BW109">
        <f t="shared" ref="BW109:EH109" si="53">BW95+BW98+BW101+BW104+BW107</f>
        <v>1</v>
      </c>
      <c r="BX109">
        <f t="shared" si="53"/>
        <v>1</v>
      </c>
      <c r="BY109">
        <f t="shared" si="53"/>
        <v>1</v>
      </c>
      <c r="BZ109">
        <f t="shared" si="53"/>
        <v>1</v>
      </c>
      <c r="CA109">
        <f t="shared" si="53"/>
        <v>1</v>
      </c>
      <c r="CB109">
        <f t="shared" si="53"/>
        <v>0</v>
      </c>
      <c r="CC109">
        <f t="shared" si="53"/>
        <v>1</v>
      </c>
      <c r="CD109">
        <f t="shared" si="53"/>
        <v>1</v>
      </c>
      <c r="CE109">
        <f t="shared" si="53"/>
        <v>0</v>
      </c>
      <c r="CF109">
        <f t="shared" si="53"/>
        <v>1</v>
      </c>
      <c r="CG109">
        <f t="shared" si="53"/>
        <v>1</v>
      </c>
      <c r="CH109">
        <f t="shared" si="53"/>
        <v>0</v>
      </c>
      <c r="CI109">
        <f t="shared" si="53"/>
        <v>2</v>
      </c>
      <c r="CJ109">
        <f t="shared" si="53"/>
        <v>4</v>
      </c>
      <c r="CK109">
        <f t="shared" si="53"/>
        <v>3</v>
      </c>
      <c r="CL109">
        <f t="shared" si="53"/>
        <v>4</v>
      </c>
      <c r="CM109">
        <f t="shared" si="53"/>
        <v>4</v>
      </c>
      <c r="CN109">
        <f t="shared" si="53"/>
        <v>1</v>
      </c>
      <c r="CO109">
        <f t="shared" si="53"/>
        <v>3</v>
      </c>
      <c r="CP109">
        <f t="shared" si="53"/>
        <v>1</v>
      </c>
      <c r="CQ109">
        <f t="shared" si="53"/>
        <v>2</v>
      </c>
      <c r="CR109">
        <f t="shared" si="53"/>
        <v>1</v>
      </c>
      <c r="CS109">
        <f t="shared" si="53"/>
        <v>2</v>
      </c>
      <c r="CT109">
        <f t="shared" si="53"/>
        <v>1</v>
      </c>
      <c r="CU109">
        <f t="shared" si="53"/>
        <v>2</v>
      </c>
      <c r="CV109">
        <f t="shared" si="53"/>
        <v>1</v>
      </c>
      <c r="CW109">
        <f t="shared" si="53"/>
        <v>2</v>
      </c>
      <c r="CX109">
        <f t="shared" si="53"/>
        <v>2</v>
      </c>
      <c r="CY109">
        <f t="shared" si="53"/>
        <v>1</v>
      </c>
      <c r="CZ109">
        <f t="shared" si="53"/>
        <v>1</v>
      </c>
      <c r="DA109">
        <f t="shared" si="53"/>
        <v>2</v>
      </c>
      <c r="DB109">
        <f t="shared" si="53"/>
        <v>1</v>
      </c>
      <c r="DC109">
        <f t="shared" si="53"/>
        <v>2</v>
      </c>
      <c r="DD109">
        <f t="shared" si="53"/>
        <v>0</v>
      </c>
      <c r="DE109">
        <f t="shared" si="53"/>
        <v>2</v>
      </c>
      <c r="DF109">
        <f t="shared" si="53"/>
        <v>2</v>
      </c>
      <c r="DG109">
        <f t="shared" si="53"/>
        <v>1</v>
      </c>
      <c r="DH109">
        <f t="shared" si="53"/>
        <v>1</v>
      </c>
      <c r="DI109">
        <f t="shared" si="53"/>
        <v>1</v>
      </c>
      <c r="DJ109">
        <f t="shared" si="53"/>
        <v>2</v>
      </c>
      <c r="DK109">
        <f t="shared" si="53"/>
        <v>4</v>
      </c>
      <c r="DL109">
        <f t="shared" si="53"/>
        <v>7</v>
      </c>
      <c r="DM109">
        <f t="shared" si="53"/>
        <v>3</v>
      </c>
      <c r="DN109">
        <f t="shared" si="53"/>
        <v>5</v>
      </c>
      <c r="DO109">
        <f t="shared" si="53"/>
        <v>5</v>
      </c>
      <c r="DP109">
        <f t="shared" si="53"/>
        <v>2</v>
      </c>
      <c r="DQ109">
        <f t="shared" si="53"/>
        <v>3</v>
      </c>
      <c r="DR109">
        <f t="shared" si="53"/>
        <v>3</v>
      </c>
      <c r="DS109">
        <f t="shared" si="53"/>
        <v>3</v>
      </c>
      <c r="DT109">
        <f t="shared" si="53"/>
        <v>7</v>
      </c>
      <c r="DU109">
        <f t="shared" si="53"/>
        <v>4</v>
      </c>
      <c r="DV109">
        <f t="shared" si="53"/>
        <v>7</v>
      </c>
      <c r="DW109">
        <f t="shared" si="53"/>
        <v>4</v>
      </c>
      <c r="DX109">
        <f t="shared" si="53"/>
        <v>9</v>
      </c>
      <c r="DY109">
        <f t="shared" si="53"/>
        <v>7</v>
      </c>
      <c r="DZ109">
        <f t="shared" si="53"/>
        <v>6</v>
      </c>
      <c r="EA109">
        <f t="shared" si="53"/>
        <v>10</v>
      </c>
      <c r="EB109">
        <f t="shared" si="53"/>
        <v>10</v>
      </c>
      <c r="EC109">
        <f t="shared" si="53"/>
        <v>8</v>
      </c>
      <c r="ED109">
        <f t="shared" si="53"/>
        <v>11</v>
      </c>
      <c r="EE109">
        <f t="shared" si="53"/>
        <v>8</v>
      </c>
      <c r="EF109">
        <f t="shared" si="53"/>
        <v>5</v>
      </c>
      <c r="EG109">
        <f t="shared" si="53"/>
        <v>9</v>
      </c>
      <c r="EH109">
        <f t="shared" si="53"/>
        <v>9</v>
      </c>
      <c r="EI109">
        <f t="shared" ref="EI109:FK109" si="54">EI95+EI98+EI101+EI104+EI107</f>
        <v>4</v>
      </c>
      <c r="EJ109">
        <f t="shared" si="54"/>
        <v>8</v>
      </c>
      <c r="EK109">
        <f t="shared" si="54"/>
        <v>7</v>
      </c>
      <c r="EL109">
        <f t="shared" si="54"/>
        <v>9</v>
      </c>
      <c r="EM109">
        <f t="shared" si="54"/>
        <v>21</v>
      </c>
      <c r="EN109">
        <f t="shared" si="54"/>
        <v>6</v>
      </c>
      <c r="EO109">
        <f t="shared" si="54"/>
        <v>4</v>
      </c>
      <c r="EP109">
        <f t="shared" si="54"/>
        <v>4</v>
      </c>
      <c r="EQ109">
        <f t="shared" si="54"/>
        <v>9</v>
      </c>
      <c r="ER109">
        <f t="shared" si="54"/>
        <v>17</v>
      </c>
      <c r="ES109">
        <f t="shared" si="54"/>
        <v>39</v>
      </c>
      <c r="ET109">
        <f t="shared" si="54"/>
        <v>40</v>
      </c>
      <c r="EU109">
        <f t="shared" si="54"/>
        <v>40</v>
      </c>
      <c r="EV109">
        <f t="shared" si="54"/>
        <v>31</v>
      </c>
      <c r="EW109">
        <f t="shared" si="54"/>
        <v>25</v>
      </c>
      <c r="EX109">
        <f t="shared" si="54"/>
        <v>27</v>
      </c>
      <c r="EY109">
        <f t="shared" si="54"/>
        <v>41</v>
      </c>
      <c r="EZ109">
        <f t="shared" si="54"/>
        <v>38</v>
      </c>
      <c r="FA109">
        <f t="shared" si="54"/>
        <v>78</v>
      </c>
      <c r="FB109">
        <f t="shared" si="54"/>
        <v>41</v>
      </c>
      <c r="FC109">
        <f t="shared" si="54"/>
        <v>45</v>
      </c>
      <c r="FD109">
        <f t="shared" si="54"/>
        <v>43</v>
      </c>
      <c r="FE109">
        <f t="shared" si="54"/>
        <v>37</v>
      </c>
      <c r="FF109">
        <f t="shared" si="54"/>
        <v>45</v>
      </c>
      <c r="FG109">
        <f t="shared" si="54"/>
        <v>39</v>
      </c>
      <c r="FH109">
        <f t="shared" si="54"/>
        <v>44</v>
      </c>
      <c r="FI109">
        <f t="shared" si="54"/>
        <v>44</v>
      </c>
      <c r="FJ109">
        <f t="shared" si="54"/>
        <v>32</v>
      </c>
      <c r="FK109">
        <f t="shared" si="54"/>
        <v>52</v>
      </c>
      <c r="FL109">
        <f t="shared" si="50"/>
        <v>45</v>
      </c>
      <c r="FM109">
        <f t="shared" ref="FM109:FU109" si="55">FM95+FM98+FM101+FM104+FM107</f>
        <v>63</v>
      </c>
      <c r="FN109">
        <f t="shared" si="55"/>
        <v>65</v>
      </c>
      <c r="FO109">
        <f t="shared" si="55"/>
        <v>113</v>
      </c>
      <c r="FP109">
        <f t="shared" si="55"/>
        <v>117</v>
      </c>
      <c r="FQ109">
        <f t="shared" si="55"/>
        <v>101</v>
      </c>
      <c r="FR109">
        <f t="shared" si="55"/>
        <v>124</v>
      </c>
      <c r="FS109">
        <f t="shared" si="55"/>
        <v>130</v>
      </c>
      <c r="FT109">
        <f t="shared" si="55"/>
        <v>232</v>
      </c>
      <c r="FU109">
        <f t="shared" si="55"/>
        <v>9453</v>
      </c>
    </row>
    <row r="111" spans="8:177">
      <c r="H111" t="s">
        <v>27</v>
      </c>
      <c r="J111">
        <v>0.4</v>
      </c>
      <c r="K111">
        <v>2</v>
      </c>
      <c r="L111">
        <v>1400</v>
      </c>
      <c r="M111">
        <v>600</v>
      </c>
      <c r="N111">
        <v>90</v>
      </c>
      <c r="O111">
        <v>200</v>
      </c>
      <c r="P111">
        <v>100000</v>
      </c>
      <c r="Q111">
        <v>7.7741341310000003</v>
      </c>
      <c r="R111">
        <v>13.179407250000001</v>
      </c>
      <c r="S111">
        <v>8.9439886860000009</v>
      </c>
      <c r="T111">
        <v>6.7116493650000004</v>
      </c>
      <c r="U111">
        <v>12.309038320000001</v>
      </c>
      <c r="V111">
        <v>7.878237725</v>
      </c>
      <c r="W111">
        <v>5.9903802229999998</v>
      </c>
      <c r="X111">
        <v>11.653047190000001</v>
      </c>
      <c r="Y111">
        <v>7.2705024680000001</v>
      </c>
    </row>
    <row r="112" spans="8:177">
      <c r="J112">
        <v>185</v>
      </c>
      <c r="K112">
        <v>121</v>
      </c>
      <c r="L112">
        <v>84</v>
      </c>
      <c r="M112">
        <v>84</v>
      </c>
      <c r="N112">
        <v>81</v>
      </c>
      <c r="O112">
        <v>75</v>
      </c>
      <c r="P112">
        <v>69</v>
      </c>
      <c r="Q112">
        <v>54</v>
      </c>
      <c r="R112">
        <v>77</v>
      </c>
      <c r="S112">
        <v>77</v>
      </c>
      <c r="T112">
        <v>84</v>
      </c>
      <c r="U112">
        <v>75</v>
      </c>
      <c r="V112">
        <v>101</v>
      </c>
      <c r="W112">
        <v>86</v>
      </c>
      <c r="X112">
        <v>79</v>
      </c>
      <c r="Y112">
        <v>103</v>
      </c>
      <c r="Z112">
        <v>96</v>
      </c>
      <c r="AA112">
        <v>113</v>
      </c>
      <c r="AB112">
        <v>113</v>
      </c>
      <c r="AC112">
        <v>124</v>
      </c>
      <c r="AD112">
        <v>102</v>
      </c>
      <c r="AE112">
        <v>109</v>
      </c>
      <c r="AF112">
        <v>97</v>
      </c>
      <c r="AG112">
        <v>121</v>
      </c>
      <c r="AH112">
        <v>76</v>
      </c>
      <c r="AI112">
        <v>111</v>
      </c>
      <c r="AJ112">
        <v>89</v>
      </c>
      <c r="AK112">
        <v>96</v>
      </c>
      <c r="AL112">
        <v>69</v>
      </c>
      <c r="AM112">
        <v>78</v>
      </c>
      <c r="AN112">
        <v>91</v>
      </c>
      <c r="AO112">
        <v>72</v>
      </c>
      <c r="AP112">
        <v>40</v>
      </c>
      <c r="AQ112">
        <v>67</v>
      </c>
      <c r="AR112">
        <v>46</v>
      </c>
      <c r="AS112">
        <v>44</v>
      </c>
      <c r="AT112">
        <v>50</v>
      </c>
      <c r="AU112">
        <v>60</v>
      </c>
      <c r="AV112">
        <v>59</v>
      </c>
      <c r="AW112">
        <v>57</v>
      </c>
      <c r="AX112">
        <v>56</v>
      </c>
      <c r="AY112">
        <v>57</v>
      </c>
      <c r="AZ112">
        <v>64</v>
      </c>
      <c r="BA112">
        <v>51</v>
      </c>
      <c r="BB112">
        <v>49</v>
      </c>
      <c r="BC112">
        <v>47</v>
      </c>
      <c r="BD112">
        <v>38</v>
      </c>
      <c r="BE112">
        <v>49</v>
      </c>
      <c r="BF112">
        <v>45</v>
      </c>
      <c r="BG112">
        <v>49</v>
      </c>
      <c r="BH112">
        <v>57</v>
      </c>
      <c r="BI112">
        <v>42</v>
      </c>
      <c r="BJ112">
        <v>121</v>
      </c>
      <c r="BK112">
        <v>60</v>
      </c>
      <c r="BL112">
        <v>59</v>
      </c>
      <c r="BM112">
        <v>74</v>
      </c>
      <c r="BN112">
        <v>69</v>
      </c>
      <c r="BO112">
        <v>78</v>
      </c>
      <c r="BP112">
        <v>80</v>
      </c>
      <c r="BQ112">
        <v>83</v>
      </c>
      <c r="BR112">
        <v>78</v>
      </c>
      <c r="BS112">
        <v>64</v>
      </c>
      <c r="BT112">
        <v>80</v>
      </c>
      <c r="BU112">
        <v>64</v>
      </c>
      <c r="BV112">
        <v>80</v>
      </c>
      <c r="BW112">
        <v>138</v>
      </c>
      <c r="BX112">
        <v>154</v>
      </c>
      <c r="BY112">
        <v>176</v>
      </c>
      <c r="BZ112">
        <v>141</v>
      </c>
      <c r="CA112">
        <v>144</v>
      </c>
      <c r="CB112">
        <v>102</v>
      </c>
      <c r="CC112">
        <v>72</v>
      </c>
      <c r="CD112">
        <v>82</v>
      </c>
      <c r="CE112">
        <v>71</v>
      </c>
      <c r="CF112">
        <v>135</v>
      </c>
      <c r="CG112">
        <v>92</v>
      </c>
      <c r="CH112">
        <v>87</v>
      </c>
      <c r="CI112">
        <v>173</v>
      </c>
      <c r="CJ112">
        <v>93</v>
      </c>
      <c r="CK112">
        <v>78</v>
      </c>
      <c r="CL112">
        <v>76</v>
      </c>
      <c r="CM112">
        <v>122</v>
      </c>
      <c r="CN112">
        <v>52</v>
      </c>
      <c r="CO112">
        <v>71</v>
      </c>
      <c r="CP112">
        <v>75</v>
      </c>
      <c r="CQ112">
        <v>88</v>
      </c>
      <c r="CR112">
        <v>89</v>
      </c>
      <c r="CS112">
        <v>56</v>
      </c>
      <c r="CT112">
        <v>82</v>
      </c>
      <c r="CU112">
        <v>77</v>
      </c>
      <c r="CV112">
        <v>56</v>
      </c>
      <c r="CW112">
        <v>59</v>
      </c>
      <c r="CX112">
        <v>66</v>
      </c>
      <c r="CY112">
        <v>61</v>
      </c>
      <c r="CZ112">
        <v>57</v>
      </c>
      <c r="DA112">
        <v>68</v>
      </c>
      <c r="DB112">
        <v>74</v>
      </c>
      <c r="DC112">
        <v>78</v>
      </c>
      <c r="DD112">
        <v>71</v>
      </c>
      <c r="DE112">
        <v>60</v>
      </c>
      <c r="DF112">
        <v>38</v>
      </c>
      <c r="DG112">
        <v>53</v>
      </c>
      <c r="DH112">
        <v>31</v>
      </c>
      <c r="DI112">
        <v>35</v>
      </c>
      <c r="DJ112">
        <v>33</v>
      </c>
      <c r="DK112">
        <v>24</v>
      </c>
      <c r="DL112">
        <v>33</v>
      </c>
      <c r="DM112">
        <v>36</v>
      </c>
      <c r="DN112">
        <v>48</v>
      </c>
      <c r="DO112">
        <v>32</v>
      </c>
      <c r="DP112">
        <v>28</v>
      </c>
      <c r="DQ112">
        <v>36</v>
      </c>
      <c r="DR112">
        <v>40</v>
      </c>
      <c r="DS112">
        <v>21</v>
      </c>
      <c r="DT112">
        <v>31</v>
      </c>
      <c r="DU112">
        <v>12</v>
      </c>
      <c r="DV112">
        <v>29</v>
      </c>
      <c r="DW112">
        <v>20</v>
      </c>
      <c r="DX112">
        <v>27</v>
      </c>
      <c r="DY112">
        <v>28</v>
      </c>
      <c r="DZ112">
        <v>21</v>
      </c>
      <c r="EA112">
        <v>17</v>
      </c>
      <c r="EB112">
        <v>18</v>
      </c>
      <c r="EC112">
        <v>15</v>
      </c>
      <c r="ED112">
        <v>17</v>
      </c>
      <c r="EE112">
        <v>19</v>
      </c>
      <c r="EF112">
        <v>20</v>
      </c>
      <c r="EG112">
        <v>17</v>
      </c>
      <c r="EH112">
        <v>24</v>
      </c>
      <c r="EI112">
        <v>19</v>
      </c>
      <c r="EJ112">
        <v>17</v>
      </c>
      <c r="EK112">
        <v>27</v>
      </c>
      <c r="EL112">
        <v>21</v>
      </c>
      <c r="EM112">
        <v>22</v>
      </c>
      <c r="EN112">
        <v>21</v>
      </c>
      <c r="EO112">
        <v>16</v>
      </c>
      <c r="EP112">
        <v>15</v>
      </c>
      <c r="EQ112">
        <v>21</v>
      </c>
      <c r="ER112">
        <v>20</v>
      </c>
      <c r="ES112">
        <v>16</v>
      </c>
      <c r="ET112">
        <v>19</v>
      </c>
      <c r="EU112">
        <v>17</v>
      </c>
      <c r="EV112">
        <v>17</v>
      </c>
      <c r="EW112">
        <v>19</v>
      </c>
      <c r="EX112">
        <v>21</v>
      </c>
      <c r="EY112">
        <v>17</v>
      </c>
      <c r="EZ112">
        <v>21</v>
      </c>
      <c r="FA112">
        <v>20</v>
      </c>
      <c r="FB112">
        <v>23</v>
      </c>
      <c r="FC112">
        <v>25</v>
      </c>
      <c r="FD112">
        <v>18</v>
      </c>
      <c r="FE112">
        <v>25</v>
      </c>
      <c r="FF112">
        <v>25</v>
      </c>
      <c r="FG112">
        <v>26</v>
      </c>
      <c r="FH112">
        <v>24</v>
      </c>
      <c r="FI112">
        <v>23</v>
      </c>
      <c r="FJ112">
        <v>21</v>
      </c>
      <c r="FK112">
        <v>25</v>
      </c>
      <c r="FL112">
        <v>25</v>
      </c>
      <c r="FM112" s="1">
        <v>26</v>
      </c>
      <c r="FN112" s="1">
        <v>34</v>
      </c>
      <c r="FO112" s="1">
        <v>43</v>
      </c>
      <c r="FP112" s="1">
        <v>47</v>
      </c>
      <c r="FQ112" s="1">
        <v>40</v>
      </c>
      <c r="FR112" s="1">
        <v>62</v>
      </c>
      <c r="FS112" s="1">
        <v>77</v>
      </c>
      <c r="FT112" s="1">
        <v>118</v>
      </c>
      <c r="FU112" s="1">
        <v>247</v>
      </c>
    </row>
    <row r="113" spans="1:177"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</v>
      </c>
      <c r="AJ113">
        <v>10</v>
      </c>
      <c r="AK113">
        <v>4</v>
      </c>
      <c r="AL113">
        <v>3</v>
      </c>
      <c r="AM113">
        <v>2</v>
      </c>
      <c r="AN113">
        <v>3</v>
      </c>
      <c r="AO113">
        <v>3</v>
      </c>
      <c r="AP113">
        <v>3</v>
      </c>
      <c r="AQ113">
        <v>3</v>
      </c>
      <c r="AR113">
        <v>2</v>
      </c>
      <c r="AS113">
        <v>2</v>
      </c>
      <c r="AT113">
        <v>1</v>
      </c>
      <c r="AU113">
        <v>2</v>
      </c>
      <c r="AV113">
        <v>2</v>
      </c>
      <c r="AW113">
        <v>2</v>
      </c>
      <c r="AX113">
        <v>2</v>
      </c>
      <c r="AY113">
        <v>1</v>
      </c>
      <c r="AZ113">
        <v>11</v>
      </c>
      <c r="BA113">
        <v>11</v>
      </c>
      <c r="BB113">
        <v>7</v>
      </c>
      <c r="BC113">
        <v>14</v>
      </c>
      <c r="BD113">
        <v>15</v>
      </c>
      <c r="BE113">
        <v>11</v>
      </c>
      <c r="BF113">
        <v>8</v>
      </c>
      <c r="BG113">
        <v>9</v>
      </c>
      <c r="BH113">
        <v>11</v>
      </c>
      <c r="BI113">
        <v>12</v>
      </c>
      <c r="BJ113">
        <v>9</v>
      </c>
      <c r="BK113">
        <v>10</v>
      </c>
      <c r="BL113">
        <v>13</v>
      </c>
      <c r="BM113">
        <v>6</v>
      </c>
      <c r="BN113">
        <v>6</v>
      </c>
      <c r="BO113">
        <v>6</v>
      </c>
      <c r="BP113">
        <v>6</v>
      </c>
      <c r="BQ113">
        <v>6</v>
      </c>
      <c r="BR113">
        <v>8</v>
      </c>
      <c r="BS113">
        <v>15</v>
      </c>
      <c r="BT113">
        <v>20</v>
      </c>
      <c r="BU113">
        <v>22</v>
      </c>
      <c r="BV113">
        <v>23</v>
      </c>
      <c r="BW113">
        <v>17</v>
      </c>
      <c r="BX113">
        <v>14</v>
      </c>
      <c r="BY113">
        <v>22</v>
      </c>
      <c r="BZ113">
        <v>27</v>
      </c>
      <c r="CA113">
        <v>13</v>
      </c>
      <c r="CB113">
        <v>10</v>
      </c>
      <c r="CC113">
        <v>14</v>
      </c>
      <c r="CD113">
        <v>12</v>
      </c>
      <c r="CE113">
        <v>19</v>
      </c>
      <c r="CF113">
        <v>16</v>
      </c>
      <c r="CG113">
        <v>16</v>
      </c>
      <c r="CH113">
        <v>16</v>
      </c>
      <c r="CI113">
        <v>25</v>
      </c>
      <c r="CJ113">
        <v>28</v>
      </c>
      <c r="CK113">
        <v>24</v>
      </c>
      <c r="CL113">
        <v>23</v>
      </c>
      <c r="CM113">
        <v>27</v>
      </c>
      <c r="CN113">
        <v>28</v>
      </c>
      <c r="CO113">
        <v>14</v>
      </c>
      <c r="CP113">
        <v>16</v>
      </c>
      <c r="CQ113">
        <v>11</v>
      </c>
      <c r="CR113">
        <v>11</v>
      </c>
      <c r="CS113">
        <v>13</v>
      </c>
      <c r="CT113">
        <v>10</v>
      </c>
      <c r="CU113">
        <v>10</v>
      </c>
      <c r="CV113">
        <v>11</v>
      </c>
      <c r="CW113">
        <v>10</v>
      </c>
      <c r="CX113">
        <v>9</v>
      </c>
      <c r="CY113">
        <v>14</v>
      </c>
      <c r="CZ113">
        <v>11</v>
      </c>
      <c r="DA113">
        <v>11</v>
      </c>
      <c r="DB113">
        <v>12</v>
      </c>
      <c r="DC113">
        <v>7</v>
      </c>
      <c r="DD113">
        <v>10</v>
      </c>
      <c r="DE113">
        <v>8</v>
      </c>
      <c r="DF113">
        <v>9</v>
      </c>
      <c r="DG113">
        <v>12</v>
      </c>
      <c r="DH113">
        <v>6</v>
      </c>
      <c r="DI113">
        <v>11</v>
      </c>
      <c r="DJ113">
        <v>12</v>
      </c>
      <c r="DK113">
        <v>16</v>
      </c>
      <c r="DL113">
        <v>17</v>
      </c>
      <c r="DM113">
        <v>15</v>
      </c>
      <c r="DN113">
        <v>9</v>
      </c>
      <c r="DO113">
        <v>12</v>
      </c>
      <c r="DP113">
        <v>18</v>
      </c>
      <c r="DQ113">
        <v>14</v>
      </c>
      <c r="DR113">
        <v>12</v>
      </c>
      <c r="DS113">
        <v>8</v>
      </c>
      <c r="DT113">
        <v>12</v>
      </c>
      <c r="DU113">
        <v>11</v>
      </c>
      <c r="DV113">
        <v>16</v>
      </c>
      <c r="DW113">
        <v>13</v>
      </c>
      <c r="DX113">
        <v>17</v>
      </c>
      <c r="DY113">
        <v>15</v>
      </c>
      <c r="DZ113">
        <v>26</v>
      </c>
      <c r="EA113">
        <v>12</v>
      </c>
      <c r="EB113">
        <v>17</v>
      </c>
      <c r="EC113">
        <v>19</v>
      </c>
      <c r="ED113">
        <v>23</v>
      </c>
      <c r="EE113">
        <v>18</v>
      </c>
      <c r="EF113">
        <v>14</v>
      </c>
      <c r="EG113">
        <v>12</v>
      </c>
      <c r="EH113">
        <v>16</v>
      </c>
      <c r="EI113">
        <v>13</v>
      </c>
      <c r="EJ113">
        <v>15</v>
      </c>
      <c r="EK113">
        <v>18</v>
      </c>
      <c r="EL113">
        <v>15</v>
      </c>
      <c r="EM113">
        <v>17</v>
      </c>
      <c r="EN113">
        <v>20</v>
      </c>
      <c r="EO113">
        <v>18</v>
      </c>
      <c r="EP113">
        <v>18</v>
      </c>
      <c r="EQ113">
        <v>18</v>
      </c>
      <c r="ER113">
        <v>17</v>
      </c>
      <c r="ES113">
        <v>15</v>
      </c>
      <c r="ET113">
        <v>24</v>
      </c>
      <c r="EU113">
        <v>17</v>
      </c>
      <c r="EV113">
        <v>20</v>
      </c>
      <c r="EW113">
        <v>20</v>
      </c>
      <c r="EX113">
        <v>16</v>
      </c>
      <c r="EY113">
        <v>24</v>
      </c>
      <c r="EZ113">
        <v>19</v>
      </c>
      <c r="FA113">
        <v>43</v>
      </c>
      <c r="FB113">
        <v>33</v>
      </c>
      <c r="FC113">
        <v>27</v>
      </c>
      <c r="FD113">
        <v>21</v>
      </c>
      <c r="FE113">
        <v>19</v>
      </c>
      <c r="FF113">
        <v>23</v>
      </c>
      <c r="FG113">
        <v>29</v>
      </c>
      <c r="FH113">
        <v>21</v>
      </c>
      <c r="FI113">
        <v>21</v>
      </c>
      <c r="FJ113">
        <v>24</v>
      </c>
      <c r="FK113">
        <v>13</v>
      </c>
      <c r="FL113">
        <v>32</v>
      </c>
      <c r="FM113" s="1">
        <v>31</v>
      </c>
      <c r="FN113" s="1">
        <v>31</v>
      </c>
      <c r="FO113" s="1">
        <v>26</v>
      </c>
      <c r="FP113" s="1">
        <v>39</v>
      </c>
      <c r="FQ113" s="1">
        <v>24</v>
      </c>
      <c r="FR113" s="1">
        <v>28</v>
      </c>
      <c r="FS113" s="1">
        <v>24</v>
      </c>
      <c r="FT113" s="1">
        <v>58</v>
      </c>
      <c r="FU113" s="1">
        <v>566</v>
      </c>
    </row>
    <row r="114" spans="1:177">
      <c r="J114">
        <v>0.4</v>
      </c>
      <c r="K114">
        <v>3</v>
      </c>
      <c r="L114">
        <v>1400</v>
      </c>
      <c r="M114">
        <v>600</v>
      </c>
      <c r="N114">
        <v>90</v>
      </c>
      <c r="O114">
        <v>200</v>
      </c>
      <c r="P114">
        <v>100000</v>
      </c>
      <c r="Q114">
        <v>9.1749145290000005</v>
      </c>
      <c r="R114">
        <v>9.9892790359999992</v>
      </c>
      <c r="S114">
        <v>9.4521683329999995</v>
      </c>
      <c r="T114">
        <v>8.2275626489999993</v>
      </c>
      <c r="U114">
        <v>8.7650991240000007</v>
      </c>
      <c r="V114">
        <v>8.4049963139999999</v>
      </c>
      <c r="W114">
        <v>6.449971991</v>
      </c>
      <c r="X114">
        <v>8.8138137160000003</v>
      </c>
      <c r="Y114">
        <v>7.1401587649999998</v>
      </c>
      <c r="FM114" s="7"/>
      <c r="FN114" s="7"/>
      <c r="FO114" s="7"/>
      <c r="FP114" s="7"/>
      <c r="FQ114" s="7"/>
      <c r="FR114" s="7"/>
      <c r="FS114" s="7"/>
      <c r="FT114" s="7"/>
      <c r="FU114" s="7"/>
    </row>
    <row r="115" spans="1:177">
      <c r="J115">
        <v>50</v>
      </c>
      <c r="K115">
        <v>29</v>
      </c>
      <c r="L115">
        <v>24</v>
      </c>
      <c r="M115">
        <v>37</v>
      </c>
      <c r="N115">
        <v>36</v>
      </c>
      <c r="O115">
        <v>27</v>
      </c>
      <c r="P115">
        <v>39</v>
      </c>
      <c r="Q115">
        <v>28</v>
      </c>
      <c r="R115">
        <v>48</v>
      </c>
      <c r="S115">
        <v>40</v>
      </c>
      <c r="T115">
        <v>33</v>
      </c>
      <c r="U115">
        <v>38</v>
      </c>
      <c r="V115">
        <v>53</v>
      </c>
      <c r="W115">
        <v>45</v>
      </c>
      <c r="X115">
        <v>61</v>
      </c>
      <c r="Y115">
        <v>88</v>
      </c>
      <c r="Z115">
        <v>107</v>
      </c>
      <c r="AA115">
        <v>88</v>
      </c>
      <c r="AB115">
        <v>92</v>
      </c>
      <c r="AC115">
        <v>93</v>
      </c>
      <c r="AD115">
        <v>81</v>
      </c>
      <c r="AE115">
        <v>72</v>
      </c>
      <c r="AF115">
        <v>67</v>
      </c>
      <c r="AG115">
        <v>91</v>
      </c>
      <c r="AH115">
        <v>97</v>
      </c>
      <c r="AI115">
        <v>93</v>
      </c>
      <c r="AJ115">
        <v>27</v>
      </c>
      <c r="AK115">
        <v>24</v>
      </c>
      <c r="AL115">
        <v>28</v>
      </c>
      <c r="AM115">
        <v>39</v>
      </c>
      <c r="AN115">
        <v>27</v>
      </c>
      <c r="AO115">
        <v>22</v>
      </c>
      <c r="AP115">
        <v>15</v>
      </c>
      <c r="AQ115">
        <v>19</v>
      </c>
      <c r="AR115">
        <v>21</v>
      </c>
      <c r="AS115">
        <v>18</v>
      </c>
      <c r="AT115">
        <v>20</v>
      </c>
      <c r="AU115">
        <v>19</v>
      </c>
      <c r="AV115">
        <v>21</v>
      </c>
      <c r="AW115">
        <v>24</v>
      </c>
      <c r="AX115">
        <v>21</v>
      </c>
      <c r="AY115">
        <v>19</v>
      </c>
      <c r="AZ115">
        <v>20</v>
      </c>
      <c r="BA115">
        <v>19</v>
      </c>
      <c r="BB115">
        <v>25</v>
      </c>
      <c r="BC115">
        <v>18</v>
      </c>
      <c r="BD115">
        <v>18</v>
      </c>
      <c r="BE115">
        <v>19</v>
      </c>
      <c r="BF115">
        <v>22</v>
      </c>
      <c r="BG115">
        <v>15</v>
      </c>
      <c r="BH115">
        <v>21</v>
      </c>
      <c r="BI115">
        <v>25</v>
      </c>
      <c r="BJ115">
        <v>18</v>
      </c>
      <c r="BK115">
        <v>27</v>
      </c>
      <c r="BL115">
        <v>22</v>
      </c>
      <c r="BM115">
        <v>22</v>
      </c>
      <c r="BN115">
        <v>22</v>
      </c>
      <c r="BO115">
        <v>24</v>
      </c>
      <c r="BP115">
        <v>32</v>
      </c>
      <c r="BQ115">
        <v>41</v>
      </c>
      <c r="BR115">
        <v>31</v>
      </c>
      <c r="BS115">
        <v>33</v>
      </c>
      <c r="BT115">
        <v>43</v>
      </c>
      <c r="BU115">
        <v>41</v>
      </c>
      <c r="BV115">
        <v>57</v>
      </c>
      <c r="BW115">
        <v>56</v>
      </c>
      <c r="BX115">
        <v>94</v>
      </c>
      <c r="BY115">
        <v>252</v>
      </c>
      <c r="BZ115">
        <v>84</v>
      </c>
      <c r="CA115">
        <v>88</v>
      </c>
      <c r="CB115">
        <v>127</v>
      </c>
      <c r="CC115">
        <v>127</v>
      </c>
      <c r="CD115">
        <v>149</v>
      </c>
      <c r="CE115">
        <v>115</v>
      </c>
      <c r="CF115">
        <v>144</v>
      </c>
      <c r="CG115">
        <v>122</v>
      </c>
      <c r="CH115">
        <v>115</v>
      </c>
      <c r="CI115">
        <v>109</v>
      </c>
      <c r="CJ115">
        <v>115</v>
      </c>
      <c r="CK115">
        <v>126</v>
      </c>
      <c r="CL115">
        <v>161</v>
      </c>
      <c r="CM115">
        <v>137</v>
      </c>
      <c r="CN115">
        <v>112</v>
      </c>
      <c r="CO115">
        <v>132</v>
      </c>
      <c r="CP115">
        <v>103</v>
      </c>
      <c r="CQ115">
        <v>118</v>
      </c>
      <c r="CR115">
        <v>85</v>
      </c>
      <c r="CS115">
        <v>74</v>
      </c>
      <c r="CT115">
        <v>85</v>
      </c>
      <c r="CU115">
        <v>86</v>
      </c>
      <c r="CV115">
        <v>133</v>
      </c>
      <c r="CW115">
        <v>80</v>
      </c>
      <c r="CX115">
        <v>73</v>
      </c>
      <c r="CY115">
        <v>65</v>
      </c>
      <c r="CZ115">
        <v>105</v>
      </c>
      <c r="DA115">
        <v>94</v>
      </c>
      <c r="DB115">
        <v>130</v>
      </c>
      <c r="DC115">
        <v>83</v>
      </c>
      <c r="DD115">
        <v>63</v>
      </c>
      <c r="DE115">
        <v>44</v>
      </c>
      <c r="DF115">
        <v>55</v>
      </c>
      <c r="DG115">
        <v>35</v>
      </c>
      <c r="DH115">
        <v>40</v>
      </c>
      <c r="DI115">
        <v>62</v>
      </c>
      <c r="DJ115">
        <v>42</v>
      </c>
      <c r="DK115">
        <v>28</v>
      </c>
      <c r="DL115">
        <v>32</v>
      </c>
      <c r="DM115">
        <v>26</v>
      </c>
      <c r="DN115">
        <v>36</v>
      </c>
      <c r="DO115">
        <v>30</v>
      </c>
      <c r="DP115">
        <v>29</v>
      </c>
      <c r="DQ115">
        <v>28</v>
      </c>
      <c r="DR115">
        <v>28</v>
      </c>
      <c r="DS115">
        <v>26</v>
      </c>
      <c r="DT115">
        <v>20</v>
      </c>
      <c r="DU115">
        <v>24</v>
      </c>
      <c r="DV115">
        <v>23</v>
      </c>
      <c r="DW115">
        <v>27</v>
      </c>
      <c r="DX115">
        <v>21</v>
      </c>
      <c r="DY115">
        <v>25</v>
      </c>
      <c r="DZ115">
        <v>22</v>
      </c>
      <c r="EA115">
        <v>25</v>
      </c>
      <c r="EB115">
        <v>26</v>
      </c>
      <c r="EC115">
        <v>25</v>
      </c>
      <c r="ED115">
        <v>27</v>
      </c>
      <c r="EE115">
        <v>29</v>
      </c>
      <c r="EF115">
        <v>22</v>
      </c>
      <c r="EG115">
        <v>23</v>
      </c>
      <c r="EH115">
        <v>21</v>
      </c>
      <c r="EI115">
        <v>21</v>
      </c>
      <c r="EJ115">
        <v>18</v>
      </c>
      <c r="EK115">
        <v>26</v>
      </c>
      <c r="EL115">
        <v>20</v>
      </c>
      <c r="EM115">
        <v>22</v>
      </c>
      <c r="EN115">
        <v>21</v>
      </c>
      <c r="EO115">
        <v>21</v>
      </c>
      <c r="EP115">
        <v>21</v>
      </c>
      <c r="EQ115">
        <v>16</v>
      </c>
      <c r="ER115">
        <v>23</v>
      </c>
      <c r="ES115">
        <v>21</v>
      </c>
      <c r="ET115">
        <v>18</v>
      </c>
      <c r="EU115">
        <v>22</v>
      </c>
      <c r="EV115">
        <v>22</v>
      </c>
      <c r="EW115">
        <v>25</v>
      </c>
      <c r="EX115">
        <v>19</v>
      </c>
      <c r="EY115">
        <v>21</v>
      </c>
      <c r="EZ115">
        <v>21</v>
      </c>
      <c r="FA115">
        <v>24</v>
      </c>
      <c r="FB115">
        <v>26</v>
      </c>
      <c r="FC115">
        <v>23</v>
      </c>
      <c r="FD115">
        <v>25</v>
      </c>
      <c r="FE115">
        <v>27</v>
      </c>
      <c r="FF115">
        <v>26</v>
      </c>
      <c r="FG115">
        <v>27</v>
      </c>
      <c r="FH115">
        <v>25</v>
      </c>
      <c r="FI115">
        <v>30</v>
      </c>
      <c r="FJ115">
        <v>28</v>
      </c>
      <c r="FK115">
        <v>30</v>
      </c>
      <c r="FL115">
        <v>23</v>
      </c>
      <c r="FM115" s="1">
        <v>37</v>
      </c>
      <c r="FN115" s="1">
        <v>36</v>
      </c>
      <c r="FO115" s="1">
        <v>53</v>
      </c>
      <c r="FP115" s="1">
        <v>56</v>
      </c>
      <c r="FQ115" s="1">
        <v>54</v>
      </c>
      <c r="FR115" s="1">
        <v>75</v>
      </c>
      <c r="FS115" s="1">
        <v>79</v>
      </c>
      <c r="FT115" s="1">
        <v>130</v>
      </c>
      <c r="FU115" s="1">
        <v>413</v>
      </c>
    </row>
    <row r="116" spans="1:177"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6</v>
      </c>
      <c r="Q116">
        <v>5</v>
      </c>
      <c r="R116">
        <v>4</v>
      </c>
      <c r="S116">
        <v>6</v>
      </c>
      <c r="T116">
        <v>8</v>
      </c>
      <c r="U116">
        <v>14</v>
      </c>
      <c r="V116">
        <v>11</v>
      </c>
      <c r="W116">
        <v>19</v>
      </c>
      <c r="X116">
        <v>19</v>
      </c>
      <c r="Y116">
        <v>19</v>
      </c>
      <c r="Z116">
        <v>17</v>
      </c>
      <c r="AA116">
        <v>26</v>
      </c>
      <c r="AB116">
        <v>19</v>
      </c>
      <c r="AC116">
        <v>19</v>
      </c>
      <c r="AD116">
        <v>22</v>
      </c>
      <c r="AE116">
        <v>29</v>
      </c>
      <c r="AF116">
        <v>24</v>
      </c>
      <c r="AG116">
        <v>23</v>
      </c>
      <c r="AH116">
        <v>17</v>
      </c>
      <c r="AI116">
        <v>14</v>
      </c>
      <c r="AJ116">
        <v>12</v>
      </c>
      <c r="AK116">
        <v>14</v>
      </c>
      <c r="AL116">
        <v>16</v>
      </c>
      <c r="AM116">
        <v>12</v>
      </c>
      <c r="AN116">
        <v>14</v>
      </c>
      <c r="AO116">
        <v>13</v>
      </c>
      <c r="AP116">
        <v>11</v>
      </c>
      <c r="AQ116">
        <v>11</v>
      </c>
      <c r="AR116">
        <v>64</v>
      </c>
      <c r="AS116">
        <v>60</v>
      </c>
      <c r="AT116">
        <v>77</v>
      </c>
      <c r="AU116">
        <v>57</v>
      </c>
      <c r="AV116">
        <v>44</v>
      </c>
      <c r="AW116">
        <v>51</v>
      </c>
      <c r="AX116">
        <v>29</v>
      </c>
      <c r="AY116">
        <v>56</v>
      </c>
      <c r="AZ116">
        <v>48</v>
      </c>
      <c r="BA116">
        <v>35</v>
      </c>
      <c r="BB116">
        <v>58</v>
      </c>
      <c r="BC116">
        <v>43</v>
      </c>
      <c r="BD116">
        <v>32</v>
      </c>
      <c r="BE116">
        <v>37</v>
      </c>
      <c r="BF116">
        <v>43</v>
      </c>
      <c r="BG116">
        <v>48</v>
      </c>
      <c r="BH116">
        <v>48</v>
      </c>
      <c r="BI116">
        <v>37</v>
      </c>
      <c r="BJ116">
        <v>39</v>
      </c>
      <c r="BK116">
        <v>46</v>
      </c>
      <c r="BL116">
        <v>58</v>
      </c>
      <c r="BM116">
        <v>51</v>
      </c>
      <c r="BN116">
        <v>57</v>
      </c>
      <c r="BO116">
        <v>64</v>
      </c>
      <c r="BP116">
        <v>44</v>
      </c>
      <c r="BQ116">
        <v>60</v>
      </c>
      <c r="BR116">
        <v>50</v>
      </c>
      <c r="BS116">
        <v>35</v>
      </c>
      <c r="BT116">
        <v>41</v>
      </c>
      <c r="BU116">
        <v>34</v>
      </c>
      <c r="BV116">
        <v>27</v>
      </c>
      <c r="BW116">
        <v>30</v>
      </c>
      <c r="BX116">
        <v>32</v>
      </c>
      <c r="BY116">
        <v>34</v>
      </c>
      <c r="BZ116">
        <v>26</v>
      </c>
      <c r="CA116">
        <v>27</v>
      </c>
      <c r="CB116">
        <v>19</v>
      </c>
      <c r="CC116">
        <v>29</v>
      </c>
      <c r="CD116">
        <v>27</v>
      </c>
      <c r="CE116">
        <v>27</v>
      </c>
      <c r="CF116">
        <v>21</v>
      </c>
      <c r="CG116">
        <v>33</v>
      </c>
      <c r="CH116">
        <v>20</v>
      </c>
      <c r="CI116">
        <v>21</v>
      </c>
      <c r="CJ116">
        <v>20</v>
      </c>
      <c r="CK116">
        <v>16</v>
      </c>
      <c r="CL116">
        <v>22</v>
      </c>
      <c r="CM116">
        <v>24</v>
      </c>
      <c r="CN116">
        <v>30</v>
      </c>
      <c r="CO116">
        <v>16</v>
      </c>
      <c r="CP116">
        <v>26</v>
      </c>
      <c r="CQ116">
        <v>18</v>
      </c>
      <c r="CR116">
        <v>18</v>
      </c>
      <c r="CS116">
        <v>14</v>
      </c>
      <c r="CT116">
        <v>20</v>
      </c>
      <c r="CU116">
        <v>16</v>
      </c>
      <c r="CV116">
        <v>14</v>
      </c>
      <c r="CW116">
        <v>15</v>
      </c>
      <c r="CX116">
        <v>19</v>
      </c>
      <c r="CY116">
        <v>15</v>
      </c>
      <c r="CZ116">
        <v>17</v>
      </c>
      <c r="DA116">
        <v>21</v>
      </c>
      <c r="DB116">
        <v>18</v>
      </c>
      <c r="DC116">
        <v>29</v>
      </c>
      <c r="DD116">
        <v>14</v>
      </c>
      <c r="DE116">
        <v>19</v>
      </c>
      <c r="DF116">
        <v>12</v>
      </c>
      <c r="DG116">
        <v>14</v>
      </c>
      <c r="DH116">
        <v>15</v>
      </c>
      <c r="DI116">
        <v>20</v>
      </c>
      <c r="DJ116">
        <v>23</v>
      </c>
      <c r="DK116">
        <v>20</v>
      </c>
      <c r="DL116">
        <v>22</v>
      </c>
      <c r="DM116">
        <v>16</v>
      </c>
      <c r="DN116">
        <v>15</v>
      </c>
      <c r="DO116">
        <v>16</v>
      </c>
      <c r="DP116">
        <v>21</v>
      </c>
      <c r="DQ116">
        <v>16</v>
      </c>
      <c r="DR116">
        <v>21</v>
      </c>
      <c r="DS116">
        <v>20</v>
      </c>
      <c r="DT116">
        <v>18</v>
      </c>
      <c r="DU116">
        <v>19</v>
      </c>
      <c r="DV116">
        <v>19</v>
      </c>
      <c r="DW116">
        <v>17</v>
      </c>
      <c r="DX116">
        <v>33</v>
      </c>
      <c r="DY116">
        <v>15</v>
      </c>
      <c r="DZ116">
        <v>19</v>
      </c>
      <c r="EA116">
        <v>15</v>
      </c>
      <c r="EB116">
        <v>16</v>
      </c>
      <c r="EC116">
        <v>9</v>
      </c>
      <c r="ED116">
        <v>17</v>
      </c>
      <c r="EE116">
        <v>20</v>
      </c>
      <c r="EF116">
        <v>14</v>
      </c>
      <c r="EG116">
        <v>17</v>
      </c>
      <c r="EH116">
        <v>21</v>
      </c>
      <c r="EI116">
        <v>9</v>
      </c>
      <c r="EJ116">
        <v>15</v>
      </c>
      <c r="EK116">
        <v>23</v>
      </c>
      <c r="EL116">
        <v>16</v>
      </c>
      <c r="EM116">
        <v>10</v>
      </c>
      <c r="EN116">
        <v>15</v>
      </c>
      <c r="EO116">
        <v>14</v>
      </c>
      <c r="EP116">
        <v>15</v>
      </c>
      <c r="EQ116">
        <v>12</v>
      </c>
      <c r="ER116">
        <v>14</v>
      </c>
      <c r="ES116">
        <v>14</v>
      </c>
      <c r="ET116">
        <v>18</v>
      </c>
      <c r="EU116">
        <v>26</v>
      </c>
      <c r="EV116">
        <v>13</v>
      </c>
      <c r="EW116">
        <v>11</v>
      </c>
      <c r="EX116">
        <v>14</v>
      </c>
      <c r="EY116">
        <v>14</v>
      </c>
      <c r="EZ116">
        <v>12</v>
      </c>
      <c r="FA116">
        <v>14</v>
      </c>
      <c r="FB116">
        <v>16</v>
      </c>
      <c r="FC116">
        <v>13</v>
      </c>
      <c r="FD116">
        <v>15</v>
      </c>
      <c r="FE116">
        <v>28</v>
      </c>
      <c r="FF116">
        <v>22</v>
      </c>
      <c r="FG116">
        <v>21</v>
      </c>
      <c r="FH116">
        <v>19</v>
      </c>
      <c r="FI116">
        <v>20</v>
      </c>
      <c r="FJ116">
        <v>27</v>
      </c>
      <c r="FK116">
        <v>20</v>
      </c>
      <c r="FL116">
        <v>36</v>
      </c>
      <c r="FM116" s="1">
        <v>28</v>
      </c>
      <c r="FN116" s="1">
        <v>38</v>
      </c>
      <c r="FO116" s="1">
        <v>57</v>
      </c>
      <c r="FP116" s="1">
        <v>71</v>
      </c>
      <c r="FQ116" s="1">
        <v>44</v>
      </c>
      <c r="FR116" s="1">
        <v>57</v>
      </c>
      <c r="FS116" s="1">
        <v>43</v>
      </c>
      <c r="FT116" s="1">
        <v>67</v>
      </c>
      <c r="FU116" s="1">
        <v>233</v>
      </c>
    </row>
    <row r="117" spans="1:177">
      <c r="J117">
        <v>0.4</v>
      </c>
      <c r="K117">
        <v>6</v>
      </c>
      <c r="L117">
        <v>1400</v>
      </c>
      <c r="M117">
        <v>600</v>
      </c>
      <c r="N117">
        <v>90</v>
      </c>
      <c r="O117">
        <v>200</v>
      </c>
      <c r="P117">
        <v>100000</v>
      </c>
      <c r="Q117">
        <v>8.8116749359999993</v>
      </c>
      <c r="R117">
        <v>11.901876570000001</v>
      </c>
      <c r="S117">
        <v>9.648635166</v>
      </c>
      <c r="T117">
        <v>7.9234657960000003</v>
      </c>
      <c r="U117">
        <v>11.48200057</v>
      </c>
      <c r="V117">
        <v>8.9356161180000004</v>
      </c>
      <c r="W117">
        <v>6.3364008030000001</v>
      </c>
      <c r="X117">
        <v>9.7170734030000006</v>
      </c>
      <c r="Y117">
        <v>7.3007313419999997</v>
      </c>
      <c r="FM117" s="7"/>
      <c r="FN117" s="7"/>
      <c r="FO117" s="7"/>
      <c r="FP117" s="7"/>
      <c r="FQ117" s="7"/>
      <c r="FR117" s="7"/>
      <c r="FS117" s="7"/>
      <c r="FT117" s="7"/>
      <c r="FU117" s="7"/>
    </row>
    <row r="118" spans="1:177">
      <c r="J118">
        <v>25</v>
      </c>
      <c r="K118">
        <v>28</v>
      </c>
      <c r="L118">
        <v>25</v>
      </c>
      <c r="M118">
        <v>26</v>
      </c>
      <c r="N118">
        <v>48</v>
      </c>
      <c r="O118">
        <v>48</v>
      </c>
      <c r="P118">
        <v>56</v>
      </c>
      <c r="Q118">
        <v>45</v>
      </c>
      <c r="R118">
        <v>39</v>
      </c>
      <c r="S118">
        <v>53</v>
      </c>
      <c r="T118">
        <v>49</v>
      </c>
      <c r="U118">
        <v>44</v>
      </c>
      <c r="V118">
        <v>67</v>
      </c>
      <c r="W118">
        <v>53</v>
      </c>
      <c r="X118">
        <v>60</v>
      </c>
      <c r="Y118">
        <v>61</v>
      </c>
      <c r="Z118">
        <v>76</v>
      </c>
      <c r="AA118">
        <v>77</v>
      </c>
      <c r="AB118">
        <v>89</v>
      </c>
      <c r="AC118">
        <v>56</v>
      </c>
      <c r="AD118">
        <v>55</v>
      </c>
      <c r="AE118">
        <v>64</v>
      </c>
      <c r="AF118">
        <v>58</v>
      </c>
      <c r="AG118">
        <v>63</v>
      </c>
      <c r="AH118">
        <v>72</v>
      </c>
      <c r="AI118">
        <v>32</v>
      </c>
      <c r="AJ118">
        <v>30</v>
      </c>
      <c r="AK118">
        <v>32</v>
      </c>
      <c r="AL118">
        <v>46</v>
      </c>
      <c r="AM118">
        <v>43</v>
      </c>
      <c r="AN118">
        <v>29</v>
      </c>
      <c r="AO118">
        <v>31</v>
      </c>
      <c r="AP118">
        <v>57</v>
      </c>
      <c r="AQ118">
        <v>45</v>
      </c>
      <c r="AR118">
        <v>50</v>
      </c>
      <c r="AS118">
        <v>27</v>
      </c>
      <c r="AT118">
        <v>18</v>
      </c>
      <c r="AU118">
        <v>29</v>
      </c>
      <c r="AV118">
        <v>23</v>
      </c>
      <c r="AW118">
        <v>36</v>
      </c>
      <c r="AX118">
        <v>27</v>
      </c>
      <c r="AY118">
        <v>31</v>
      </c>
      <c r="AZ118">
        <v>28</v>
      </c>
      <c r="BA118">
        <v>24</v>
      </c>
      <c r="BB118">
        <v>33</v>
      </c>
      <c r="BC118">
        <v>39</v>
      </c>
      <c r="BD118">
        <v>31</v>
      </c>
      <c r="BE118">
        <v>28</v>
      </c>
      <c r="BF118">
        <v>33</v>
      </c>
      <c r="BG118">
        <v>35</v>
      </c>
      <c r="BH118">
        <v>43</v>
      </c>
      <c r="BI118">
        <v>32</v>
      </c>
      <c r="BJ118">
        <v>41</v>
      </c>
      <c r="BK118">
        <v>44</v>
      </c>
      <c r="BL118">
        <v>53</v>
      </c>
      <c r="BM118">
        <v>44</v>
      </c>
      <c r="BN118">
        <v>40</v>
      </c>
      <c r="BO118">
        <v>49</v>
      </c>
      <c r="BP118">
        <v>62</v>
      </c>
      <c r="BQ118">
        <v>64</v>
      </c>
      <c r="BR118">
        <v>57</v>
      </c>
      <c r="BS118">
        <v>75</v>
      </c>
      <c r="BT118">
        <v>56</v>
      </c>
      <c r="BU118">
        <v>67</v>
      </c>
      <c r="BV118">
        <v>87</v>
      </c>
      <c r="BW118">
        <v>76</v>
      </c>
      <c r="BX118">
        <v>252</v>
      </c>
      <c r="BY118">
        <v>324</v>
      </c>
      <c r="BZ118">
        <v>109</v>
      </c>
      <c r="CA118">
        <v>116</v>
      </c>
      <c r="CB118">
        <v>91</v>
      </c>
      <c r="CC118">
        <v>112</v>
      </c>
      <c r="CD118">
        <v>114</v>
      </c>
      <c r="CE118">
        <v>126</v>
      </c>
      <c r="CF118">
        <v>81</v>
      </c>
      <c r="CG118">
        <v>120</v>
      </c>
      <c r="CH118">
        <v>99</v>
      </c>
      <c r="CI118">
        <v>110</v>
      </c>
      <c r="CJ118">
        <v>152</v>
      </c>
      <c r="CK118">
        <v>132</v>
      </c>
      <c r="CL118">
        <v>113</v>
      </c>
      <c r="CM118">
        <v>116</v>
      </c>
      <c r="CN118">
        <v>125</v>
      </c>
      <c r="CO118">
        <v>92</v>
      </c>
      <c r="CP118">
        <v>91</v>
      </c>
      <c r="CQ118">
        <v>96</v>
      </c>
      <c r="CR118">
        <v>48</v>
      </c>
      <c r="CS118">
        <v>40</v>
      </c>
      <c r="CT118">
        <v>59</v>
      </c>
      <c r="CU118">
        <v>52</v>
      </c>
      <c r="CV118">
        <v>71</v>
      </c>
      <c r="CW118">
        <v>42</v>
      </c>
      <c r="CX118">
        <v>42</v>
      </c>
      <c r="CY118">
        <v>41</v>
      </c>
      <c r="CZ118">
        <v>46</v>
      </c>
      <c r="DA118">
        <v>50</v>
      </c>
      <c r="DB118">
        <v>61</v>
      </c>
      <c r="DC118">
        <v>79</v>
      </c>
      <c r="DD118">
        <v>61</v>
      </c>
      <c r="DE118">
        <v>47</v>
      </c>
      <c r="DF118">
        <v>60</v>
      </c>
      <c r="DG118">
        <v>50</v>
      </c>
      <c r="DH118">
        <v>41</v>
      </c>
      <c r="DI118">
        <v>38</v>
      </c>
      <c r="DJ118">
        <v>46</v>
      </c>
      <c r="DK118">
        <v>42</v>
      </c>
      <c r="DL118">
        <v>37</v>
      </c>
      <c r="DM118">
        <v>34</v>
      </c>
      <c r="DN118">
        <v>58</v>
      </c>
      <c r="DO118">
        <v>60</v>
      </c>
      <c r="DP118">
        <v>43</v>
      </c>
      <c r="DQ118">
        <v>21</v>
      </c>
      <c r="DR118">
        <v>31</v>
      </c>
      <c r="DS118">
        <v>28</v>
      </c>
      <c r="DT118">
        <v>31</v>
      </c>
      <c r="DU118">
        <v>36</v>
      </c>
      <c r="DV118">
        <v>21</v>
      </c>
      <c r="DW118">
        <v>24</v>
      </c>
      <c r="DX118">
        <v>16</v>
      </c>
      <c r="DY118">
        <v>28</v>
      </c>
      <c r="DZ118">
        <v>19</v>
      </c>
      <c r="EA118">
        <v>20</v>
      </c>
      <c r="EB118">
        <v>22</v>
      </c>
      <c r="EC118">
        <v>20</v>
      </c>
      <c r="ED118">
        <v>23</v>
      </c>
      <c r="EE118">
        <v>21</v>
      </c>
      <c r="EF118">
        <v>19</v>
      </c>
      <c r="EG118">
        <v>20</v>
      </c>
      <c r="EH118">
        <v>25</v>
      </c>
      <c r="EI118">
        <v>23</v>
      </c>
      <c r="EJ118">
        <v>21</v>
      </c>
      <c r="EK118">
        <v>33</v>
      </c>
      <c r="EL118">
        <v>29</v>
      </c>
      <c r="EM118">
        <v>35</v>
      </c>
      <c r="EN118">
        <v>22</v>
      </c>
      <c r="EO118">
        <v>18</v>
      </c>
      <c r="EP118">
        <v>25</v>
      </c>
      <c r="EQ118">
        <v>23</v>
      </c>
      <c r="ER118">
        <v>21</v>
      </c>
      <c r="ES118">
        <v>23</v>
      </c>
      <c r="ET118">
        <v>17</v>
      </c>
      <c r="EU118">
        <v>28</v>
      </c>
      <c r="EV118">
        <v>21</v>
      </c>
      <c r="EW118">
        <v>25</v>
      </c>
      <c r="EX118">
        <v>19</v>
      </c>
      <c r="EY118">
        <v>24</v>
      </c>
      <c r="EZ118">
        <v>24</v>
      </c>
      <c r="FA118">
        <v>20</v>
      </c>
      <c r="FB118">
        <v>23</v>
      </c>
      <c r="FC118">
        <v>24</v>
      </c>
      <c r="FD118">
        <v>19</v>
      </c>
      <c r="FE118">
        <v>24</v>
      </c>
      <c r="FF118">
        <v>27</v>
      </c>
      <c r="FG118">
        <v>23</v>
      </c>
      <c r="FH118">
        <v>28</v>
      </c>
      <c r="FI118">
        <v>25</v>
      </c>
      <c r="FJ118">
        <v>35</v>
      </c>
      <c r="FK118">
        <v>31</v>
      </c>
      <c r="FL118">
        <v>31</v>
      </c>
      <c r="FM118" s="1">
        <v>34</v>
      </c>
      <c r="FN118" s="1">
        <v>34</v>
      </c>
      <c r="FO118" s="1">
        <v>38</v>
      </c>
      <c r="FP118" s="1">
        <v>44</v>
      </c>
      <c r="FQ118" s="1">
        <v>46</v>
      </c>
      <c r="FR118" s="1">
        <v>57</v>
      </c>
      <c r="FS118" s="1">
        <v>60</v>
      </c>
      <c r="FT118" s="1">
        <v>122</v>
      </c>
      <c r="FU118" s="1">
        <v>344</v>
      </c>
    </row>
    <row r="119" spans="1:177">
      <c r="J119">
        <v>17</v>
      </c>
      <c r="K119">
        <v>13</v>
      </c>
      <c r="L119">
        <v>8</v>
      </c>
      <c r="M119">
        <v>6</v>
      </c>
      <c r="N119">
        <v>8</v>
      </c>
      <c r="O119">
        <v>6</v>
      </c>
      <c r="P119">
        <v>15</v>
      </c>
      <c r="Q119">
        <v>11</v>
      </c>
      <c r="R119">
        <v>8</v>
      </c>
      <c r="S119">
        <v>6</v>
      </c>
      <c r="T119">
        <v>7</v>
      </c>
      <c r="U119">
        <v>8</v>
      </c>
      <c r="V119">
        <v>7</v>
      </c>
      <c r="W119">
        <v>4</v>
      </c>
      <c r="X119">
        <v>8</v>
      </c>
      <c r="Y119">
        <v>3</v>
      </c>
      <c r="Z119">
        <v>7</v>
      </c>
      <c r="AA119">
        <v>9</v>
      </c>
      <c r="AB119">
        <v>5</v>
      </c>
      <c r="AC119">
        <v>5</v>
      </c>
      <c r="AD119">
        <v>7</v>
      </c>
      <c r="AE119">
        <v>3</v>
      </c>
      <c r="AF119">
        <v>6</v>
      </c>
      <c r="AG119">
        <v>8</v>
      </c>
      <c r="AH119">
        <v>3</v>
      </c>
      <c r="AI119">
        <v>6</v>
      </c>
      <c r="AJ119">
        <v>6</v>
      </c>
      <c r="AK119">
        <v>11</v>
      </c>
      <c r="AL119">
        <v>6</v>
      </c>
      <c r="AM119">
        <v>6</v>
      </c>
      <c r="AN119">
        <v>6</v>
      </c>
      <c r="AO119">
        <v>7</v>
      </c>
      <c r="AP119">
        <v>5</v>
      </c>
      <c r="AQ119">
        <v>9</v>
      </c>
      <c r="AR119">
        <v>12</v>
      </c>
      <c r="AS119">
        <v>24</v>
      </c>
      <c r="AT119">
        <v>20</v>
      </c>
      <c r="AU119">
        <v>18</v>
      </c>
      <c r="AV119">
        <v>20</v>
      </c>
      <c r="AW119">
        <v>20</v>
      </c>
      <c r="AX119">
        <v>13</v>
      </c>
      <c r="AY119">
        <v>10</v>
      </c>
      <c r="AZ119">
        <v>8</v>
      </c>
      <c r="BA119">
        <v>11</v>
      </c>
      <c r="BB119">
        <v>9</v>
      </c>
      <c r="BC119">
        <v>10</v>
      </c>
      <c r="BD119">
        <v>5</v>
      </c>
      <c r="BE119">
        <v>10</v>
      </c>
      <c r="BF119">
        <v>6</v>
      </c>
      <c r="BG119">
        <v>8</v>
      </c>
      <c r="BH119">
        <v>13</v>
      </c>
      <c r="BI119">
        <v>13</v>
      </c>
      <c r="BJ119">
        <v>8</v>
      </c>
      <c r="BK119">
        <v>14</v>
      </c>
      <c r="BL119">
        <v>17</v>
      </c>
      <c r="BM119">
        <v>14</v>
      </c>
      <c r="BN119">
        <v>14</v>
      </c>
      <c r="BO119">
        <v>18</v>
      </c>
      <c r="BP119">
        <v>33</v>
      </c>
      <c r="BQ119">
        <v>31</v>
      </c>
      <c r="BR119">
        <v>23</v>
      </c>
      <c r="BS119">
        <v>19</v>
      </c>
      <c r="BT119">
        <v>20</v>
      </c>
      <c r="BU119">
        <v>10</v>
      </c>
      <c r="BV119">
        <v>12</v>
      </c>
      <c r="BW119">
        <v>12</v>
      </c>
      <c r="BX119">
        <v>12</v>
      </c>
      <c r="BY119">
        <v>10</v>
      </c>
      <c r="BZ119">
        <v>10</v>
      </c>
      <c r="CA119">
        <v>14</v>
      </c>
      <c r="CB119">
        <v>10</v>
      </c>
      <c r="CC119">
        <v>19</v>
      </c>
      <c r="CD119">
        <v>23</v>
      </c>
      <c r="CE119">
        <v>23</v>
      </c>
      <c r="CF119">
        <v>15</v>
      </c>
      <c r="CG119">
        <v>34</v>
      </c>
      <c r="CH119">
        <v>19</v>
      </c>
      <c r="CI119">
        <v>12</v>
      </c>
      <c r="CJ119">
        <v>15</v>
      </c>
      <c r="CK119">
        <v>13</v>
      </c>
      <c r="CL119">
        <v>13</v>
      </c>
      <c r="CM119">
        <v>16</v>
      </c>
      <c r="CN119">
        <v>8</v>
      </c>
      <c r="CO119">
        <v>24</v>
      </c>
      <c r="CP119">
        <v>19</v>
      </c>
      <c r="CQ119">
        <v>25</v>
      </c>
      <c r="CR119">
        <v>18</v>
      </c>
      <c r="CS119">
        <v>23</v>
      </c>
      <c r="CT119">
        <v>24</v>
      </c>
      <c r="CU119">
        <v>20</v>
      </c>
      <c r="CV119">
        <v>14</v>
      </c>
      <c r="CW119">
        <v>17</v>
      </c>
      <c r="CX119">
        <v>15</v>
      </c>
      <c r="CY119">
        <v>9</v>
      </c>
      <c r="CZ119">
        <v>10</v>
      </c>
      <c r="DA119">
        <v>10</v>
      </c>
      <c r="DB119">
        <v>10</v>
      </c>
      <c r="DC119">
        <v>22</v>
      </c>
      <c r="DD119">
        <v>9</v>
      </c>
      <c r="DE119">
        <v>23</v>
      </c>
      <c r="DF119">
        <v>16</v>
      </c>
      <c r="DG119">
        <v>17</v>
      </c>
      <c r="DH119">
        <v>14</v>
      </c>
      <c r="DI119">
        <v>14</v>
      </c>
      <c r="DJ119">
        <v>22</v>
      </c>
      <c r="DK119">
        <v>18</v>
      </c>
      <c r="DL119">
        <v>18</v>
      </c>
      <c r="DM119">
        <v>15</v>
      </c>
      <c r="DN119">
        <v>13</v>
      </c>
      <c r="DO119">
        <v>18</v>
      </c>
      <c r="DP119">
        <v>24</v>
      </c>
      <c r="DQ119">
        <v>19</v>
      </c>
      <c r="DR119">
        <v>16</v>
      </c>
      <c r="DS119">
        <v>18</v>
      </c>
      <c r="DT119">
        <v>20</v>
      </c>
      <c r="DU119">
        <v>21</v>
      </c>
      <c r="DV119">
        <v>17</v>
      </c>
      <c r="DW119">
        <v>20</v>
      </c>
      <c r="DX119">
        <v>12</v>
      </c>
      <c r="DY119">
        <v>17</v>
      </c>
      <c r="DZ119">
        <v>17</v>
      </c>
      <c r="EA119">
        <v>24</v>
      </c>
      <c r="EB119">
        <v>21</v>
      </c>
      <c r="EC119">
        <v>16</v>
      </c>
      <c r="ED119">
        <v>25</v>
      </c>
      <c r="EE119">
        <v>11</v>
      </c>
      <c r="EF119">
        <v>16</v>
      </c>
      <c r="EG119">
        <v>11</v>
      </c>
      <c r="EH119">
        <v>16</v>
      </c>
      <c r="EI119">
        <v>16</v>
      </c>
      <c r="EJ119">
        <v>17</v>
      </c>
      <c r="EK119">
        <v>15</v>
      </c>
      <c r="EL119">
        <v>15</v>
      </c>
      <c r="EM119">
        <v>13</v>
      </c>
      <c r="EN119">
        <v>15</v>
      </c>
      <c r="EO119">
        <v>17</v>
      </c>
      <c r="EP119">
        <v>14</v>
      </c>
      <c r="EQ119">
        <v>22</v>
      </c>
      <c r="ER119">
        <v>18</v>
      </c>
      <c r="ES119">
        <v>17</v>
      </c>
      <c r="ET119">
        <v>22</v>
      </c>
      <c r="EU119">
        <v>21</v>
      </c>
      <c r="EV119">
        <v>19</v>
      </c>
      <c r="EW119">
        <v>16</v>
      </c>
      <c r="EX119">
        <v>22</v>
      </c>
      <c r="EY119">
        <v>18</v>
      </c>
      <c r="EZ119">
        <v>16</v>
      </c>
      <c r="FA119">
        <v>15</v>
      </c>
      <c r="FB119">
        <v>16</v>
      </c>
      <c r="FC119">
        <v>23</v>
      </c>
      <c r="FD119">
        <v>18</v>
      </c>
      <c r="FE119">
        <v>28</v>
      </c>
      <c r="FF119">
        <v>23</v>
      </c>
      <c r="FG119">
        <v>30</v>
      </c>
      <c r="FH119">
        <v>22</v>
      </c>
      <c r="FI119">
        <v>34</v>
      </c>
      <c r="FJ119">
        <v>41</v>
      </c>
      <c r="FK119">
        <v>36</v>
      </c>
      <c r="FL119">
        <v>38</v>
      </c>
      <c r="FM119" s="1">
        <v>38</v>
      </c>
      <c r="FN119" s="1">
        <v>29</v>
      </c>
      <c r="FO119" s="1">
        <v>103</v>
      </c>
      <c r="FP119" s="1">
        <v>69</v>
      </c>
      <c r="FQ119" s="1">
        <v>35</v>
      </c>
      <c r="FR119" s="1">
        <v>38</v>
      </c>
      <c r="FS119" s="1">
        <v>23</v>
      </c>
      <c r="FT119" s="1">
        <v>47</v>
      </c>
      <c r="FU119" s="1">
        <v>701</v>
      </c>
    </row>
    <row r="120" spans="1:177">
      <c r="J120">
        <v>0.4</v>
      </c>
      <c r="K120">
        <v>5</v>
      </c>
      <c r="L120">
        <v>1400</v>
      </c>
      <c r="M120">
        <v>600</v>
      </c>
      <c r="N120">
        <v>90</v>
      </c>
      <c r="O120">
        <v>200</v>
      </c>
      <c r="P120">
        <v>100000</v>
      </c>
      <c r="Q120">
        <v>8.0137993099999996</v>
      </c>
      <c r="R120">
        <v>13.90230094</v>
      </c>
      <c r="S120">
        <v>9.3181127299999993</v>
      </c>
      <c r="T120">
        <v>7.1403083629999999</v>
      </c>
      <c r="U120">
        <v>13.19210384</v>
      </c>
      <c r="V120">
        <v>8.3697207290000009</v>
      </c>
      <c r="W120">
        <v>5.8813342300000002</v>
      </c>
      <c r="X120">
        <v>13.981803019999999</v>
      </c>
      <c r="Y120">
        <v>7.3658306199999997</v>
      </c>
      <c r="FM120" s="7"/>
      <c r="FN120" s="7"/>
      <c r="FO120" s="7"/>
      <c r="FP120" s="7"/>
      <c r="FQ120" s="7"/>
      <c r="FR120" s="7"/>
      <c r="FS120" s="7"/>
      <c r="FT120" s="7"/>
      <c r="FU120" s="7"/>
    </row>
    <row r="121" spans="1:177">
      <c r="J121">
        <v>19</v>
      </c>
      <c r="K121">
        <v>6</v>
      </c>
      <c r="L121">
        <v>9</v>
      </c>
      <c r="M121">
        <v>9</v>
      </c>
      <c r="N121">
        <v>33</v>
      </c>
      <c r="O121">
        <v>23</v>
      </c>
      <c r="P121">
        <v>24</v>
      </c>
      <c r="Q121">
        <v>26</v>
      </c>
      <c r="R121">
        <v>30</v>
      </c>
      <c r="S121">
        <v>34</v>
      </c>
      <c r="T121">
        <v>33</v>
      </c>
      <c r="U121">
        <v>39</v>
      </c>
      <c r="V121">
        <v>68</v>
      </c>
      <c r="W121">
        <v>64</v>
      </c>
      <c r="X121">
        <v>68</v>
      </c>
      <c r="Y121">
        <v>68</v>
      </c>
      <c r="Z121">
        <v>102</v>
      </c>
      <c r="AA121">
        <v>127</v>
      </c>
      <c r="AB121">
        <v>159</v>
      </c>
      <c r="AC121">
        <v>160</v>
      </c>
      <c r="AD121">
        <v>178</v>
      </c>
      <c r="AE121">
        <v>190</v>
      </c>
      <c r="AF121">
        <v>226</v>
      </c>
      <c r="AG121">
        <v>179</v>
      </c>
      <c r="AH121">
        <v>218</v>
      </c>
      <c r="AI121">
        <v>281</v>
      </c>
      <c r="AJ121">
        <v>141</v>
      </c>
      <c r="AK121">
        <v>114</v>
      </c>
      <c r="AL121">
        <v>95</v>
      </c>
      <c r="AM121">
        <v>66</v>
      </c>
      <c r="AN121">
        <v>80</v>
      </c>
      <c r="AO121">
        <v>96</v>
      </c>
      <c r="AP121">
        <v>70</v>
      </c>
      <c r="AQ121">
        <v>75</v>
      </c>
      <c r="AR121">
        <v>44</v>
      </c>
      <c r="AS121">
        <v>55</v>
      </c>
      <c r="AT121">
        <v>52</v>
      </c>
      <c r="AU121">
        <v>33</v>
      </c>
      <c r="AV121">
        <v>37</v>
      </c>
      <c r="AW121">
        <v>40</v>
      </c>
      <c r="AX121">
        <v>35</v>
      </c>
      <c r="AY121">
        <v>48</v>
      </c>
      <c r="AZ121">
        <v>38</v>
      </c>
      <c r="BA121">
        <v>37</v>
      </c>
      <c r="BB121">
        <v>33</v>
      </c>
      <c r="BC121">
        <v>33</v>
      </c>
      <c r="BD121">
        <v>30</v>
      </c>
      <c r="BE121">
        <v>34</v>
      </c>
      <c r="BF121">
        <v>39</v>
      </c>
      <c r="BG121">
        <v>37</v>
      </c>
      <c r="BH121">
        <v>46</v>
      </c>
      <c r="BI121">
        <v>42</v>
      </c>
      <c r="BJ121">
        <v>39</v>
      </c>
      <c r="BK121">
        <v>43</v>
      </c>
      <c r="BL121">
        <v>39</v>
      </c>
      <c r="BM121">
        <v>54</v>
      </c>
      <c r="BN121">
        <v>66</v>
      </c>
      <c r="BO121">
        <v>57</v>
      </c>
      <c r="BP121">
        <v>67</v>
      </c>
      <c r="BQ121">
        <v>81</v>
      </c>
      <c r="BR121">
        <v>95</v>
      </c>
      <c r="BS121">
        <v>94</v>
      </c>
      <c r="BT121">
        <v>116</v>
      </c>
      <c r="BU121">
        <v>60</v>
      </c>
      <c r="BV121">
        <v>52</v>
      </c>
      <c r="BW121">
        <v>56</v>
      </c>
      <c r="BX121">
        <v>128</v>
      </c>
      <c r="BY121">
        <v>225</v>
      </c>
      <c r="BZ121">
        <v>131</v>
      </c>
      <c r="CA121">
        <v>153</v>
      </c>
      <c r="CB121">
        <v>99</v>
      </c>
      <c r="CC121">
        <v>63</v>
      </c>
      <c r="CD121">
        <v>78</v>
      </c>
      <c r="CE121">
        <v>71</v>
      </c>
      <c r="CF121">
        <v>83</v>
      </c>
      <c r="CG121">
        <v>114</v>
      </c>
      <c r="CH121">
        <v>113</v>
      </c>
      <c r="CI121">
        <v>108</v>
      </c>
      <c r="CJ121">
        <v>99</v>
      </c>
      <c r="CK121">
        <v>81</v>
      </c>
      <c r="CL121">
        <v>83</v>
      </c>
      <c r="CM121">
        <v>83</v>
      </c>
      <c r="CN121">
        <v>78</v>
      </c>
      <c r="CO121">
        <v>81</v>
      </c>
      <c r="CP121">
        <v>76</v>
      </c>
      <c r="CQ121">
        <v>81</v>
      </c>
      <c r="CR121">
        <v>84</v>
      </c>
      <c r="CS121">
        <v>86</v>
      </c>
      <c r="CT121">
        <v>104</v>
      </c>
      <c r="CU121">
        <v>92</v>
      </c>
      <c r="CV121">
        <v>52</v>
      </c>
      <c r="CW121">
        <v>79</v>
      </c>
      <c r="CX121">
        <v>64</v>
      </c>
      <c r="CY121">
        <v>50</v>
      </c>
      <c r="CZ121">
        <v>54</v>
      </c>
      <c r="DA121">
        <v>70</v>
      </c>
      <c r="DB121">
        <v>76</v>
      </c>
      <c r="DC121">
        <v>65</v>
      </c>
      <c r="DD121">
        <v>29</v>
      </c>
      <c r="DE121">
        <v>50</v>
      </c>
      <c r="DF121">
        <v>62</v>
      </c>
      <c r="DG121">
        <v>49</v>
      </c>
      <c r="DH121">
        <v>27</v>
      </c>
      <c r="DI121">
        <v>28</v>
      </c>
      <c r="DJ121">
        <v>32</v>
      </c>
      <c r="DK121">
        <v>26</v>
      </c>
      <c r="DL121">
        <v>29</v>
      </c>
      <c r="DM121">
        <v>23</v>
      </c>
      <c r="DN121">
        <v>29</v>
      </c>
      <c r="DO121">
        <v>24</v>
      </c>
      <c r="DP121">
        <v>24</v>
      </c>
      <c r="DQ121">
        <v>25</v>
      </c>
      <c r="DR121">
        <v>27</v>
      </c>
      <c r="DS121">
        <v>33</v>
      </c>
      <c r="DT121">
        <v>41</v>
      </c>
      <c r="DU121">
        <v>24</v>
      </c>
      <c r="DV121">
        <v>30</v>
      </c>
      <c r="DW121">
        <v>19</v>
      </c>
      <c r="DX121">
        <v>23</v>
      </c>
      <c r="DY121">
        <v>26</v>
      </c>
      <c r="DZ121">
        <v>26</v>
      </c>
      <c r="EA121">
        <v>25</v>
      </c>
      <c r="EB121">
        <v>39</v>
      </c>
      <c r="EC121">
        <v>32</v>
      </c>
      <c r="ED121">
        <v>23</v>
      </c>
      <c r="EE121">
        <v>26</v>
      </c>
      <c r="EF121">
        <v>32</v>
      </c>
      <c r="EG121">
        <v>25</v>
      </c>
      <c r="EH121">
        <v>23</v>
      </c>
      <c r="EI121">
        <v>22</v>
      </c>
      <c r="EJ121">
        <v>28</v>
      </c>
      <c r="EK121">
        <v>23</v>
      </c>
      <c r="EL121">
        <v>24</v>
      </c>
      <c r="EM121">
        <v>28</v>
      </c>
      <c r="EN121">
        <v>21</v>
      </c>
      <c r="EO121">
        <v>23</v>
      </c>
      <c r="EP121">
        <v>15</v>
      </c>
      <c r="EQ121">
        <v>26</v>
      </c>
      <c r="ER121">
        <v>18</v>
      </c>
      <c r="ES121">
        <v>24</v>
      </c>
      <c r="ET121">
        <v>26</v>
      </c>
      <c r="EU121">
        <v>22</v>
      </c>
      <c r="EV121">
        <v>22</v>
      </c>
      <c r="EW121">
        <v>26</v>
      </c>
      <c r="EX121">
        <v>24</v>
      </c>
      <c r="EY121">
        <v>29</v>
      </c>
      <c r="EZ121">
        <v>30</v>
      </c>
      <c r="FA121">
        <v>38</v>
      </c>
      <c r="FB121">
        <v>35</v>
      </c>
      <c r="FC121">
        <v>25</v>
      </c>
      <c r="FD121">
        <v>27</v>
      </c>
      <c r="FE121">
        <v>25</v>
      </c>
      <c r="FF121">
        <v>33</v>
      </c>
      <c r="FG121">
        <v>36</v>
      </c>
      <c r="FH121">
        <v>31</v>
      </c>
      <c r="FI121">
        <v>34</v>
      </c>
      <c r="FJ121">
        <v>36</v>
      </c>
      <c r="FK121">
        <v>43</v>
      </c>
      <c r="FL121">
        <v>30</v>
      </c>
      <c r="FM121" s="1">
        <v>36</v>
      </c>
      <c r="FN121" s="1">
        <v>34</v>
      </c>
      <c r="FO121" s="1">
        <v>37</v>
      </c>
      <c r="FP121" s="1">
        <v>51</v>
      </c>
      <c r="FQ121" s="1">
        <v>42</v>
      </c>
      <c r="FR121" s="1">
        <v>59</v>
      </c>
      <c r="FS121" s="1">
        <v>71</v>
      </c>
      <c r="FT121" s="1">
        <v>153</v>
      </c>
      <c r="FU121" s="1">
        <v>240</v>
      </c>
    </row>
    <row r="122" spans="1:177"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8</v>
      </c>
      <c r="AH122">
        <v>3</v>
      </c>
      <c r="AI122">
        <v>4</v>
      </c>
      <c r="AJ122">
        <v>2</v>
      </c>
      <c r="AK122">
        <v>10</v>
      </c>
      <c r="AL122">
        <v>9</v>
      </c>
      <c r="AM122">
        <v>6</v>
      </c>
      <c r="AN122">
        <v>3</v>
      </c>
      <c r="AO122">
        <v>5</v>
      </c>
      <c r="AP122">
        <v>4</v>
      </c>
      <c r="AQ122">
        <v>5</v>
      </c>
      <c r="AR122">
        <v>5</v>
      </c>
      <c r="AS122">
        <v>4</v>
      </c>
      <c r="AT122">
        <v>3</v>
      </c>
      <c r="AU122">
        <v>7</v>
      </c>
      <c r="AV122">
        <v>6</v>
      </c>
      <c r="AW122">
        <v>3</v>
      </c>
      <c r="AX122">
        <v>4</v>
      </c>
      <c r="AY122">
        <v>5</v>
      </c>
      <c r="AZ122">
        <v>3</v>
      </c>
      <c r="BA122">
        <v>3</v>
      </c>
      <c r="BB122">
        <v>3</v>
      </c>
      <c r="BC122">
        <v>4</v>
      </c>
      <c r="BD122">
        <v>2</v>
      </c>
      <c r="BE122">
        <v>4</v>
      </c>
      <c r="BF122">
        <v>0</v>
      </c>
      <c r="BG122">
        <v>6</v>
      </c>
      <c r="BH122">
        <v>1</v>
      </c>
      <c r="BI122">
        <v>2</v>
      </c>
      <c r="BJ122">
        <v>5</v>
      </c>
      <c r="BK122">
        <v>1</v>
      </c>
      <c r="BL122">
        <v>3</v>
      </c>
      <c r="BM122">
        <v>1</v>
      </c>
      <c r="BN122">
        <v>4</v>
      </c>
      <c r="BO122">
        <v>2</v>
      </c>
      <c r="BP122">
        <v>2</v>
      </c>
      <c r="BQ122">
        <v>2</v>
      </c>
      <c r="BR122">
        <v>9</v>
      </c>
      <c r="BS122">
        <v>8</v>
      </c>
      <c r="BT122">
        <v>9</v>
      </c>
      <c r="BU122">
        <v>5</v>
      </c>
      <c r="BV122">
        <v>13</v>
      </c>
      <c r="BW122">
        <v>10</v>
      </c>
      <c r="BX122">
        <v>20</v>
      </c>
      <c r="BY122">
        <v>47</v>
      </c>
      <c r="BZ122">
        <v>13</v>
      </c>
      <c r="CA122">
        <v>16</v>
      </c>
      <c r="CB122">
        <v>8</v>
      </c>
      <c r="CC122">
        <v>11</v>
      </c>
      <c r="CD122">
        <v>9</v>
      </c>
      <c r="CE122">
        <v>10</v>
      </c>
      <c r="CF122">
        <v>15</v>
      </c>
      <c r="CG122">
        <v>14</v>
      </c>
      <c r="CH122">
        <v>8</v>
      </c>
      <c r="CI122">
        <v>10</v>
      </c>
      <c r="CJ122">
        <v>14</v>
      </c>
      <c r="CK122">
        <v>13</v>
      </c>
      <c r="CL122">
        <v>10</v>
      </c>
      <c r="CM122">
        <v>11</v>
      </c>
      <c r="CN122">
        <v>8</v>
      </c>
      <c r="CO122">
        <v>11</v>
      </c>
      <c r="CP122">
        <v>6</v>
      </c>
      <c r="CQ122">
        <v>10</v>
      </c>
      <c r="CR122">
        <v>10</v>
      </c>
      <c r="CS122">
        <v>8</v>
      </c>
      <c r="CT122">
        <v>6</v>
      </c>
      <c r="CU122">
        <v>13</v>
      </c>
      <c r="CV122">
        <v>6</v>
      </c>
      <c r="CW122">
        <v>9</v>
      </c>
      <c r="CX122">
        <v>9</v>
      </c>
      <c r="CY122">
        <v>9</v>
      </c>
      <c r="CZ122">
        <v>8</v>
      </c>
      <c r="DA122">
        <v>6</v>
      </c>
      <c r="DB122">
        <v>6</v>
      </c>
      <c r="DC122">
        <v>9</v>
      </c>
      <c r="DD122">
        <v>20</v>
      </c>
      <c r="DE122">
        <v>15</v>
      </c>
      <c r="DF122">
        <v>14</v>
      </c>
      <c r="DG122">
        <v>8</v>
      </c>
      <c r="DH122">
        <v>21</v>
      </c>
      <c r="DI122">
        <v>16</v>
      </c>
      <c r="DJ122">
        <v>16</v>
      </c>
      <c r="DK122">
        <v>18</v>
      </c>
      <c r="DL122">
        <v>19</v>
      </c>
      <c r="DM122">
        <v>15</v>
      </c>
      <c r="DN122">
        <v>12</v>
      </c>
      <c r="DO122">
        <v>14</v>
      </c>
      <c r="DP122">
        <v>15</v>
      </c>
      <c r="DQ122">
        <v>16</v>
      </c>
      <c r="DR122">
        <v>10</v>
      </c>
      <c r="DS122">
        <v>19</v>
      </c>
      <c r="DT122">
        <v>9</v>
      </c>
      <c r="DU122">
        <v>9</v>
      </c>
      <c r="DV122">
        <v>14</v>
      </c>
      <c r="DW122">
        <v>9</v>
      </c>
      <c r="DX122">
        <v>13</v>
      </c>
      <c r="DY122">
        <v>9</v>
      </c>
      <c r="DZ122">
        <v>14</v>
      </c>
      <c r="EA122">
        <v>10</v>
      </c>
      <c r="EB122">
        <v>15</v>
      </c>
      <c r="EC122">
        <v>9</v>
      </c>
      <c r="ED122">
        <v>13</v>
      </c>
      <c r="EE122">
        <v>14</v>
      </c>
      <c r="EF122">
        <v>11</v>
      </c>
      <c r="EG122">
        <v>12</v>
      </c>
      <c r="EH122">
        <v>8</v>
      </c>
      <c r="EI122">
        <v>8</v>
      </c>
      <c r="EJ122">
        <v>11</v>
      </c>
      <c r="EK122">
        <v>12</v>
      </c>
      <c r="EL122">
        <v>9</v>
      </c>
      <c r="EM122">
        <v>13</v>
      </c>
      <c r="EN122">
        <v>13</v>
      </c>
      <c r="EO122">
        <v>12</v>
      </c>
      <c r="EP122">
        <v>16</v>
      </c>
      <c r="EQ122">
        <v>30</v>
      </c>
      <c r="ER122">
        <v>12</v>
      </c>
      <c r="ES122">
        <v>13</v>
      </c>
      <c r="ET122">
        <v>9</v>
      </c>
      <c r="EU122">
        <v>14</v>
      </c>
      <c r="EV122">
        <v>9</v>
      </c>
      <c r="EW122">
        <v>17</v>
      </c>
      <c r="EX122">
        <v>13</v>
      </c>
      <c r="EY122">
        <v>10</v>
      </c>
      <c r="EZ122">
        <v>17</v>
      </c>
      <c r="FA122">
        <v>10</v>
      </c>
      <c r="FB122">
        <v>15</v>
      </c>
      <c r="FC122">
        <v>11</v>
      </c>
      <c r="FD122">
        <v>23</v>
      </c>
      <c r="FE122">
        <v>25</v>
      </c>
      <c r="FF122">
        <v>12</v>
      </c>
      <c r="FG122">
        <v>14</v>
      </c>
      <c r="FH122">
        <v>15</v>
      </c>
      <c r="FI122">
        <v>19</v>
      </c>
      <c r="FJ122">
        <v>27</v>
      </c>
      <c r="FK122">
        <v>20</v>
      </c>
      <c r="FL122">
        <v>20</v>
      </c>
      <c r="FM122" s="1">
        <v>19</v>
      </c>
      <c r="FN122" s="1">
        <v>22</v>
      </c>
      <c r="FO122" s="1">
        <v>27</v>
      </c>
      <c r="FP122" s="1">
        <v>26</v>
      </c>
      <c r="FQ122" s="1">
        <v>24</v>
      </c>
      <c r="FR122" s="1">
        <v>33</v>
      </c>
      <c r="FS122" s="1">
        <v>35</v>
      </c>
      <c r="FT122" s="1">
        <v>58</v>
      </c>
      <c r="FU122" s="1">
        <v>910</v>
      </c>
    </row>
    <row r="123" spans="1:177" s="7" customFormat="1">
      <c r="A123"/>
      <c r="B123"/>
      <c r="C123"/>
      <c r="D123"/>
      <c r="E123"/>
      <c r="F123"/>
      <c r="G123"/>
      <c r="H123"/>
      <c r="I123"/>
      <c r="J123">
        <v>0.4</v>
      </c>
      <c r="K123">
        <v>4</v>
      </c>
      <c r="L123">
        <v>1400</v>
      </c>
      <c r="M123">
        <v>600</v>
      </c>
      <c r="N123">
        <v>90</v>
      </c>
      <c r="O123">
        <v>200</v>
      </c>
      <c r="P123">
        <v>100000</v>
      </c>
      <c r="Q123">
        <v>8.2535805619999998</v>
      </c>
      <c r="R123">
        <v>10.415695660000001</v>
      </c>
      <c r="S123">
        <v>8.9444840249999995</v>
      </c>
      <c r="T123">
        <v>7.1070975919999997</v>
      </c>
      <c r="U123">
        <v>9.7474566199999995</v>
      </c>
      <c r="V123">
        <v>7.9349400750000001</v>
      </c>
      <c r="W123">
        <v>5.4309235459999998</v>
      </c>
      <c r="X123">
        <v>11.561364129999999</v>
      </c>
      <c r="Y123">
        <v>6.9460357930000001</v>
      </c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</row>
    <row r="124" spans="1:177" s="7" customFormat="1">
      <c r="A124"/>
      <c r="B124"/>
      <c r="C124"/>
      <c r="D124"/>
      <c r="E124"/>
      <c r="F124"/>
      <c r="G124"/>
      <c r="H124"/>
      <c r="I124"/>
      <c r="J124">
        <v>29</v>
      </c>
      <c r="K124">
        <v>18</v>
      </c>
      <c r="L124">
        <v>31</v>
      </c>
      <c r="M124">
        <v>37</v>
      </c>
      <c r="N124">
        <v>39</v>
      </c>
      <c r="O124">
        <v>39</v>
      </c>
      <c r="P124">
        <v>49</v>
      </c>
      <c r="Q124">
        <v>76</v>
      </c>
      <c r="R124">
        <v>65</v>
      </c>
      <c r="S124">
        <v>59</v>
      </c>
      <c r="T124">
        <v>61</v>
      </c>
      <c r="U124">
        <v>80</v>
      </c>
      <c r="V124">
        <v>113</v>
      </c>
      <c r="W124">
        <v>89</v>
      </c>
      <c r="X124">
        <v>85</v>
      </c>
      <c r="Y124">
        <v>95</v>
      </c>
      <c r="Z124">
        <v>116</v>
      </c>
      <c r="AA124">
        <v>156</v>
      </c>
      <c r="AB124">
        <v>173</v>
      </c>
      <c r="AC124">
        <v>146</v>
      </c>
      <c r="AD124">
        <v>170</v>
      </c>
      <c r="AE124">
        <v>111</v>
      </c>
      <c r="AF124">
        <v>150</v>
      </c>
      <c r="AG124">
        <v>100</v>
      </c>
      <c r="AH124">
        <v>87</v>
      </c>
      <c r="AI124">
        <v>110</v>
      </c>
      <c r="AJ124">
        <v>81</v>
      </c>
      <c r="AK124">
        <v>73</v>
      </c>
      <c r="AL124">
        <v>45</v>
      </c>
      <c r="AM124">
        <v>42</v>
      </c>
      <c r="AN124">
        <v>36</v>
      </c>
      <c r="AO124">
        <v>35</v>
      </c>
      <c r="AP124">
        <v>37</v>
      </c>
      <c r="AQ124">
        <v>40</v>
      </c>
      <c r="AR124">
        <v>59</v>
      </c>
      <c r="AS124">
        <v>46</v>
      </c>
      <c r="AT124">
        <v>40</v>
      </c>
      <c r="AU124">
        <v>47</v>
      </c>
      <c r="AV124">
        <v>46</v>
      </c>
      <c r="AW124">
        <v>29</v>
      </c>
      <c r="AX124">
        <v>44</v>
      </c>
      <c r="AY124">
        <v>30</v>
      </c>
      <c r="AZ124">
        <v>42</v>
      </c>
      <c r="BA124">
        <v>36</v>
      </c>
      <c r="BB124">
        <v>38</v>
      </c>
      <c r="BC124">
        <v>47</v>
      </c>
      <c r="BD124">
        <v>32</v>
      </c>
      <c r="BE124">
        <v>34</v>
      </c>
      <c r="BF124">
        <v>33</v>
      </c>
      <c r="BG124">
        <v>36</v>
      </c>
      <c r="BH124">
        <v>33</v>
      </c>
      <c r="BI124">
        <v>34</v>
      </c>
      <c r="BJ124">
        <v>29</v>
      </c>
      <c r="BK124">
        <v>39</v>
      </c>
      <c r="BL124">
        <v>39</v>
      </c>
      <c r="BM124">
        <v>31</v>
      </c>
      <c r="BN124">
        <v>39</v>
      </c>
      <c r="BO124">
        <v>44</v>
      </c>
      <c r="BP124">
        <v>46</v>
      </c>
      <c r="BQ124">
        <v>43</v>
      </c>
      <c r="BR124">
        <v>60</v>
      </c>
      <c r="BS124">
        <v>64</v>
      </c>
      <c r="BT124">
        <v>59</v>
      </c>
      <c r="BU124">
        <v>61</v>
      </c>
      <c r="BV124">
        <v>90</v>
      </c>
      <c r="BW124">
        <v>87</v>
      </c>
      <c r="BX124">
        <v>181</v>
      </c>
      <c r="BY124">
        <v>164</v>
      </c>
      <c r="BZ124">
        <v>110</v>
      </c>
      <c r="CA124">
        <v>114</v>
      </c>
      <c r="CB124">
        <v>78</v>
      </c>
      <c r="CC124">
        <v>81</v>
      </c>
      <c r="CD124">
        <v>72</v>
      </c>
      <c r="CE124">
        <v>74</v>
      </c>
      <c r="CF124">
        <v>88</v>
      </c>
      <c r="CG124">
        <v>87</v>
      </c>
      <c r="CH124">
        <v>65</v>
      </c>
      <c r="CI124">
        <v>94</v>
      </c>
      <c r="CJ124">
        <v>71</v>
      </c>
      <c r="CK124">
        <v>45</v>
      </c>
      <c r="CL124">
        <v>64</v>
      </c>
      <c r="CM124">
        <v>63</v>
      </c>
      <c r="CN124">
        <v>59</v>
      </c>
      <c r="CO124">
        <v>82</v>
      </c>
      <c r="CP124">
        <v>66</v>
      </c>
      <c r="CQ124">
        <v>66</v>
      </c>
      <c r="CR124">
        <v>84</v>
      </c>
      <c r="CS124">
        <v>68</v>
      </c>
      <c r="CT124">
        <v>58</v>
      </c>
      <c r="CU124">
        <v>53</v>
      </c>
      <c r="CV124">
        <v>78</v>
      </c>
      <c r="CW124">
        <v>71</v>
      </c>
      <c r="CX124">
        <v>84</v>
      </c>
      <c r="CY124">
        <v>116</v>
      </c>
      <c r="CZ124">
        <v>69</v>
      </c>
      <c r="DA124">
        <v>58</v>
      </c>
      <c r="DB124">
        <v>78</v>
      </c>
      <c r="DC124">
        <v>72</v>
      </c>
      <c r="DD124">
        <v>69</v>
      </c>
      <c r="DE124">
        <v>50</v>
      </c>
      <c r="DF124">
        <v>86</v>
      </c>
      <c r="DG124">
        <v>104</v>
      </c>
      <c r="DH124">
        <v>94</v>
      </c>
      <c r="DI124">
        <v>69</v>
      </c>
      <c r="DJ124">
        <v>59</v>
      </c>
      <c r="DK124">
        <v>66</v>
      </c>
      <c r="DL124">
        <v>55</v>
      </c>
      <c r="DM124">
        <v>49</v>
      </c>
      <c r="DN124">
        <v>40</v>
      </c>
      <c r="DO124">
        <v>35</v>
      </c>
      <c r="DP124">
        <v>72</v>
      </c>
      <c r="DQ124">
        <v>43</v>
      </c>
      <c r="DR124">
        <v>25</v>
      </c>
      <c r="DS124">
        <v>32</v>
      </c>
      <c r="DT124">
        <v>43</v>
      </c>
      <c r="DU124">
        <v>18</v>
      </c>
      <c r="DV124">
        <v>16</v>
      </c>
      <c r="DW124">
        <v>22</v>
      </c>
      <c r="DX124">
        <v>12</v>
      </c>
      <c r="DY124">
        <v>21</v>
      </c>
      <c r="DZ124">
        <v>18</v>
      </c>
      <c r="EA124">
        <v>18</v>
      </c>
      <c r="EB124">
        <v>22</v>
      </c>
      <c r="EC124">
        <v>28</v>
      </c>
      <c r="ED124">
        <v>30</v>
      </c>
      <c r="EE124">
        <v>31</v>
      </c>
      <c r="EF124">
        <v>30</v>
      </c>
      <c r="EG124">
        <v>21</v>
      </c>
      <c r="EH124">
        <v>22</v>
      </c>
      <c r="EI124">
        <v>18</v>
      </c>
      <c r="EJ124">
        <v>17</v>
      </c>
      <c r="EK124">
        <v>18</v>
      </c>
      <c r="EL124">
        <v>17</v>
      </c>
      <c r="EM124">
        <v>20</v>
      </c>
      <c r="EN124">
        <v>15</v>
      </c>
      <c r="EO124">
        <v>19</v>
      </c>
      <c r="EP124">
        <v>19</v>
      </c>
      <c r="EQ124">
        <v>17</v>
      </c>
      <c r="ER124">
        <v>19</v>
      </c>
      <c r="ES124">
        <v>13</v>
      </c>
      <c r="ET124">
        <v>17</v>
      </c>
      <c r="EU124">
        <v>17</v>
      </c>
      <c r="EV124">
        <v>18</v>
      </c>
      <c r="EW124">
        <v>14</v>
      </c>
      <c r="EX124">
        <v>19</v>
      </c>
      <c r="EY124">
        <v>18</v>
      </c>
      <c r="EZ124">
        <v>15</v>
      </c>
      <c r="FA124">
        <v>18</v>
      </c>
      <c r="FB124">
        <v>20</v>
      </c>
      <c r="FC124">
        <v>15</v>
      </c>
      <c r="FD124">
        <v>20</v>
      </c>
      <c r="FE124">
        <v>23</v>
      </c>
      <c r="FF124">
        <v>21</v>
      </c>
      <c r="FG124">
        <v>17</v>
      </c>
      <c r="FH124">
        <v>25</v>
      </c>
      <c r="FI124">
        <v>16</v>
      </c>
      <c r="FJ124">
        <v>28</v>
      </c>
      <c r="FK124">
        <v>29</v>
      </c>
      <c r="FL124">
        <v>21</v>
      </c>
      <c r="FM124" s="1">
        <v>31</v>
      </c>
      <c r="FN124" s="1">
        <v>30</v>
      </c>
      <c r="FO124" s="1">
        <v>32</v>
      </c>
      <c r="FP124" s="1">
        <v>41</v>
      </c>
      <c r="FQ124" s="1">
        <v>43</v>
      </c>
      <c r="FR124" s="1">
        <v>50</v>
      </c>
      <c r="FS124" s="1">
        <v>63</v>
      </c>
      <c r="FT124" s="1">
        <v>100</v>
      </c>
      <c r="FU124" s="1">
        <v>235</v>
      </c>
    </row>
    <row r="125" spans="1:177" s="7" customFormat="1">
      <c r="A125"/>
      <c r="B125"/>
      <c r="C125"/>
      <c r="D125"/>
      <c r="E125"/>
      <c r="F125"/>
      <c r="G125"/>
      <c r="H125"/>
      <c r="I125"/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6</v>
      </c>
      <c r="W125">
        <v>9</v>
      </c>
      <c r="X125">
        <v>7</v>
      </c>
      <c r="Y125">
        <v>6</v>
      </c>
      <c r="Z125">
        <v>7</v>
      </c>
      <c r="AA125">
        <v>4</v>
      </c>
      <c r="AB125">
        <v>3</v>
      </c>
      <c r="AC125">
        <v>4</v>
      </c>
      <c r="AD125">
        <v>17</v>
      </c>
      <c r="AE125">
        <v>11</v>
      </c>
      <c r="AF125">
        <v>20</v>
      </c>
      <c r="AG125">
        <v>21</v>
      </c>
      <c r="AH125">
        <v>13</v>
      </c>
      <c r="AI125">
        <v>16</v>
      </c>
      <c r="AJ125">
        <v>7</v>
      </c>
      <c r="AK125">
        <v>10</v>
      </c>
      <c r="AL125">
        <v>10</v>
      </c>
      <c r="AM125">
        <v>8</v>
      </c>
      <c r="AN125">
        <v>8</v>
      </c>
      <c r="AO125">
        <v>9</v>
      </c>
      <c r="AP125">
        <v>8</v>
      </c>
      <c r="AQ125">
        <v>7</v>
      </c>
      <c r="AR125">
        <v>7</v>
      </c>
      <c r="AS125">
        <v>13</v>
      </c>
      <c r="AT125">
        <v>29</v>
      </c>
      <c r="AU125">
        <v>26</v>
      </c>
      <c r="AV125">
        <v>27</v>
      </c>
      <c r="AW125">
        <v>36</v>
      </c>
      <c r="AX125">
        <v>41</v>
      </c>
      <c r="AY125">
        <v>43</v>
      </c>
      <c r="AZ125">
        <v>55</v>
      </c>
      <c r="BA125">
        <v>53</v>
      </c>
      <c r="BB125">
        <v>66</v>
      </c>
      <c r="BC125">
        <v>40</v>
      </c>
      <c r="BD125">
        <v>30</v>
      </c>
      <c r="BE125">
        <v>33</v>
      </c>
      <c r="BF125">
        <v>34</v>
      </c>
      <c r="BG125">
        <v>44</v>
      </c>
      <c r="BH125">
        <v>37</v>
      </c>
      <c r="BI125">
        <v>26</v>
      </c>
      <c r="BJ125">
        <v>24</v>
      </c>
      <c r="BK125">
        <v>23</v>
      </c>
      <c r="BL125">
        <v>30</v>
      </c>
      <c r="BM125">
        <v>36</v>
      </c>
      <c r="BN125">
        <v>41</v>
      </c>
      <c r="BO125">
        <v>21</v>
      </c>
      <c r="BP125">
        <v>19</v>
      </c>
      <c r="BQ125">
        <v>36</v>
      </c>
      <c r="BR125">
        <v>40</v>
      </c>
      <c r="BS125">
        <v>35</v>
      </c>
      <c r="BT125">
        <v>51</v>
      </c>
      <c r="BU125">
        <v>50</v>
      </c>
      <c r="BV125">
        <v>50</v>
      </c>
      <c r="BW125">
        <v>50</v>
      </c>
      <c r="BX125">
        <v>103</v>
      </c>
      <c r="BY125">
        <v>93</v>
      </c>
      <c r="BZ125">
        <v>75</v>
      </c>
      <c r="CA125">
        <v>32</v>
      </c>
      <c r="CB125">
        <v>39</v>
      </c>
      <c r="CC125">
        <v>29</v>
      </c>
      <c r="CD125">
        <v>26</v>
      </c>
      <c r="CE125">
        <v>26</v>
      </c>
      <c r="CF125">
        <v>26</v>
      </c>
      <c r="CG125">
        <v>24</v>
      </c>
      <c r="CH125">
        <v>19</v>
      </c>
      <c r="CI125">
        <v>22</v>
      </c>
      <c r="CJ125">
        <v>32</v>
      </c>
      <c r="CK125">
        <v>20</v>
      </c>
      <c r="CL125">
        <v>21</v>
      </c>
      <c r="CM125">
        <v>28</v>
      </c>
      <c r="CN125">
        <v>29</v>
      </c>
      <c r="CO125">
        <v>28</v>
      </c>
      <c r="CP125">
        <v>19</v>
      </c>
      <c r="CQ125">
        <v>30</v>
      </c>
      <c r="CR125">
        <v>41</v>
      </c>
      <c r="CS125">
        <v>23</v>
      </c>
      <c r="CT125">
        <v>18</v>
      </c>
      <c r="CU125">
        <v>17</v>
      </c>
      <c r="CV125">
        <v>26</v>
      </c>
      <c r="CW125">
        <v>15</v>
      </c>
      <c r="CX125">
        <v>17</v>
      </c>
      <c r="CY125">
        <v>13</v>
      </c>
      <c r="CZ125">
        <v>17</v>
      </c>
      <c r="DA125">
        <v>15</v>
      </c>
      <c r="DB125">
        <v>16</v>
      </c>
      <c r="DC125">
        <v>18</v>
      </c>
      <c r="DD125">
        <v>20</v>
      </c>
      <c r="DE125">
        <v>16</v>
      </c>
      <c r="DF125">
        <v>19</v>
      </c>
      <c r="DG125">
        <v>17</v>
      </c>
      <c r="DH125">
        <v>14</v>
      </c>
      <c r="DI125">
        <v>17</v>
      </c>
      <c r="DJ125">
        <v>14</v>
      </c>
      <c r="DK125">
        <v>12</v>
      </c>
      <c r="DL125">
        <v>18</v>
      </c>
      <c r="DM125">
        <v>26</v>
      </c>
      <c r="DN125">
        <v>14</v>
      </c>
      <c r="DO125">
        <v>17</v>
      </c>
      <c r="DP125">
        <v>13</v>
      </c>
      <c r="DQ125">
        <v>16</v>
      </c>
      <c r="DR125">
        <v>21</v>
      </c>
      <c r="DS125">
        <v>18</v>
      </c>
      <c r="DT125">
        <v>15</v>
      </c>
      <c r="DU125">
        <v>19</v>
      </c>
      <c r="DV125">
        <v>13</v>
      </c>
      <c r="DW125">
        <v>27</v>
      </c>
      <c r="DX125">
        <v>16</v>
      </c>
      <c r="DY125">
        <v>17</v>
      </c>
      <c r="DZ125">
        <v>20</v>
      </c>
      <c r="EA125">
        <v>27</v>
      </c>
      <c r="EB125">
        <v>18</v>
      </c>
      <c r="EC125">
        <v>13</v>
      </c>
      <c r="ED125">
        <v>20</v>
      </c>
      <c r="EE125">
        <v>26</v>
      </c>
      <c r="EF125">
        <v>13</v>
      </c>
      <c r="EG125">
        <v>15</v>
      </c>
      <c r="EH125">
        <v>16</v>
      </c>
      <c r="EI125">
        <v>15</v>
      </c>
      <c r="EJ125">
        <v>15</v>
      </c>
      <c r="EK125">
        <v>11</v>
      </c>
      <c r="EL125">
        <v>15</v>
      </c>
      <c r="EM125">
        <v>12</v>
      </c>
      <c r="EN125">
        <v>13</v>
      </c>
      <c r="EO125">
        <v>14</v>
      </c>
      <c r="EP125">
        <v>12</v>
      </c>
      <c r="EQ125">
        <v>28</v>
      </c>
      <c r="ER125">
        <v>16</v>
      </c>
      <c r="ES125">
        <v>18</v>
      </c>
      <c r="ET125">
        <v>14</v>
      </c>
      <c r="EU125">
        <v>14</v>
      </c>
      <c r="EV125">
        <v>16</v>
      </c>
      <c r="EW125">
        <v>14</v>
      </c>
      <c r="EX125">
        <v>17</v>
      </c>
      <c r="EY125">
        <v>20</v>
      </c>
      <c r="EZ125">
        <v>20</v>
      </c>
      <c r="FA125">
        <v>17</v>
      </c>
      <c r="FB125">
        <v>18</v>
      </c>
      <c r="FC125">
        <v>21</v>
      </c>
      <c r="FD125">
        <v>17</v>
      </c>
      <c r="FE125">
        <v>21</v>
      </c>
      <c r="FF125">
        <v>22</v>
      </c>
      <c r="FG125">
        <v>21</v>
      </c>
      <c r="FH125">
        <v>21</v>
      </c>
      <c r="FI125">
        <v>21</v>
      </c>
      <c r="FJ125">
        <v>19</v>
      </c>
      <c r="FK125">
        <v>22</v>
      </c>
      <c r="FL125">
        <v>20</v>
      </c>
      <c r="FM125" s="1">
        <v>36</v>
      </c>
      <c r="FN125" s="1">
        <v>38</v>
      </c>
      <c r="FO125" s="1">
        <v>47</v>
      </c>
      <c r="FP125" s="1">
        <v>60</v>
      </c>
      <c r="FQ125" s="1">
        <v>42</v>
      </c>
      <c r="FR125" s="1">
        <v>38</v>
      </c>
      <c r="FS125" s="1">
        <v>48</v>
      </c>
      <c r="FT125" s="1">
        <v>51</v>
      </c>
      <c r="FU125" s="1">
        <v>462</v>
      </c>
    </row>
    <row r="126" spans="1:177" s="7" customFormat="1">
      <c r="A126"/>
      <c r="B126"/>
      <c r="C126"/>
      <c r="D126"/>
      <c r="E126"/>
      <c r="F126"/>
      <c r="G126"/>
      <c r="H126"/>
      <c r="I126" t="s">
        <v>37</v>
      </c>
      <c r="J126">
        <f>J112+J115+J118+J121+J124</f>
        <v>308</v>
      </c>
      <c r="K126">
        <f t="shared" ref="K126:BV126" si="56">K112+K115+K118+K121+K124</f>
        <v>202</v>
      </c>
      <c r="L126">
        <f t="shared" si="56"/>
        <v>173</v>
      </c>
      <c r="M126">
        <f t="shared" si="56"/>
        <v>193</v>
      </c>
      <c r="N126">
        <f t="shared" si="56"/>
        <v>237</v>
      </c>
      <c r="O126">
        <f t="shared" si="56"/>
        <v>212</v>
      </c>
      <c r="P126">
        <f t="shared" si="56"/>
        <v>237</v>
      </c>
      <c r="Q126">
        <f t="shared" si="56"/>
        <v>229</v>
      </c>
      <c r="R126">
        <f t="shared" si="56"/>
        <v>259</v>
      </c>
      <c r="S126">
        <f t="shared" si="56"/>
        <v>263</v>
      </c>
      <c r="T126">
        <f t="shared" si="56"/>
        <v>260</v>
      </c>
      <c r="U126">
        <f t="shared" si="56"/>
        <v>276</v>
      </c>
      <c r="V126">
        <f t="shared" si="56"/>
        <v>402</v>
      </c>
      <c r="W126">
        <f t="shared" si="56"/>
        <v>337</v>
      </c>
      <c r="X126">
        <f t="shared" si="56"/>
        <v>353</v>
      </c>
      <c r="Y126">
        <f t="shared" si="56"/>
        <v>415</v>
      </c>
      <c r="Z126">
        <f t="shared" si="56"/>
        <v>497</v>
      </c>
      <c r="AA126">
        <f t="shared" si="56"/>
        <v>561</v>
      </c>
      <c r="AB126">
        <f t="shared" si="56"/>
        <v>626</v>
      </c>
      <c r="AC126">
        <f t="shared" si="56"/>
        <v>579</v>
      </c>
      <c r="AD126">
        <f t="shared" si="56"/>
        <v>586</v>
      </c>
      <c r="AE126">
        <f t="shared" si="56"/>
        <v>546</v>
      </c>
      <c r="AF126">
        <f t="shared" si="56"/>
        <v>598</v>
      </c>
      <c r="AG126">
        <f t="shared" si="56"/>
        <v>554</v>
      </c>
      <c r="AH126">
        <f t="shared" si="56"/>
        <v>550</v>
      </c>
      <c r="AI126">
        <f t="shared" si="56"/>
        <v>627</v>
      </c>
      <c r="AJ126">
        <f t="shared" si="56"/>
        <v>368</v>
      </c>
      <c r="AK126">
        <f t="shared" si="56"/>
        <v>339</v>
      </c>
      <c r="AL126">
        <f t="shared" si="56"/>
        <v>283</v>
      </c>
      <c r="AM126">
        <f t="shared" si="56"/>
        <v>268</v>
      </c>
      <c r="AN126">
        <f t="shared" si="56"/>
        <v>263</v>
      </c>
      <c r="AO126">
        <f t="shared" si="56"/>
        <v>256</v>
      </c>
      <c r="AP126">
        <f t="shared" si="56"/>
        <v>219</v>
      </c>
      <c r="AQ126">
        <f t="shared" si="56"/>
        <v>246</v>
      </c>
      <c r="AR126">
        <f t="shared" si="56"/>
        <v>220</v>
      </c>
      <c r="AS126">
        <f t="shared" si="56"/>
        <v>190</v>
      </c>
      <c r="AT126">
        <f t="shared" si="56"/>
        <v>180</v>
      </c>
      <c r="AU126">
        <f t="shared" si="56"/>
        <v>188</v>
      </c>
      <c r="AV126">
        <f t="shared" si="56"/>
        <v>186</v>
      </c>
      <c r="AW126">
        <f t="shared" si="56"/>
        <v>186</v>
      </c>
      <c r="AX126">
        <f t="shared" si="56"/>
        <v>183</v>
      </c>
      <c r="AY126">
        <f t="shared" si="56"/>
        <v>185</v>
      </c>
      <c r="AZ126">
        <f t="shared" si="56"/>
        <v>192</v>
      </c>
      <c r="BA126">
        <f t="shared" si="56"/>
        <v>167</v>
      </c>
      <c r="BB126">
        <f t="shared" si="56"/>
        <v>178</v>
      </c>
      <c r="BC126">
        <f t="shared" si="56"/>
        <v>184</v>
      </c>
      <c r="BD126">
        <f t="shared" si="56"/>
        <v>149</v>
      </c>
      <c r="BE126">
        <f t="shared" si="56"/>
        <v>164</v>
      </c>
      <c r="BF126">
        <f t="shared" si="56"/>
        <v>172</v>
      </c>
      <c r="BG126">
        <f t="shared" si="56"/>
        <v>172</v>
      </c>
      <c r="BH126">
        <f t="shared" si="56"/>
        <v>200</v>
      </c>
      <c r="BI126">
        <f t="shared" si="56"/>
        <v>175</v>
      </c>
      <c r="BJ126">
        <f t="shared" si="56"/>
        <v>248</v>
      </c>
      <c r="BK126">
        <f t="shared" si="56"/>
        <v>213</v>
      </c>
      <c r="BL126">
        <f t="shared" si="56"/>
        <v>212</v>
      </c>
      <c r="BM126">
        <f t="shared" si="56"/>
        <v>225</v>
      </c>
      <c r="BN126">
        <f t="shared" si="56"/>
        <v>236</v>
      </c>
      <c r="BO126">
        <f t="shared" si="56"/>
        <v>252</v>
      </c>
      <c r="BP126">
        <f t="shared" si="56"/>
        <v>287</v>
      </c>
      <c r="BQ126">
        <f t="shared" si="56"/>
        <v>312</v>
      </c>
      <c r="BR126">
        <f t="shared" si="56"/>
        <v>321</v>
      </c>
      <c r="BS126">
        <f t="shared" si="56"/>
        <v>330</v>
      </c>
      <c r="BT126">
        <f t="shared" si="56"/>
        <v>354</v>
      </c>
      <c r="BU126">
        <f t="shared" si="56"/>
        <v>293</v>
      </c>
      <c r="BV126">
        <f t="shared" si="56"/>
        <v>366</v>
      </c>
      <c r="BW126">
        <f t="shared" ref="BW126:EH126" si="57">BW112+BW115+BW118+BW121+BW124</f>
        <v>413</v>
      </c>
      <c r="BX126">
        <f t="shared" si="57"/>
        <v>809</v>
      </c>
      <c r="BY126">
        <f t="shared" si="57"/>
        <v>1141</v>
      </c>
      <c r="BZ126">
        <f t="shared" si="57"/>
        <v>575</v>
      </c>
      <c r="CA126">
        <f t="shared" si="57"/>
        <v>615</v>
      </c>
      <c r="CB126">
        <f t="shared" si="57"/>
        <v>497</v>
      </c>
      <c r="CC126">
        <f t="shared" si="57"/>
        <v>455</v>
      </c>
      <c r="CD126">
        <f t="shared" si="57"/>
        <v>495</v>
      </c>
      <c r="CE126">
        <f t="shared" si="57"/>
        <v>457</v>
      </c>
      <c r="CF126">
        <f t="shared" si="57"/>
        <v>531</v>
      </c>
      <c r="CG126">
        <f t="shared" si="57"/>
        <v>535</v>
      </c>
      <c r="CH126">
        <f t="shared" si="57"/>
        <v>479</v>
      </c>
      <c r="CI126">
        <f t="shared" si="57"/>
        <v>594</v>
      </c>
      <c r="CJ126">
        <f t="shared" si="57"/>
        <v>530</v>
      </c>
      <c r="CK126">
        <f t="shared" si="57"/>
        <v>462</v>
      </c>
      <c r="CL126">
        <f t="shared" si="57"/>
        <v>497</v>
      </c>
      <c r="CM126">
        <f t="shared" si="57"/>
        <v>521</v>
      </c>
      <c r="CN126">
        <f t="shared" si="57"/>
        <v>426</v>
      </c>
      <c r="CO126">
        <f t="shared" si="57"/>
        <v>458</v>
      </c>
      <c r="CP126">
        <f t="shared" si="57"/>
        <v>411</v>
      </c>
      <c r="CQ126">
        <f t="shared" si="57"/>
        <v>449</v>
      </c>
      <c r="CR126">
        <f t="shared" si="57"/>
        <v>390</v>
      </c>
      <c r="CS126">
        <f t="shared" si="57"/>
        <v>324</v>
      </c>
      <c r="CT126">
        <f t="shared" si="57"/>
        <v>388</v>
      </c>
      <c r="CU126">
        <f t="shared" si="57"/>
        <v>360</v>
      </c>
      <c r="CV126">
        <f t="shared" si="57"/>
        <v>390</v>
      </c>
      <c r="CW126">
        <f t="shared" si="57"/>
        <v>331</v>
      </c>
      <c r="CX126">
        <f t="shared" si="57"/>
        <v>329</v>
      </c>
      <c r="CY126">
        <f t="shared" si="57"/>
        <v>333</v>
      </c>
      <c r="CZ126">
        <f t="shared" si="57"/>
        <v>331</v>
      </c>
      <c r="DA126">
        <f t="shared" si="57"/>
        <v>340</v>
      </c>
      <c r="DB126">
        <f t="shared" si="57"/>
        <v>419</v>
      </c>
      <c r="DC126">
        <f t="shared" si="57"/>
        <v>377</v>
      </c>
      <c r="DD126">
        <f t="shared" si="57"/>
        <v>293</v>
      </c>
      <c r="DE126">
        <f t="shared" si="57"/>
        <v>251</v>
      </c>
      <c r="DF126">
        <f t="shared" si="57"/>
        <v>301</v>
      </c>
      <c r="DG126">
        <f t="shared" si="57"/>
        <v>291</v>
      </c>
      <c r="DH126">
        <f t="shared" si="57"/>
        <v>233</v>
      </c>
      <c r="DI126">
        <f t="shared" si="57"/>
        <v>232</v>
      </c>
      <c r="DJ126">
        <f t="shared" si="57"/>
        <v>212</v>
      </c>
      <c r="DK126">
        <f t="shared" si="57"/>
        <v>186</v>
      </c>
      <c r="DL126">
        <f t="shared" si="57"/>
        <v>186</v>
      </c>
      <c r="DM126">
        <f t="shared" si="57"/>
        <v>168</v>
      </c>
      <c r="DN126">
        <f t="shared" si="57"/>
        <v>211</v>
      </c>
      <c r="DO126">
        <f t="shared" si="57"/>
        <v>181</v>
      </c>
      <c r="DP126">
        <f t="shared" si="57"/>
        <v>196</v>
      </c>
      <c r="DQ126">
        <f t="shared" si="57"/>
        <v>153</v>
      </c>
      <c r="DR126">
        <f t="shared" si="57"/>
        <v>151</v>
      </c>
      <c r="DS126">
        <f t="shared" si="57"/>
        <v>140</v>
      </c>
      <c r="DT126">
        <f t="shared" si="57"/>
        <v>166</v>
      </c>
      <c r="DU126">
        <f t="shared" si="57"/>
        <v>114</v>
      </c>
      <c r="DV126">
        <f t="shared" si="57"/>
        <v>119</v>
      </c>
      <c r="DW126">
        <f t="shared" si="57"/>
        <v>112</v>
      </c>
      <c r="DX126">
        <f t="shared" si="57"/>
        <v>99</v>
      </c>
      <c r="DY126">
        <f t="shared" si="57"/>
        <v>128</v>
      </c>
      <c r="DZ126">
        <f t="shared" si="57"/>
        <v>106</v>
      </c>
      <c r="EA126">
        <f t="shared" si="57"/>
        <v>105</v>
      </c>
      <c r="EB126">
        <f t="shared" si="57"/>
        <v>127</v>
      </c>
      <c r="EC126">
        <f t="shared" si="57"/>
        <v>120</v>
      </c>
      <c r="ED126">
        <f t="shared" si="57"/>
        <v>120</v>
      </c>
      <c r="EE126">
        <f t="shared" si="57"/>
        <v>126</v>
      </c>
      <c r="EF126">
        <f t="shared" si="57"/>
        <v>123</v>
      </c>
      <c r="EG126">
        <f t="shared" si="57"/>
        <v>106</v>
      </c>
      <c r="EH126">
        <f t="shared" si="57"/>
        <v>115</v>
      </c>
      <c r="EI126">
        <f t="shared" ref="EI126:FL127" si="58">EI112+EI115+EI118+EI121+EI124</f>
        <v>103</v>
      </c>
      <c r="EJ126">
        <f t="shared" si="58"/>
        <v>101</v>
      </c>
      <c r="EK126">
        <f t="shared" si="58"/>
        <v>127</v>
      </c>
      <c r="EL126">
        <f t="shared" si="58"/>
        <v>111</v>
      </c>
      <c r="EM126">
        <f t="shared" si="58"/>
        <v>127</v>
      </c>
      <c r="EN126">
        <f t="shared" si="58"/>
        <v>100</v>
      </c>
      <c r="EO126">
        <f t="shared" si="58"/>
        <v>97</v>
      </c>
      <c r="EP126">
        <f t="shared" si="58"/>
        <v>95</v>
      </c>
      <c r="EQ126">
        <f t="shared" si="58"/>
        <v>103</v>
      </c>
      <c r="ER126">
        <f t="shared" si="58"/>
        <v>101</v>
      </c>
      <c r="ES126">
        <f t="shared" si="58"/>
        <v>97</v>
      </c>
      <c r="ET126">
        <f t="shared" si="58"/>
        <v>97</v>
      </c>
      <c r="EU126">
        <f t="shared" si="58"/>
        <v>106</v>
      </c>
      <c r="EV126">
        <f t="shared" si="58"/>
        <v>100</v>
      </c>
      <c r="EW126">
        <f t="shared" si="58"/>
        <v>109</v>
      </c>
      <c r="EX126">
        <f t="shared" si="58"/>
        <v>102</v>
      </c>
      <c r="EY126">
        <f t="shared" si="58"/>
        <v>109</v>
      </c>
      <c r="EZ126">
        <f t="shared" si="58"/>
        <v>111</v>
      </c>
      <c r="FA126">
        <f t="shared" si="58"/>
        <v>120</v>
      </c>
      <c r="FB126">
        <f t="shared" si="58"/>
        <v>127</v>
      </c>
      <c r="FC126">
        <f t="shared" si="58"/>
        <v>112</v>
      </c>
      <c r="FD126">
        <f t="shared" si="58"/>
        <v>109</v>
      </c>
      <c r="FE126">
        <f t="shared" si="58"/>
        <v>124</v>
      </c>
      <c r="FF126">
        <f t="shared" si="58"/>
        <v>132</v>
      </c>
      <c r="FG126">
        <f t="shared" si="58"/>
        <v>129</v>
      </c>
      <c r="FH126">
        <f t="shared" si="58"/>
        <v>133</v>
      </c>
      <c r="FI126">
        <f t="shared" si="58"/>
        <v>128</v>
      </c>
      <c r="FJ126">
        <f t="shared" si="58"/>
        <v>148</v>
      </c>
      <c r="FK126">
        <f t="shared" si="58"/>
        <v>158</v>
      </c>
      <c r="FL126">
        <f t="shared" si="58"/>
        <v>130</v>
      </c>
      <c r="FM126">
        <f t="shared" ref="FM126:FU126" si="59">FM112+FM115+FM118+FM121+FM124</f>
        <v>164</v>
      </c>
      <c r="FN126">
        <f t="shared" si="59"/>
        <v>168</v>
      </c>
      <c r="FO126">
        <f t="shared" si="59"/>
        <v>203</v>
      </c>
      <c r="FP126">
        <f t="shared" si="59"/>
        <v>239</v>
      </c>
      <c r="FQ126">
        <f t="shared" si="59"/>
        <v>225</v>
      </c>
      <c r="FR126">
        <f t="shared" si="59"/>
        <v>303</v>
      </c>
      <c r="FS126">
        <f t="shared" si="59"/>
        <v>350</v>
      </c>
      <c r="FT126">
        <f t="shared" si="59"/>
        <v>623</v>
      </c>
      <c r="FU126">
        <f t="shared" si="59"/>
        <v>1479</v>
      </c>
    </row>
    <row r="127" spans="1:177" s="7" customFormat="1">
      <c r="A127"/>
      <c r="B127"/>
      <c r="C127"/>
      <c r="D127"/>
      <c r="E127"/>
      <c r="F127"/>
      <c r="G127"/>
      <c r="H127"/>
      <c r="I127" t="s">
        <v>38</v>
      </c>
      <c r="J127">
        <f>J113+J116+J119+J122+J125</f>
        <v>17</v>
      </c>
      <c r="K127">
        <f t="shared" ref="K127:BV127" si="60">K113+K116+K119+K122+K125</f>
        <v>13</v>
      </c>
      <c r="L127">
        <f t="shared" si="60"/>
        <v>8</v>
      </c>
      <c r="M127">
        <f t="shared" si="60"/>
        <v>6</v>
      </c>
      <c r="N127">
        <f t="shared" si="60"/>
        <v>8</v>
      </c>
      <c r="O127">
        <f t="shared" si="60"/>
        <v>6</v>
      </c>
      <c r="P127">
        <f t="shared" si="60"/>
        <v>21</v>
      </c>
      <c r="Q127">
        <f t="shared" si="60"/>
        <v>16</v>
      </c>
      <c r="R127">
        <f t="shared" si="60"/>
        <v>12</v>
      </c>
      <c r="S127">
        <f t="shared" si="60"/>
        <v>12</v>
      </c>
      <c r="T127">
        <f t="shared" si="60"/>
        <v>15</v>
      </c>
      <c r="U127">
        <f t="shared" si="60"/>
        <v>22</v>
      </c>
      <c r="V127">
        <f t="shared" si="60"/>
        <v>24</v>
      </c>
      <c r="W127">
        <f t="shared" si="60"/>
        <v>32</v>
      </c>
      <c r="X127">
        <f t="shared" si="60"/>
        <v>34</v>
      </c>
      <c r="Y127">
        <f t="shared" si="60"/>
        <v>28</v>
      </c>
      <c r="Z127">
        <f t="shared" si="60"/>
        <v>31</v>
      </c>
      <c r="AA127">
        <f t="shared" si="60"/>
        <v>39</v>
      </c>
      <c r="AB127">
        <f t="shared" si="60"/>
        <v>27</v>
      </c>
      <c r="AC127">
        <f t="shared" si="60"/>
        <v>28</v>
      </c>
      <c r="AD127">
        <f t="shared" si="60"/>
        <v>46</v>
      </c>
      <c r="AE127">
        <f t="shared" si="60"/>
        <v>43</v>
      </c>
      <c r="AF127">
        <f t="shared" si="60"/>
        <v>50</v>
      </c>
      <c r="AG127">
        <f t="shared" si="60"/>
        <v>60</v>
      </c>
      <c r="AH127">
        <f t="shared" si="60"/>
        <v>36</v>
      </c>
      <c r="AI127">
        <f t="shared" si="60"/>
        <v>42</v>
      </c>
      <c r="AJ127">
        <f t="shared" si="60"/>
        <v>37</v>
      </c>
      <c r="AK127">
        <f t="shared" si="60"/>
        <v>49</v>
      </c>
      <c r="AL127">
        <f t="shared" si="60"/>
        <v>44</v>
      </c>
      <c r="AM127">
        <f t="shared" si="60"/>
        <v>34</v>
      </c>
      <c r="AN127">
        <f t="shared" si="60"/>
        <v>34</v>
      </c>
      <c r="AO127">
        <f t="shared" si="60"/>
        <v>37</v>
      </c>
      <c r="AP127">
        <f t="shared" si="60"/>
        <v>31</v>
      </c>
      <c r="AQ127">
        <f t="shared" si="60"/>
        <v>35</v>
      </c>
      <c r="AR127">
        <f t="shared" si="60"/>
        <v>90</v>
      </c>
      <c r="AS127">
        <f t="shared" si="60"/>
        <v>103</v>
      </c>
      <c r="AT127">
        <f t="shared" si="60"/>
        <v>130</v>
      </c>
      <c r="AU127">
        <f t="shared" si="60"/>
        <v>110</v>
      </c>
      <c r="AV127">
        <f t="shared" si="60"/>
        <v>99</v>
      </c>
      <c r="AW127">
        <f t="shared" si="60"/>
        <v>112</v>
      </c>
      <c r="AX127">
        <f t="shared" si="60"/>
        <v>89</v>
      </c>
      <c r="AY127">
        <f t="shared" si="60"/>
        <v>115</v>
      </c>
      <c r="AZ127">
        <f t="shared" si="60"/>
        <v>125</v>
      </c>
      <c r="BA127">
        <f t="shared" si="60"/>
        <v>113</v>
      </c>
      <c r="BB127">
        <f t="shared" si="60"/>
        <v>143</v>
      </c>
      <c r="BC127">
        <f t="shared" si="60"/>
        <v>111</v>
      </c>
      <c r="BD127">
        <f t="shared" si="60"/>
        <v>84</v>
      </c>
      <c r="BE127">
        <f t="shared" si="60"/>
        <v>95</v>
      </c>
      <c r="BF127">
        <f t="shared" si="60"/>
        <v>91</v>
      </c>
      <c r="BG127">
        <f t="shared" si="60"/>
        <v>115</v>
      </c>
      <c r="BH127">
        <f t="shared" si="60"/>
        <v>110</v>
      </c>
      <c r="BI127">
        <f t="shared" si="60"/>
        <v>90</v>
      </c>
      <c r="BJ127">
        <f t="shared" si="60"/>
        <v>85</v>
      </c>
      <c r="BK127">
        <f t="shared" si="60"/>
        <v>94</v>
      </c>
      <c r="BL127">
        <f t="shared" si="60"/>
        <v>121</v>
      </c>
      <c r="BM127">
        <f t="shared" si="60"/>
        <v>108</v>
      </c>
      <c r="BN127">
        <f t="shared" si="60"/>
        <v>122</v>
      </c>
      <c r="BO127">
        <f t="shared" si="60"/>
        <v>111</v>
      </c>
      <c r="BP127">
        <f t="shared" si="60"/>
        <v>104</v>
      </c>
      <c r="BQ127">
        <f t="shared" si="60"/>
        <v>135</v>
      </c>
      <c r="BR127">
        <f t="shared" si="60"/>
        <v>130</v>
      </c>
      <c r="BS127">
        <f t="shared" si="60"/>
        <v>112</v>
      </c>
      <c r="BT127">
        <f t="shared" si="60"/>
        <v>141</v>
      </c>
      <c r="BU127">
        <f t="shared" si="60"/>
        <v>121</v>
      </c>
      <c r="BV127">
        <f t="shared" si="60"/>
        <v>125</v>
      </c>
      <c r="BW127">
        <f t="shared" ref="BW127:EH127" si="61">BW113+BW116+BW119+BW122+BW125</f>
        <v>119</v>
      </c>
      <c r="BX127">
        <f t="shared" si="61"/>
        <v>181</v>
      </c>
      <c r="BY127">
        <f t="shared" si="61"/>
        <v>206</v>
      </c>
      <c r="BZ127">
        <f t="shared" si="61"/>
        <v>151</v>
      </c>
      <c r="CA127">
        <f t="shared" si="61"/>
        <v>102</v>
      </c>
      <c r="CB127">
        <f t="shared" si="61"/>
        <v>86</v>
      </c>
      <c r="CC127">
        <f t="shared" si="61"/>
        <v>102</v>
      </c>
      <c r="CD127">
        <f t="shared" si="61"/>
        <v>97</v>
      </c>
      <c r="CE127">
        <f t="shared" si="61"/>
        <v>105</v>
      </c>
      <c r="CF127">
        <f t="shared" si="61"/>
        <v>93</v>
      </c>
      <c r="CG127">
        <f t="shared" si="61"/>
        <v>121</v>
      </c>
      <c r="CH127">
        <f t="shared" si="61"/>
        <v>82</v>
      </c>
      <c r="CI127">
        <f t="shared" si="61"/>
        <v>90</v>
      </c>
      <c r="CJ127">
        <f t="shared" si="61"/>
        <v>109</v>
      </c>
      <c r="CK127">
        <f t="shared" si="61"/>
        <v>86</v>
      </c>
      <c r="CL127">
        <f t="shared" si="61"/>
        <v>89</v>
      </c>
      <c r="CM127">
        <f t="shared" si="61"/>
        <v>106</v>
      </c>
      <c r="CN127">
        <f t="shared" si="61"/>
        <v>103</v>
      </c>
      <c r="CO127">
        <f t="shared" si="61"/>
        <v>93</v>
      </c>
      <c r="CP127">
        <f t="shared" si="61"/>
        <v>86</v>
      </c>
      <c r="CQ127">
        <f t="shared" si="61"/>
        <v>94</v>
      </c>
      <c r="CR127">
        <f t="shared" si="61"/>
        <v>98</v>
      </c>
      <c r="CS127">
        <f t="shared" si="61"/>
        <v>81</v>
      </c>
      <c r="CT127">
        <f t="shared" si="61"/>
        <v>78</v>
      </c>
      <c r="CU127">
        <f t="shared" si="61"/>
        <v>76</v>
      </c>
      <c r="CV127">
        <f t="shared" si="61"/>
        <v>71</v>
      </c>
      <c r="CW127">
        <f t="shared" si="61"/>
        <v>66</v>
      </c>
      <c r="CX127">
        <f t="shared" si="61"/>
        <v>69</v>
      </c>
      <c r="CY127">
        <f t="shared" si="61"/>
        <v>60</v>
      </c>
      <c r="CZ127">
        <f t="shared" si="61"/>
        <v>63</v>
      </c>
      <c r="DA127">
        <f t="shared" si="61"/>
        <v>63</v>
      </c>
      <c r="DB127">
        <f t="shared" si="61"/>
        <v>62</v>
      </c>
      <c r="DC127">
        <f t="shared" si="61"/>
        <v>85</v>
      </c>
      <c r="DD127">
        <f t="shared" si="61"/>
        <v>73</v>
      </c>
      <c r="DE127">
        <f t="shared" si="61"/>
        <v>81</v>
      </c>
      <c r="DF127">
        <f t="shared" si="61"/>
        <v>70</v>
      </c>
      <c r="DG127">
        <f t="shared" si="61"/>
        <v>68</v>
      </c>
      <c r="DH127">
        <f t="shared" si="61"/>
        <v>70</v>
      </c>
      <c r="DI127">
        <f t="shared" si="61"/>
        <v>78</v>
      </c>
      <c r="DJ127">
        <f t="shared" si="61"/>
        <v>87</v>
      </c>
      <c r="DK127">
        <f t="shared" si="61"/>
        <v>84</v>
      </c>
      <c r="DL127">
        <f t="shared" si="61"/>
        <v>94</v>
      </c>
      <c r="DM127">
        <f t="shared" si="61"/>
        <v>87</v>
      </c>
      <c r="DN127">
        <f t="shared" si="61"/>
        <v>63</v>
      </c>
      <c r="DO127">
        <f t="shared" si="61"/>
        <v>77</v>
      </c>
      <c r="DP127">
        <f t="shared" si="61"/>
        <v>91</v>
      </c>
      <c r="DQ127">
        <f t="shared" si="61"/>
        <v>81</v>
      </c>
      <c r="DR127">
        <f t="shared" si="61"/>
        <v>80</v>
      </c>
      <c r="DS127">
        <f t="shared" si="61"/>
        <v>83</v>
      </c>
      <c r="DT127">
        <f t="shared" si="61"/>
        <v>74</v>
      </c>
      <c r="DU127">
        <f t="shared" si="61"/>
        <v>79</v>
      </c>
      <c r="DV127">
        <f t="shared" si="61"/>
        <v>79</v>
      </c>
      <c r="DW127">
        <f t="shared" si="61"/>
        <v>86</v>
      </c>
      <c r="DX127">
        <f t="shared" si="61"/>
        <v>91</v>
      </c>
      <c r="DY127">
        <f t="shared" si="61"/>
        <v>73</v>
      </c>
      <c r="DZ127">
        <f t="shared" si="61"/>
        <v>96</v>
      </c>
      <c r="EA127">
        <f t="shared" si="61"/>
        <v>88</v>
      </c>
      <c r="EB127">
        <f t="shared" si="61"/>
        <v>87</v>
      </c>
      <c r="EC127">
        <f t="shared" si="61"/>
        <v>66</v>
      </c>
      <c r="ED127">
        <f t="shared" si="61"/>
        <v>98</v>
      </c>
      <c r="EE127">
        <f t="shared" si="61"/>
        <v>89</v>
      </c>
      <c r="EF127">
        <f t="shared" si="61"/>
        <v>68</v>
      </c>
      <c r="EG127">
        <f t="shared" si="61"/>
        <v>67</v>
      </c>
      <c r="EH127">
        <f t="shared" si="61"/>
        <v>77</v>
      </c>
      <c r="EI127">
        <f t="shared" ref="EI127:FK127" si="62">EI113+EI116+EI119+EI122+EI125</f>
        <v>61</v>
      </c>
      <c r="EJ127">
        <f t="shared" si="62"/>
        <v>73</v>
      </c>
      <c r="EK127">
        <f t="shared" si="62"/>
        <v>79</v>
      </c>
      <c r="EL127">
        <f t="shared" si="62"/>
        <v>70</v>
      </c>
      <c r="EM127">
        <f t="shared" si="62"/>
        <v>65</v>
      </c>
      <c r="EN127">
        <f t="shared" si="62"/>
        <v>76</v>
      </c>
      <c r="EO127">
        <f t="shared" si="62"/>
        <v>75</v>
      </c>
      <c r="EP127">
        <f t="shared" si="62"/>
        <v>75</v>
      </c>
      <c r="EQ127">
        <f t="shared" si="62"/>
        <v>110</v>
      </c>
      <c r="ER127">
        <f t="shared" si="62"/>
        <v>77</v>
      </c>
      <c r="ES127">
        <f t="shared" si="62"/>
        <v>77</v>
      </c>
      <c r="ET127">
        <f t="shared" si="62"/>
        <v>87</v>
      </c>
      <c r="EU127">
        <f t="shared" si="62"/>
        <v>92</v>
      </c>
      <c r="EV127">
        <f t="shared" si="62"/>
        <v>77</v>
      </c>
      <c r="EW127">
        <f t="shared" si="62"/>
        <v>78</v>
      </c>
      <c r="EX127">
        <f t="shared" si="62"/>
        <v>82</v>
      </c>
      <c r="EY127">
        <f t="shared" si="62"/>
        <v>86</v>
      </c>
      <c r="EZ127">
        <f t="shared" si="62"/>
        <v>84</v>
      </c>
      <c r="FA127">
        <f t="shared" si="62"/>
        <v>99</v>
      </c>
      <c r="FB127">
        <f t="shared" si="62"/>
        <v>98</v>
      </c>
      <c r="FC127">
        <f t="shared" si="62"/>
        <v>95</v>
      </c>
      <c r="FD127">
        <f t="shared" si="62"/>
        <v>94</v>
      </c>
      <c r="FE127">
        <f t="shared" si="62"/>
        <v>121</v>
      </c>
      <c r="FF127">
        <f t="shared" si="62"/>
        <v>102</v>
      </c>
      <c r="FG127">
        <f t="shared" si="62"/>
        <v>115</v>
      </c>
      <c r="FH127">
        <f t="shared" si="62"/>
        <v>98</v>
      </c>
      <c r="FI127">
        <f t="shared" si="62"/>
        <v>115</v>
      </c>
      <c r="FJ127">
        <f t="shared" si="62"/>
        <v>138</v>
      </c>
      <c r="FK127">
        <f t="shared" si="62"/>
        <v>111</v>
      </c>
      <c r="FL127">
        <f t="shared" si="58"/>
        <v>146</v>
      </c>
      <c r="FM127">
        <f t="shared" ref="FM127:FU127" si="63">FM113+FM116+FM119+FM122+FM125</f>
        <v>152</v>
      </c>
      <c r="FN127">
        <f t="shared" si="63"/>
        <v>158</v>
      </c>
      <c r="FO127">
        <f t="shared" si="63"/>
        <v>260</v>
      </c>
      <c r="FP127">
        <f t="shared" si="63"/>
        <v>265</v>
      </c>
      <c r="FQ127">
        <f t="shared" si="63"/>
        <v>169</v>
      </c>
      <c r="FR127">
        <f t="shared" si="63"/>
        <v>194</v>
      </c>
      <c r="FS127">
        <f t="shared" si="63"/>
        <v>173</v>
      </c>
      <c r="FT127">
        <f t="shared" si="63"/>
        <v>281</v>
      </c>
      <c r="FU127">
        <f t="shared" si="63"/>
        <v>2872</v>
      </c>
    </row>
    <row r="128" spans="1:177" s="7" customForma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</row>
    <row r="129" spans="1:177" s="7" customFormat="1">
      <c r="H129" s="7" t="s">
        <v>39</v>
      </c>
      <c r="J129" s="1">
        <v>0.4</v>
      </c>
      <c r="K129" s="1">
        <v>6</v>
      </c>
      <c r="L129" s="1">
        <v>1400</v>
      </c>
      <c r="M129" s="1">
        <v>600</v>
      </c>
      <c r="N129" s="1">
        <v>90</v>
      </c>
      <c r="O129" s="1">
        <v>200</v>
      </c>
      <c r="P129" s="1">
        <v>100000</v>
      </c>
      <c r="Q129" s="1">
        <v>8.5887619760685503</v>
      </c>
      <c r="R129" s="1">
        <v>16.653686249193001</v>
      </c>
      <c r="S129" s="1">
        <v>10.4058627322969</v>
      </c>
      <c r="T129" s="1">
        <v>7.6664899752747999</v>
      </c>
      <c r="U129" s="1">
        <v>16.650717283479501</v>
      </c>
      <c r="V129" s="1">
        <v>9.7375242562602509</v>
      </c>
      <c r="W129" s="1">
        <v>5.1551919750500597</v>
      </c>
      <c r="X129" s="1">
        <v>16.633977191731901</v>
      </c>
      <c r="Y129" s="1">
        <v>7.5664415122569304</v>
      </c>
    </row>
    <row r="130" spans="1:177" s="7" customFormat="1">
      <c r="J130" s="1">
        <v>1035</v>
      </c>
      <c r="K130" s="1">
        <v>646</v>
      </c>
      <c r="L130" s="1">
        <v>58</v>
      </c>
      <c r="M130" s="1">
        <v>60</v>
      </c>
      <c r="N130" s="1">
        <v>60</v>
      </c>
      <c r="O130" s="1">
        <v>70</v>
      </c>
      <c r="P130" s="1">
        <v>61</v>
      </c>
      <c r="Q130" s="1">
        <v>47</v>
      </c>
      <c r="R130" s="1">
        <v>72</v>
      </c>
      <c r="S130" s="1">
        <v>52</v>
      </c>
      <c r="T130" s="1">
        <v>54</v>
      </c>
      <c r="U130" s="1">
        <v>86</v>
      </c>
      <c r="V130" s="1">
        <v>77</v>
      </c>
      <c r="W130" s="1">
        <v>25</v>
      </c>
      <c r="X130" s="1">
        <v>21</v>
      </c>
      <c r="Y130" s="1">
        <v>14</v>
      </c>
      <c r="Z130" s="1">
        <v>21</v>
      </c>
      <c r="AA130" s="1">
        <v>20</v>
      </c>
      <c r="AB130" s="1">
        <v>30</v>
      </c>
      <c r="AC130" s="1">
        <v>24</v>
      </c>
      <c r="AD130" s="1">
        <v>22</v>
      </c>
      <c r="AE130" s="1">
        <v>16</v>
      </c>
      <c r="AF130" s="1">
        <v>17</v>
      </c>
      <c r="AG130" s="1">
        <v>15</v>
      </c>
      <c r="AH130" s="1">
        <v>11</v>
      </c>
      <c r="AI130" s="1">
        <v>15</v>
      </c>
      <c r="AJ130" s="1">
        <v>11</v>
      </c>
      <c r="AK130" s="1">
        <v>15</v>
      </c>
      <c r="AL130" s="1">
        <v>13</v>
      </c>
      <c r="AM130" s="1">
        <v>12</v>
      </c>
      <c r="AN130" s="1">
        <v>17</v>
      </c>
      <c r="AO130" s="1">
        <v>11</v>
      </c>
      <c r="AP130" s="1">
        <v>17</v>
      </c>
      <c r="AQ130" s="1">
        <v>16</v>
      </c>
      <c r="AR130" s="1">
        <v>15</v>
      </c>
      <c r="AS130" s="1">
        <v>14</v>
      </c>
      <c r="AT130" s="1">
        <v>12</v>
      </c>
      <c r="AU130" s="1">
        <v>15</v>
      </c>
      <c r="AV130" s="1">
        <v>11</v>
      </c>
      <c r="AW130" s="1">
        <v>15</v>
      </c>
      <c r="AX130" s="1">
        <v>13</v>
      </c>
      <c r="AY130" s="1">
        <v>14</v>
      </c>
      <c r="AZ130" s="1">
        <v>12</v>
      </c>
      <c r="BA130" s="1">
        <v>12</v>
      </c>
      <c r="BB130" s="1">
        <v>15</v>
      </c>
      <c r="BC130" s="1">
        <v>14</v>
      </c>
      <c r="BD130" s="1">
        <v>12</v>
      </c>
      <c r="BE130" s="1">
        <v>13</v>
      </c>
      <c r="BF130" s="1">
        <v>15</v>
      </c>
      <c r="BG130" s="1">
        <v>12</v>
      </c>
      <c r="BH130" s="1">
        <v>16</v>
      </c>
      <c r="BI130" s="1">
        <v>16</v>
      </c>
      <c r="BJ130" s="1">
        <v>15</v>
      </c>
      <c r="BK130" s="1">
        <v>15</v>
      </c>
      <c r="BL130" s="1">
        <v>21</v>
      </c>
      <c r="BM130" s="1">
        <v>18</v>
      </c>
      <c r="BN130" s="1">
        <v>30</v>
      </c>
      <c r="BO130" s="1">
        <v>23</v>
      </c>
      <c r="BP130" s="1">
        <v>24</v>
      </c>
      <c r="BQ130" s="1">
        <v>49</v>
      </c>
      <c r="BR130" s="1">
        <v>39</v>
      </c>
      <c r="BS130" s="1">
        <v>41</v>
      </c>
      <c r="BT130" s="1">
        <v>57</v>
      </c>
      <c r="BU130" s="1">
        <v>35</v>
      </c>
      <c r="BV130" s="1">
        <v>56</v>
      </c>
      <c r="BW130" s="1">
        <v>38</v>
      </c>
      <c r="BX130" s="1">
        <v>68</v>
      </c>
      <c r="BY130" s="1">
        <v>69</v>
      </c>
      <c r="BZ130" s="1">
        <v>41</v>
      </c>
      <c r="CA130" s="1">
        <v>39</v>
      </c>
      <c r="CB130" s="1">
        <v>33</v>
      </c>
      <c r="CC130" s="1">
        <v>37</v>
      </c>
      <c r="CD130" s="1">
        <v>49</v>
      </c>
      <c r="CE130" s="1">
        <v>44</v>
      </c>
      <c r="CF130" s="1">
        <v>68</v>
      </c>
      <c r="CG130" s="1">
        <v>89</v>
      </c>
      <c r="CH130" s="1">
        <v>61</v>
      </c>
      <c r="CI130" s="1">
        <v>107</v>
      </c>
      <c r="CJ130" s="1">
        <v>89</v>
      </c>
      <c r="CK130" s="1">
        <v>46</v>
      </c>
      <c r="CL130" s="1">
        <v>69</v>
      </c>
      <c r="CM130" s="1">
        <v>85</v>
      </c>
      <c r="CN130" s="1">
        <v>58</v>
      </c>
      <c r="CO130" s="1">
        <v>71</v>
      </c>
      <c r="CP130" s="1">
        <v>60</v>
      </c>
      <c r="CQ130" s="1">
        <v>74</v>
      </c>
      <c r="CR130" s="1">
        <v>55</v>
      </c>
      <c r="CS130" s="1">
        <v>74</v>
      </c>
      <c r="CT130" s="1">
        <v>107</v>
      </c>
      <c r="CU130" s="1">
        <v>91</v>
      </c>
      <c r="CV130" s="1">
        <v>89</v>
      </c>
      <c r="CW130" s="1">
        <v>121</v>
      </c>
      <c r="CX130" s="1">
        <v>101</v>
      </c>
      <c r="CY130" s="1">
        <v>108</v>
      </c>
      <c r="CZ130" s="1">
        <v>66</v>
      </c>
      <c r="DA130" s="1">
        <v>47</v>
      </c>
      <c r="DB130" s="1">
        <v>60</v>
      </c>
      <c r="DC130" s="1">
        <v>52</v>
      </c>
      <c r="DD130" s="1">
        <v>56</v>
      </c>
      <c r="DE130" s="1">
        <v>49</v>
      </c>
      <c r="DF130" s="1">
        <v>49</v>
      </c>
      <c r="DG130" s="1">
        <v>42</v>
      </c>
      <c r="DH130" s="1">
        <v>41</v>
      </c>
      <c r="DI130" s="1">
        <v>69</v>
      </c>
      <c r="DJ130" s="1">
        <v>49</v>
      </c>
      <c r="DK130" s="1">
        <v>31</v>
      </c>
      <c r="DL130" s="1">
        <v>28</v>
      </c>
      <c r="DM130" s="1">
        <v>32</v>
      </c>
      <c r="DN130" s="1">
        <v>38</v>
      </c>
      <c r="DO130" s="1">
        <v>34</v>
      </c>
      <c r="DP130" s="1">
        <v>23</v>
      </c>
      <c r="DQ130" s="1">
        <v>29</v>
      </c>
      <c r="DR130" s="1">
        <v>32</v>
      </c>
      <c r="DS130" s="1">
        <v>22</v>
      </c>
      <c r="DT130" s="1">
        <v>32</v>
      </c>
      <c r="DU130" s="1">
        <v>19</v>
      </c>
      <c r="DV130" s="1">
        <v>37</v>
      </c>
      <c r="DW130" s="1">
        <v>26</v>
      </c>
      <c r="DX130" s="1">
        <v>23</v>
      </c>
      <c r="DY130" s="1">
        <v>33</v>
      </c>
      <c r="DZ130" s="1">
        <v>36</v>
      </c>
      <c r="EA130" s="1">
        <v>28</v>
      </c>
      <c r="EB130" s="1">
        <v>28</v>
      </c>
      <c r="EC130" s="1">
        <v>31</v>
      </c>
      <c r="ED130" s="1">
        <v>21</v>
      </c>
      <c r="EE130" s="1">
        <v>28</v>
      </c>
      <c r="EF130" s="1">
        <v>29</v>
      </c>
      <c r="EG130" s="1">
        <v>27</v>
      </c>
      <c r="EH130" s="1">
        <v>38</v>
      </c>
      <c r="EI130" s="1">
        <v>17</v>
      </c>
      <c r="EJ130" s="1">
        <v>28</v>
      </c>
      <c r="EK130" s="1">
        <v>19</v>
      </c>
      <c r="EL130" s="1">
        <v>21</v>
      </c>
      <c r="EM130" s="1">
        <v>23</v>
      </c>
      <c r="EN130" s="1">
        <v>23</v>
      </c>
      <c r="EO130" s="1">
        <v>20</v>
      </c>
      <c r="EP130" s="1">
        <v>22</v>
      </c>
      <c r="EQ130" s="1">
        <v>27</v>
      </c>
      <c r="ER130" s="1">
        <v>23</v>
      </c>
      <c r="ES130" s="1">
        <v>29</v>
      </c>
      <c r="ET130" s="1">
        <v>24</v>
      </c>
      <c r="EU130" s="1">
        <v>29</v>
      </c>
      <c r="EV130" s="1">
        <v>29</v>
      </c>
      <c r="EW130" s="1">
        <v>27</v>
      </c>
      <c r="EX130" s="1">
        <v>30</v>
      </c>
      <c r="EY130" s="1">
        <v>23</v>
      </c>
      <c r="EZ130" s="1">
        <v>30</v>
      </c>
      <c r="FA130" s="1">
        <v>21</v>
      </c>
      <c r="FB130" s="1">
        <v>27</v>
      </c>
      <c r="FC130" s="1">
        <v>22</v>
      </c>
      <c r="FD130" s="1">
        <v>27</v>
      </c>
      <c r="FE130" s="1">
        <v>24</v>
      </c>
      <c r="FF130" s="1">
        <v>27</v>
      </c>
      <c r="FG130" s="1">
        <v>24</v>
      </c>
      <c r="FH130" s="1">
        <v>25</v>
      </c>
      <c r="FI130" s="1">
        <v>32</v>
      </c>
      <c r="FJ130" s="1">
        <v>33</v>
      </c>
      <c r="FK130" s="1">
        <v>43</v>
      </c>
      <c r="FL130" s="1">
        <v>36</v>
      </c>
      <c r="FM130" s="1">
        <v>32</v>
      </c>
      <c r="FN130" s="1">
        <v>22</v>
      </c>
      <c r="FO130" s="1">
        <v>35</v>
      </c>
      <c r="FP130" s="1">
        <v>41</v>
      </c>
      <c r="FQ130" s="1">
        <v>43</v>
      </c>
      <c r="FR130" s="1">
        <v>40</v>
      </c>
      <c r="FS130" s="1">
        <v>57</v>
      </c>
      <c r="FT130" s="1">
        <v>83</v>
      </c>
      <c r="FU130" s="1">
        <v>138</v>
      </c>
    </row>
    <row r="131" spans="1:177" s="7" customFormat="1"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6</v>
      </c>
      <c r="FE131" s="1">
        <v>4</v>
      </c>
      <c r="FF131" s="1">
        <v>3</v>
      </c>
      <c r="FG131" s="1">
        <v>3</v>
      </c>
      <c r="FH131" s="1">
        <v>2</v>
      </c>
      <c r="FI131" s="1">
        <v>3</v>
      </c>
      <c r="FJ131" s="1">
        <v>1</v>
      </c>
      <c r="FK131" s="1">
        <v>4</v>
      </c>
      <c r="FL131" s="1">
        <v>2</v>
      </c>
      <c r="FM131" s="1">
        <v>17</v>
      </c>
      <c r="FN131" s="1">
        <v>19</v>
      </c>
      <c r="FO131" s="1">
        <v>16</v>
      </c>
      <c r="FP131" s="1">
        <v>21</v>
      </c>
      <c r="FQ131" s="1">
        <v>19</v>
      </c>
      <c r="FR131" s="1">
        <v>23</v>
      </c>
      <c r="FS131" s="1">
        <v>34</v>
      </c>
      <c r="FT131" s="1">
        <v>133</v>
      </c>
      <c r="FU131" s="1">
        <v>1985</v>
      </c>
    </row>
    <row r="132" spans="1:177" s="7" customFormat="1">
      <c r="J132" s="1">
        <v>0.4</v>
      </c>
      <c r="K132" s="1">
        <v>2</v>
      </c>
      <c r="L132" s="1">
        <v>1400</v>
      </c>
      <c r="M132" s="1">
        <v>600</v>
      </c>
      <c r="N132" s="1">
        <v>90</v>
      </c>
      <c r="O132" s="1">
        <v>200</v>
      </c>
      <c r="P132" s="1">
        <v>100000</v>
      </c>
      <c r="Q132" s="1">
        <v>6.32668415664231</v>
      </c>
      <c r="R132" s="1">
        <v>16.617737857618099</v>
      </c>
      <c r="S132" s="1">
        <v>8.2694655059567097</v>
      </c>
      <c r="T132" s="1">
        <v>5.0562981919853103</v>
      </c>
      <c r="U132" s="1">
        <v>16.602546157149</v>
      </c>
      <c r="V132" s="1">
        <v>7.0816963625709901</v>
      </c>
      <c r="W132" s="1">
        <v>3.4223465731101501</v>
      </c>
      <c r="X132" s="1">
        <v>16.666296542553098</v>
      </c>
      <c r="Y132" s="1">
        <v>5.9156374423105902</v>
      </c>
    </row>
    <row r="133" spans="1:177" s="7" customFormat="1">
      <c r="J133" s="1">
        <v>2156</v>
      </c>
      <c r="K133" s="1">
        <v>172</v>
      </c>
      <c r="L133" s="1">
        <v>180</v>
      </c>
      <c r="M133" s="1">
        <v>159</v>
      </c>
      <c r="N133" s="1">
        <v>84</v>
      </c>
      <c r="O133" s="1">
        <v>87</v>
      </c>
      <c r="P133" s="1">
        <v>120</v>
      </c>
      <c r="Q133" s="1">
        <v>92</v>
      </c>
      <c r="R133" s="1">
        <v>86</v>
      </c>
      <c r="S133" s="1">
        <v>92</v>
      </c>
      <c r="T133" s="1">
        <v>101</v>
      </c>
      <c r="U133" s="1">
        <v>114</v>
      </c>
      <c r="V133" s="1">
        <v>125</v>
      </c>
      <c r="W133" s="1">
        <v>92</v>
      </c>
      <c r="X133" s="1">
        <v>210</v>
      </c>
      <c r="Y133" s="1">
        <v>128</v>
      </c>
      <c r="Z133" s="1">
        <v>116</v>
      </c>
      <c r="AA133" s="1">
        <v>103</v>
      </c>
      <c r="AB133" s="1">
        <v>144</v>
      </c>
      <c r="AC133" s="1">
        <v>131</v>
      </c>
      <c r="AD133" s="1">
        <v>107</v>
      </c>
      <c r="AE133" s="1">
        <v>96</v>
      </c>
      <c r="AF133" s="1">
        <v>85</v>
      </c>
      <c r="AG133" s="1">
        <v>36</v>
      </c>
      <c r="AH133" s="1">
        <v>33</v>
      </c>
      <c r="AI133" s="1">
        <v>29</v>
      </c>
      <c r="AJ133" s="1">
        <v>31</v>
      </c>
      <c r="AK133" s="1">
        <v>34</v>
      </c>
      <c r="AL133" s="1">
        <v>30</v>
      </c>
      <c r="AM133" s="1">
        <v>33</v>
      </c>
      <c r="AN133" s="1">
        <v>25</v>
      </c>
      <c r="AO133" s="1">
        <v>44</v>
      </c>
      <c r="AP133" s="1">
        <v>34</v>
      </c>
      <c r="AQ133" s="1">
        <v>42</v>
      </c>
      <c r="AR133" s="1">
        <v>40</v>
      </c>
      <c r="AS133" s="1">
        <v>44</v>
      </c>
      <c r="AT133" s="1">
        <v>35</v>
      </c>
      <c r="AU133" s="1">
        <v>37</v>
      </c>
      <c r="AV133" s="1">
        <v>42</v>
      </c>
      <c r="AW133" s="1">
        <v>31</v>
      </c>
      <c r="AX133" s="1">
        <v>32</v>
      </c>
      <c r="AY133" s="1">
        <v>41</v>
      </c>
      <c r="AZ133" s="1">
        <v>37</v>
      </c>
      <c r="BA133" s="1">
        <v>31</v>
      </c>
      <c r="BB133" s="1">
        <v>34</v>
      </c>
      <c r="BC133" s="1">
        <v>31</v>
      </c>
      <c r="BD133" s="1">
        <v>26</v>
      </c>
      <c r="BE133" s="1">
        <v>37</v>
      </c>
      <c r="BF133" s="1">
        <v>30</v>
      </c>
      <c r="BG133" s="1">
        <v>38</v>
      </c>
      <c r="BH133" s="1">
        <v>35</v>
      </c>
      <c r="BI133" s="1">
        <v>42</v>
      </c>
      <c r="BJ133" s="1">
        <v>29</v>
      </c>
      <c r="BK133" s="1">
        <v>46</v>
      </c>
      <c r="BL133" s="1">
        <v>33</v>
      </c>
      <c r="BM133" s="1">
        <v>45</v>
      </c>
      <c r="BN133" s="1">
        <v>67</v>
      </c>
      <c r="BO133" s="1">
        <v>79</v>
      </c>
      <c r="BP133" s="1">
        <v>85</v>
      </c>
      <c r="BQ133" s="1">
        <v>72</v>
      </c>
      <c r="BR133" s="1">
        <v>70</v>
      </c>
      <c r="BS133" s="1">
        <v>99</v>
      </c>
      <c r="BT133" s="1">
        <v>68</v>
      </c>
      <c r="BU133" s="1">
        <v>83</v>
      </c>
      <c r="BV133" s="1">
        <v>85</v>
      </c>
      <c r="BW133" s="1">
        <v>99</v>
      </c>
      <c r="BX133" s="1">
        <v>135</v>
      </c>
      <c r="BY133" s="1">
        <v>154</v>
      </c>
      <c r="BZ133" s="1">
        <v>93</v>
      </c>
      <c r="CA133" s="1">
        <v>116</v>
      </c>
      <c r="CB133" s="1">
        <v>84</v>
      </c>
      <c r="CC133" s="1">
        <v>81</v>
      </c>
      <c r="CD133" s="1">
        <v>89</v>
      </c>
      <c r="CE133" s="1">
        <v>78</v>
      </c>
      <c r="CF133" s="1">
        <v>107</v>
      </c>
      <c r="CG133" s="1">
        <v>130</v>
      </c>
      <c r="CH133" s="1">
        <v>101</v>
      </c>
      <c r="CI133" s="1">
        <v>68</v>
      </c>
      <c r="CJ133" s="1">
        <v>58</v>
      </c>
      <c r="CK133" s="1">
        <v>50</v>
      </c>
      <c r="CL133" s="1">
        <v>59</v>
      </c>
      <c r="CM133" s="1">
        <v>64</v>
      </c>
      <c r="CN133" s="1">
        <v>73</v>
      </c>
      <c r="CO133" s="1">
        <v>100</v>
      </c>
      <c r="CP133" s="1">
        <v>98</v>
      </c>
      <c r="CQ133" s="1">
        <v>56</v>
      </c>
      <c r="CR133" s="1">
        <v>52</v>
      </c>
      <c r="CS133" s="1">
        <v>65</v>
      </c>
      <c r="CT133" s="1">
        <v>79</v>
      </c>
      <c r="CU133" s="1">
        <v>67</v>
      </c>
      <c r="CV133" s="1">
        <v>58</v>
      </c>
      <c r="CW133" s="1">
        <v>72</v>
      </c>
      <c r="CX133" s="1">
        <v>65</v>
      </c>
      <c r="CY133" s="1">
        <v>77</v>
      </c>
      <c r="CZ133" s="1">
        <v>65</v>
      </c>
      <c r="DA133" s="1">
        <v>79</v>
      </c>
      <c r="DB133" s="1">
        <v>52</v>
      </c>
      <c r="DC133" s="1">
        <v>34</v>
      </c>
      <c r="DD133" s="1">
        <v>42</v>
      </c>
      <c r="DE133" s="1">
        <v>28</v>
      </c>
      <c r="DF133" s="1">
        <v>22</v>
      </c>
      <c r="DG133" s="1">
        <v>18</v>
      </c>
      <c r="DH133" s="1">
        <v>26</v>
      </c>
      <c r="DI133" s="1">
        <v>32</v>
      </c>
      <c r="DJ133" s="1">
        <v>37</v>
      </c>
      <c r="DK133" s="1">
        <v>16</v>
      </c>
      <c r="DL133" s="1">
        <v>28</v>
      </c>
      <c r="DM133" s="1">
        <v>18</v>
      </c>
      <c r="DN133" s="1">
        <v>19</v>
      </c>
      <c r="DO133" s="1">
        <v>15</v>
      </c>
      <c r="DP133" s="1">
        <v>15</v>
      </c>
      <c r="DQ133" s="1">
        <v>20</v>
      </c>
      <c r="DR133" s="1">
        <v>16</v>
      </c>
      <c r="DS133" s="1">
        <v>15</v>
      </c>
      <c r="DT133" s="1">
        <v>17</v>
      </c>
      <c r="DU133" s="1">
        <v>17</v>
      </c>
      <c r="DV133" s="1">
        <v>11</v>
      </c>
      <c r="DW133" s="1">
        <v>18</v>
      </c>
      <c r="DX133" s="1">
        <v>15</v>
      </c>
      <c r="DY133" s="1">
        <v>17</v>
      </c>
      <c r="DZ133" s="1">
        <v>13</v>
      </c>
      <c r="EA133" s="1">
        <v>17</v>
      </c>
      <c r="EB133" s="1">
        <v>17</v>
      </c>
      <c r="EC133" s="1">
        <v>15</v>
      </c>
      <c r="ED133" s="1">
        <v>18</v>
      </c>
      <c r="EE133" s="1">
        <v>16</v>
      </c>
      <c r="EF133" s="1">
        <v>11</v>
      </c>
      <c r="EG133" s="1">
        <v>21</v>
      </c>
      <c r="EH133" s="1">
        <v>10</v>
      </c>
      <c r="EI133" s="1">
        <v>16</v>
      </c>
      <c r="EJ133" s="1">
        <v>9</v>
      </c>
      <c r="EK133" s="1">
        <v>20</v>
      </c>
      <c r="EL133" s="1">
        <v>16</v>
      </c>
      <c r="EM133" s="1">
        <v>11</v>
      </c>
      <c r="EN133" s="1">
        <v>18</v>
      </c>
      <c r="EO133" s="1">
        <v>14</v>
      </c>
      <c r="EP133" s="1">
        <v>13</v>
      </c>
      <c r="EQ133" s="1">
        <v>14</v>
      </c>
      <c r="ER133" s="1">
        <v>19</v>
      </c>
      <c r="ES133" s="1">
        <v>13</v>
      </c>
      <c r="ET133" s="1">
        <v>19</v>
      </c>
      <c r="EU133" s="1">
        <v>19</v>
      </c>
      <c r="EV133" s="1">
        <v>13</v>
      </c>
      <c r="EW133" s="1">
        <v>16</v>
      </c>
      <c r="EX133" s="1">
        <v>19</v>
      </c>
      <c r="EY133" s="1">
        <v>16</v>
      </c>
      <c r="EZ133" s="1">
        <v>24</v>
      </c>
      <c r="FA133" s="1">
        <v>18</v>
      </c>
      <c r="FB133" s="1">
        <v>19</v>
      </c>
      <c r="FC133" s="1">
        <v>15</v>
      </c>
      <c r="FD133" s="1">
        <v>22</v>
      </c>
      <c r="FE133" s="1">
        <v>22</v>
      </c>
      <c r="FF133" s="1">
        <v>19</v>
      </c>
      <c r="FG133" s="1">
        <v>20</v>
      </c>
      <c r="FH133" s="1">
        <v>24</v>
      </c>
      <c r="FI133" s="1">
        <v>24</v>
      </c>
      <c r="FJ133" s="1">
        <v>26</v>
      </c>
      <c r="FK133" s="1">
        <v>31</v>
      </c>
      <c r="FL133" s="1">
        <v>15</v>
      </c>
      <c r="FM133" s="1">
        <v>25</v>
      </c>
      <c r="FN133" s="1">
        <v>24</v>
      </c>
      <c r="FO133" s="1">
        <v>23</v>
      </c>
      <c r="FP133" s="1">
        <v>29</v>
      </c>
      <c r="FQ133" s="1">
        <v>28</v>
      </c>
      <c r="FR133" s="1">
        <v>48</v>
      </c>
      <c r="FS133" s="1">
        <v>42</v>
      </c>
      <c r="FT133" s="1">
        <v>82</v>
      </c>
      <c r="FU133" s="1">
        <v>100</v>
      </c>
    </row>
    <row r="134" spans="1:177" s="7" customFormat="1"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11</v>
      </c>
      <c r="FD134" s="1">
        <v>9</v>
      </c>
      <c r="FE134" s="1">
        <v>6</v>
      </c>
      <c r="FF134" s="1">
        <v>4</v>
      </c>
      <c r="FG134" s="1">
        <v>6</v>
      </c>
      <c r="FH134" s="1">
        <v>4</v>
      </c>
      <c r="FI134" s="1">
        <v>4</v>
      </c>
      <c r="FJ134" s="1">
        <v>6</v>
      </c>
      <c r="FK134" s="1">
        <v>4</v>
      </c>
      <c r="FL134" s="1">
        <v>8</v>
      </c>
      <c r="FM134" s="1">
        <v>4</v>
      </c>
      <c r="FN134" s="1">
        <v>3</v>
      </c>
      <c r="FO134" s="1">
        <v>4</v>
      </c>
      <c r="FP134" s="1">
        <v>2</v>
      </c>
      <c r="FQ134" s="1">
        <v>4</v>
      </c>
      <c r="FR134" s="1">
        <v>6</v>
      </c>
      <c r="FS134" s="1">
        <v>6</v>
      </c>
      <c r="FT134" s="1">
        <v>15</v>
      </c>
      <c r="FU134" s="1">
        <v>2103</v>
      </c>
    </row>
    <row r="135" spans="1:177" s="7" customFormat="1">
      <c r="J135" s="1">
        <v>0.4</v>
      </c>
      <c r="K135" s="1">
        <v>3</v>
      </c>
      <c r="L135" s="1">
        <v>1400</v>
      </c>
      <c r="M135" s="1">
        <v>600</v>
      </c>
      <c r="N135" s="1">
        <v>90</v>
      </c>
      <c r="O135" s="1">
        <v>200</v>
      </c>
      <c r="P135" s="1">
        <v>100000</v>
      </c>
      <c r="Q135" s="1">
        <v>5.1570239440978201</v>
      </c>
      <c r="R135" s="1">
        <v>16.414881154499099</v>
      </c>
      <c r="S135" s="1">
        <v>7.5352454386018604</v>
      </c>
      <c r="T135" s="1">
        <v>3.7845306851840199</v>
      </c>
      <c r="U135" s="1">
        <v>16.396444253120901</v>
      </c>
      <c r="V135" s="1">
        <v>5.9489422704616004</v>
      </c>
      <c r="W135" s="1">
        <v>2.0299983900303298</v>
      </c>
      <c r="X135" s="1">
        <v>16.669999999999899</v>
      </c>
      <c r="Y135" s="1">
        <v>3.7020605894118699</v>
      </c>
    </row>
    <row r="136" spans="1:177" s="7" customFormat="1">
      <c r="J136" s="1">
        <v>4162</v>
      </c>
      <c r="K136" s="1">
        <v>352</v>
      </c>
      <c r="L136" s="1">
        <v>91</v>
      </c>
      <c r="M136" s="1">
        <v>73</v>
      </c>
      <c r="N136" s="1">
        <v>100</v>
      </c>
      <c r="O136" s="1">
        <v>86</v>
      </c>
      <c r="P136" s="1">
        <v>80</v>
      </c>
      <c r="Q136" s="1">
        <v>73</v>
      </c>
      <c r="R136" s="1">
        <v>63</v>
      </c>
      <c r="S136" s="1">
        <v>95</v>
      </c>
      <c r="T136" s="1">
        <v>83</v>
      </c>
      <c r="U136" s="1">
        <v>88</v>
      </c>
      <c r="V136" s="1">
        <v>120</v>
      </c>
      <c r="W136" s="1">
        <v>75</v>
      </c>
      <c r="X136" s="1">
        <v>87</v>
      </c>
      <c r="Y136" s="1">
        <v>104</v>
      </c>
      <c r="Z136" s="1">
        <v>100</v>
      </c>
      <c r="AA136" s="1">
        <v>125</v>
      </c>
      <c r="AB136" s="1">
        <v>120</v>
      </c>
      <c r="AC136" s="1">
        <v>116</v>
      </c>
      <c r="AD136" s="1">
        <v>82</v>
      </c>
      <c r="AE136" s="1">
        <v>77</v>
      </c>
      <c r="AF136" s="1">
        <v>82</v>
      </c>
      <c r="AG136" s="1">
        <v>77</v>
      </c>
      <c r="AH136" s="1">
        <v>107</v>
      </c>
      <c r="AI136" s="1">
        <v>132</v>
      </c>
      <c r="AJ136" s="1">
        <v>60</v>
      </c>
      <c r="AK136" s="1">
        <v>60</v>
      </c>
      <c r="AL136" s="1">
        <v>97</v>
      </c>
      <c r="AM136" s="1">
        <v>55</v>
      </c>
      <c r="AN136" s="1">
        <v>52</v>
      </c>
      <c r="AO136" s="1">
        <v>64</v>
      </c>
      <c r="AP136" s="1">
        <v>86</v>
      </c>
      <c r="AQ136" s="1">
        <v>74</v>
      </c>
      <c r="AR136" s="1">
        <v>41</v>
      </c>
      <c r="AS136" s="1">
        <v>48</v>
      </c>
      <c r="AT136" s="1">
        <v>11</v>
      </c>
      <c r="AU136" s="1">
        <v>20</v>
      </c>
      <c r="AV136" s="1">
        <v>14</v>
      </c>
      <c r="AW136" s="1">
        <v>16</v>
      </c>
      <c r="AX136" s="1">
        <v>18</v>
      </c>
      <c r="AY136" s="1">
        <v>11</v>
      </c>
      <c r="AZ136" s="1">
        <v>19</v>
      </c>
      <c r="BA136" s="1">
        <v>10</v>
      </c>
      <c r="BB136" s="1">
        <v>23</v>
      </c>
      <c r="BC136" s="1">
        <v>13</v>
      </c>
      <c r="BD136" s="1">
        <v>17</v>
      </c>
      <c r="BE136" s="1">
        <v>20</v>
      </c>
      <c r="BF136" s="1">
        <v>14</v>
      </c>
      <c r="BG136" s="1">
        <v>18</v>
      </c>
      <c r="BH136" s="1">
        <v>13</v>
      </c>
      <c r="BI136" s="1">
        <v>19</v>
      </c>
      <c r="BJ136" s="1">
        <v>15</v>
      </c>
      <c r="BK136" s="1">
        <v>21</v>
      </c>
      <c r="BL136" s="1">
        <v>16</v>
      </c>
      <c r="BM136" s="1">
        <v>17</v>
      </c>
      <c r="BN136" s="1">
        <v>18</v>
      </c>
      <c r="BO136" s="1">
        <v>22</v>
      </c>
      <c r="BP136" s="1">
        <v>21</v>
      </c>
      <c r="BQ136" s="1">
        <v>31</v>
      </c>
      <c r="BR136" s="1">
        <v>18</v>
      </c>
      <c r="BS136" s="1">
        <v>28</v>
      </c>
      <c r="BT136" s="1">
        <v>26</v>
      </c>
      <c r="BU136" s="1">
        <v>33</v>
      </c>
      <c r="BV136" s="1">
        <v>35</v>
      </c>
      <c r="BW136" s="1">
        <v>39</v>
      </c>
      <c r="BX136" s="1">
        <v>32</v>
      </c>
      <c r="BY136" s="1">
        <v>61</v>
      </c>
      <c r="BZ136" s="1">
        <v>37</v>
      </c>
      <c r="CA136" s="1">
        <v>52</v>
      </c>
      <c r="CB136" s="1">
        <v>61</v>
      </c>
      <c r="CC136" s="1">
        <v>40</v>
      </c>
      <c r="CD136" s="1">
        <v>74</v>
      </c>
      <c r="CE136" s="1">
        <v>56</v>
      </c>
      <c r="CF136" s="1">
        <v>58</v>
      </c>
      <c r="CG136" s="1">
        <v>70</v>
      </c>
      <c r="CH136" s="1">
        <v>101</v>
      </c>
      <c r="CI136" s="1">
        <v>91</v>
      </c>
      <c r="CJ136" s="1">
        <v>58</v>
      </c>
      <c r="CK136" s="1">
        <v>39</v>
      </c>
      <c r="CL136" s="1">
        <v>53</v>
      </c>
      <c r="CM136" s="1">
        <v>70</v>
      </c>
      <c r="CN136" s="1">
        <v>48</v>
      </c>
      <c r="CO136" s="1">
        <v>54</v>
      </c>
      <c r="CP136" s="1">
        <v>58</v>
      </c>
      <c r="CQ136" s="1">
        <v>37</v>
      </c>
      <c r="CR136" s="1">
        <v>34</v>
      </c>
      <c r="CS136" s="1">
        <v>46</v>
      </c>
      <c r="CT136" s="1">
        <v>47</v>
      </c>
      <c r="CU136" s="1">
        <v>53</v>
      </c>
      <c r="CV136" s="1">
        <v>62</v>
      </c>
      <c r="CW136" s="1">
        <v>50</v>
      </c>
      <c r="CX136" s="1">
        <v>26</v>
      </c>
      <c r="CY136" s="1">
        <v>27</v>
      </c>
      <c r="CZ136" s="1">
        <v>50</v>
      </c>
      <c r="DA136" s="1">
        <v>43</v>
      </c>
      <c r="DB136" s="1">
        <v>33</v>
      </c>
      <c r="DC136" s="1">
        <v>46</v>
      </c>
      <c r="DD136" s="1">
        <v>42</v>
      </c>
      <c r="DE136" s="1">
        <v>27</v>
      </c>
      <c r="DF136" s="1">
        <v>57</v>
      </c>
      <c r="DG136" s="1">
        <v>54</v>
      </c>
      <c r="DH136" s="1">
        <v>49</v>
      </c>
      <c r="DI136" s="1">
        <v>31</v>
      </c>
      <c r="DJ136" s="1">
        <v>23</v>
      </c>
      <c r="DK136" s="1">
        <v>27</v>
      </c>
      <c r="DL136" s="1">
        <v>30</v>
      </c>
      <c r="DM136" s="1">
        <v>36</v>
      </c>
      <c r="DN136" s="1">
        <v>27</v>
      </c>
      <c r="DO136" s="1">
        <v>21</v>
      </c>
      <c r="DP136" s="1">
        <v>23</v>
      </c>
      <c r="DQ136" s="1">
        <v>18</v>
      </c>
      <c r="DR136" s="1">
        <v>24</v>
      </c>
      <c r="DS136" s="1">
        <v>19</v>
      </c>
      <c r="DT136" s="1">
        <v>21</v>
      </c>
      <c r="DU136" s="1">
        <v>37</v>
      </c>
      <c r="DV136" s="1">
        <v>20</v>
      </c>
      <c r="DW136" s="1">
        <v>34</v>
      </c>
      <c r="DX136" s="1">
        <v>12</v>
      </c>
      <c r="DY136" s="1">
        <v>8</v>
      </c>
      <c r="DZ136" s="1">
        <v>16</v>
      </c>
      <c r="EA136" s="1">
        <v>9</v>
      </c>
      <c r="EB136" s="1">
        <v>13</v>
      </c>
      <c r="EC136" s="1">
        <v>14</v>
      </c>
      <c r="ED136" s="1">
        <v>10</v>
      </c>
      <c r="EE136" s="1">
        <v>12</v>
      </c>
      <c r="EF136" s="1">
        <v>13</v>
      </c>
      <c r="EG136" s="1">
        <v>15</v>
      </c>
      <c r="EH136" s="1">
        <v>9</v>
      </c>
      <c r="EI136" s="1">
        <v>12</v>
      </c>
      <c r="EJ136" s="1">
        <v>13</v>
      </c>
      <c r="EK136" s="1">
        <v>9</v>
      </c>
      <c r="EL136" s="1">
        <v>13</v>
      </c>
      <c r="EM136" s="1">
        <v>9</v>
      </c>
      <c r="EN136" s="1">
        <v>15</v>
      </c>
      <c r="EO136" s="1">
        <v>7</v>
      </c>
      <c r="EP136" s="1">
        <v>13</v>
      </c>
      <c r="EQ136" s="1">
        <v>10</v>
      </c>
      <c r="ER136" s="1">
        <v>15</v>
      </c>
      <c r="ES136" s="1">
        <v>9</v>
      </c>
      <c r="ET136" s="1">
        <v>14</v>
      </c>
      <c r="EU136" s="1">
        <v>11</v>
      </c>
      <c r="EV136" s="1">
        <v>14</v>
      </c>
      <c r="EW136" s="1">
        <v>12</v>
      </c>
      <c r="EX136" s="1">
        <v>11</v>
      </c>
      <c r="EY136" s="1">
        <v>18</v>
      </c>
      <c r="EZ136" s="1">
        <v>12</v>
      </c>
      <c r="FA136" s="1">
        <v>16</v>
      </c>
      <c r="FB136" s="1">
        <v>11</v>
      </c>
      <c r="FC136" s="1">
        <v>14</v>
      </c>
      <c r="FD136" s="1">
        <v>16</v>
      </c>
      <c r="FE136" s="1">
        <v>11</v>
      </c>
      <c r="FF136" s="1">
        <v>19</v>
      </c>
      <c r="FG136" s="1">
        <v>14</v>
      </c>
      <c r="FH136" s="1">
        <v>17</v>
      </c>
      <c r="FI136" s="1">
        <v>18</v>
      </c>
      <c r="FJ136" s="1">
        <v>18</v>
      </c>
      <c r="FK136" s="1">
        <v>22</v>
      </c>
      <c r="FL136" s="1">
        <v>18</v>
      </c>
      <c r="FM136" s="1">
        <v>27</v>
      </c>
      <c r="FN136" s="1">
        <v>16</v>
      </c>
      <c r="FO136" s="1">
        <v>23</v>
      </c>
      <c r="FP136" s="1">
        <v>28</v>
      </c>
      <c r="FQ136" s="1">
        <v>30</v>
      </c>
      <c r="FR136" s="1">
        <v>36</v>
      </c>
      <c r="FS136" s="1">
        <v>39</v>
      </c>
      <c r="FT136" s="1">
        <v>80</v>
      </c>
      <c r="FU136" s="1">
        <v>151</v>
      </c>
    </row>
    <row r="137" spans="1:177" s="7" customFormat="1"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5</v>
      </c>
      <c r="DQ137" s="1">
        <v>10</v>
      </c>
      <c r="DR137" s="1">
        <v>9</v>
      </c>
      <c r="DS137" s="1">
        <v>6</v>
      </c>
      <c r="DT137" s="1">
        <v>4</v>
      </c>
      <c r="DU137" s="1">
        <v>5</v>
      </c>
      <c r="DV137" s="1">
        <v>4</v>
      </c>
      <c r="DW137" s="1">
        <v>5</v>
      </c>
      <c r="DX137" s="1">
        <v>3</v>
      </c>
      <c r="DY137" s="1">
        <v>3</v>
      </c>
      <c r="DZ137" s="1">
        <v>4</v>
      </c>
      <c r="EA137" s="1">
        <v>3</v>
      </c>
      <c r="EB137" s="1">
        <v>3</v>
      </c>
      <c r="EC137" s="1">
        <v>2</v>
      </c>
      <c r="ED137" s="1">
        <v>5</v>
      </c>
      <c r="EE137" s="1">
        <v>1</v>
      </c>
      <c r="EF137" s="1">
        <v>4</v>
      </c>
      <c r="EG137" s="1">
        <v>4</v>
      </c>
      <c r="EH137" s="1">
        <v>1</v>
      </c>
      <c r="EI137" s="1">
        <v>4</v>
      </c>
      <c r="EJ137" s="1">
        <v>4</v>
      </c>
      <c r="EK137" s="1">
        <v>4</v>
      </c>
      <c r="EL137" s="1">
        <v>2</v>
      </c>
      <c r="EM137" s="1">
        <v>3</v>
      </c>
      <c r="EN137" s="1">
        <v>4</v>
      </c>
      <c r="EO137" s="1">
        <v>4</v>
      </c>
      <c r="EP137" s="1">
        <v>4</v>
      </c>
      <c r="EQ137" s="1">
        <v>2</v>
      </c>
      <c r="ER137" s="1">
        <v>3</v>
      </c>
      <c r="ES137" s="1">
        <v>2</v>
      </c>
      <c r="ET137" s="1">
        <v>3</v>
      </c>
      <c r="EU137" s="1">
        <v>3</v>
      </c>
      <c r="EV137" s="1">
        <v>2</v>
      </c>
      <c r="EW137" s="1">
        <v>2</v>
      </c>
      <c r="EX137" s="1">
        <v>4</v>
      </c>
      <c r="EY137" s="1">
        <v>2</v>
      </c>
      <c r="EZ137" s="1">
        <v>3</v>
      </c>
      <c r="FA137" s="1">
        <v>3</v>
      </c>
      <c r="FB137" s="1">
        <v>2</v>
      </c>
      <c r="FC137" s="1">
        <v>3</v>
      </c>
      <c r="FD137" s="1">
        <v>3</v>
      </c>
      <c r="FE137" s="1">
        <v>3</v>
      </c>
      <c r="FF137" s="1">
        <v>4</v>
      </c>
      <c r="FG137" s="1">
        <v>2</v>
      </c>
      <c r="FH137" s="1">
        <v>6</v>
      </c>
      <c r="FI137" s="1">
        <v>2</v>
      </c>
      <c r="FJ137" s="1">
        <v>2</v>
      </c>
      <c r="FK137" s="1">
        <v>4</v>
      </c>
      <c r="FL137" s="1">
        <v>6</v>
      </c>
      <c r="FM137" s="1">
        <v>24</v>
      </c>
      <c r="FN137" s="1">
        <v>23</v>
      </c>
      <c r="FO137" s="1">
        <v>27</v>
      </c>
      <c r="FP137" s="1">
        <v>30</v>
      </c>
      <c r="FQ137" s="1">
        <v>29</v>
      </c>
      <c r="FR137" s="1">
        <v>34</v>
      </c>
      <c r="FS137" s="1">
        <v>39</v>
      </c>
      <c r="FT137" s="1">
        <v>63</v>
      </c>
      <c r="FU137" s="1">
        <v>1962</v>
      </c>
    </row>
    <row r="138" spans="1:177" s="7" customFormat="1">
      <c r="J138" s="1">
        <v>0.4</v>
      </c>
      <c r="K138" s="1">
        <v>4</v>
      </c>
      <c r="L138" s="1">
        <v>1400</v>
      </c>
      <c r="M138" s="1">
        <v>600</v>
      </c>
      <c r="N138" s="1">
        <v>90</v>
      </c>
      <c r="O138" s="1">
        <v>200</v>
      </c>
      <c r="P138" s="1">
        <v>100000</v>
      </c>
      <c r="Q138" s="1">
        <v>5.7748994135526299</v>
      </c>
      <c r="R138" s="1">
        <v>16.381940298507399</v>
      </c>
      <c r="S138" s="1">
        <v>8.0302841780463492</v>
      </c>
      <c r="T138" s="1">
        <v>4.4006256764926297</v>
      </c>
      <c r="U138" s="1">
        <v>16.489458229942102</v>
      </c>
      <c r="V138" s="1">
        <v>6.6335182831873603</v>
      </c>
      <c r="W138" s="1">
        <v>2.6026398198468601</v>
      </c>
      <c r="X138" s="1">
        <v>16.4761538461538</v>
      </c>
      <c r="Y138" s="1">
        <v>4.3557082718490996</v>
      </c>
    </row>
    <row r="139" spans="1:177" s="7" customFormat="1">
      <c r="J139" s="1">
        <v>1751</v>
      </c>
      <c r="K139" s="1">
        <v>498</v>
      </c>
      <c r="L139" s="1">
        <v>176</v>
      </c>
      <c r="M139" s="1">
        <v>173</v>
      </c>
      <c r="N139" s="1">
        <v>203</v>
      </c>
      <c r="O139" s="1">
        <v>176</v>
      </c>
      <c r="P139" s="1">
        <v>138</v>
      </c>
      <c r="Q139" s="1">
        <v>126</v>
      </c>
      <c r="R139" s="1">
        <v>128</v>
      </c>
      <c r="S139" s="1">
        <v>274</v>
      </c>
      <c r="T139" s="1">
        <v>170</v>
      </c>
      <c r="U139" s="1">
        <v>162</v>
      </c>
      <c r="V139" s="1">
        <v>242</v>
      </c>
      <c r="W139" s="1">
        <v>184</v>
      </c>
      <c r="X139" s="1">
        <v>191</v>
      </c>
      <c r="Y139" s="1">
        <v>265</v>
      </c>
      <c r="Z139" s="1">
        <v>327</v>
      </c>
      <c r="AA139" s="1">
        <v>275</v>
      </c>
      <c r="AB139" s="1">
        <v>304</v>
      </c>
      <c r="AC139" s="1">
        <v>99</v>
      </c>
      <c r="AD139" s="1">
        <v>97</v>
      </c>
      <c r="AE139" s="1">
        <v>68</v>
      </c>
      <c r="AF139" s="1">
        <v>47</v>
      </c>
      <c r="AG139" s="1">
        <v>93</v>
      </c>
      <c r="AH139" s="1">
        <v>70</v>
      </c>
      <c r="AI139" s="1">
        <v>91</v>
      </c>
      <c r="AJ139" s="1">
        <v>56</v>
      </c>
      <c r="AK139" s="1">
        <v>29</v>
      </c>
      <c r="AL139" s="1">
        <v>17</v>
      </c>
      <c r="AM139" s="1">
        <v>24</v>
      </c>
      <c r="AN139" s="1">
        <v>15</v>
      </c>
      <c r="AO139" s="1">
        <v>22</v>
      </c>
      <c r="AP139" s="1">
        <v>17</v>
      </c>
      <c r="AQ139" s="1">
        <v>14</v>
      </c>
      <c r="AR139" s="1">
        <v>20</v>
      </c>
      <c r="AS139" s="1">
        <v>17</v>
      </c>
      <c r="AT139" s="1">
        <v>17</v>
      </c>
      <c r="AU139" s="1">
        <v>18</v>
      </c>
      <c r="AV139" s="1">
        <v>17</v>
      </c>
      <c r="AW139" s="1">
        <v>19</v>
      </c>
      <c r="AX139" s="1">
        <v>15</v>
      </c>
      <c r="AY139" s="1">
        <v>18</v>
      </c>
      <c r="AZ139" s="1">
        <v>17</v>
      </c>
      <c r="BA139" s="1">
        <v>14</v>
      </c>
      <c r="BB139" s="1">
        <v>21</v>
      </c>
      <c r="BC139" s="1">
        <v>15</v>
      </c>
      <c r="BD139" s="1">
        <v>19</v>
      </c>
      <c r="BE139" s="1">
        <v>22</v>
      </c>
      <c r="BF139" s="1">
        <v>17</v>
      </c>
      <c r="BG139" s="1">
        <v>18</v>
      </c>
      <c r="BH139" s="1">
        <v>19</v>
      </c>
      <c r="BI139" s="1">
        <v>17</v>
      </c>
      <c r="BJ139" s="1">
        <v>21</v>
      </c>
      <c r="BK139" s="1">
        <v>20</v>
      </c>
      <c r="BL139" s="1">
        <v>20</v>
      </c>
      <c r="BM139" s="1">
        <v>17</v>
      </c>
      <c r="BN139" s="1">
        <v>21</v>
      </c>
      <c r="BO139" s="1">
        <v>18</v>
      </c>
      <c r="BP139" s="1">
        <v>24</v>
      </c>
      <c r="BQ139" s="1">
        <v>18</v>
      </c>
      <c r="BR139" s="1">
        <v>24</v>
      </c>
      <c r="BS139" s="1">
        <v>23</v>
      </c>
      <c r="BT139" s="1">
        <v>20</v>
      </c>
      <c r="BU139" s="1">
        <v>24</v>
      </c>
      <c r="BV139" s="1">
        <v>30</v>
      </c>
      <c r="BW139" s="1">
        <v>24</v>
      </c>
      <c r="BX139" s="1">
        <v>35</v>
      </c>
      <c r="BY139" s="1">
        <v>63</v>
      </c>
      <c r="BZ139" s="1">
        <v>44</v>
      </c>
      <c r="CA139" s="1">
        <v>44</v>
      </c>
      <c r="CB139" s="1">
        <v>63</v>
      </c>
      <c r="CC139" s="1">
        <v>60</v>
      </c>
      <c r="CD139" s="1">
        <v>61</v>
      </c>
      <c r="CE139" s="1">
        <v>50</v>
      </c>
      <c r="CF139" s="1">
        <v>63</v>
      </c>
      <c r="CG139" s="1">
        <v>72</v>
      </c>
      <c r="CH139" s="1">
        <v>43</v>
      </c>
      <c r="CI139" s="1">
        <v>48</v>
      </c>
      <c r="CJ139" s="1">
        <v>32</v>
      </c>
      <c r="CK139" s="1">
        <v>33</v>
      </c>
      <c r="CL139" s="1">
        <v>34</v>
      </c>
      <c r="CM139" s="1">
        <v>42</v>
      </c>
      <c r="CN139" s="1">
        <v>37</v>
      </c>
      <c r="CO139" s="1">
        <v>60</v>
      </c>
      <c r="CP139" s="1">
        <v>62</v>
      </c>
      <c r="CQ139" s="1">
        <v>57</v>
      </c>
      <c r="CR139" s="1">
        <v>38</v>
      </c>
      <c r="CS139" s="1">
        <v>28</v>
      </c>
      <c r="CT139" s="1">
        <v>39</v>
      </c>
      <c r="CU139" s="1">
        <v>46</v>
      </c>
      <c r="CV139" s="1">
        <v>64</v>
      </c>
      <c r="CW139" s="1">
        <v>56</v>
      </c>
      <c r="CX139" s="1">
        <v>62</v>
      </c>
      <c r="CY139" s="1">
        <v>39</v>
      </c>
      <c r="CZ139" s="1">
        <v>42</v>
      </c>
      <c r="DA139" s="1">
        <v>43</v>
      </c>
      <c r="DB139" s="1">
        <v>52</v>
      </c>
      <c r="DC139" s="1">
        <v>58</v>
      </c>
      <c r="DD139" s="1">
        <v>54</v>
      </c>
      <c r="DE139" s="1">
        <v>57</v>
      </c>
      <c r="DF139" s="1">
        <v>45</v>
      </c>
      <c r="DG139" s="1">
        <v>50</v>
      </c>
      <c r="DH139" s="1">
        <v>52</v>
      </c>
      <c r="DI139" s="1">
        <v>48</v>
      </c>
      <c r="DJ139" s="1">
        <v>56</v>
      </c>
      <c r="DK139" s="1">
        <v>49</v>
      </c>
      <c r="DL139" s="1">
        <v>42</v>
      </c>
      <c r="DM139" s="1">
        <v>41</v>
      </c>
      <c r="DN139" s="1">
        <v>60</v>
      </c>
      <c r="DO139" s="1">
        <v>33</v>
      </c>
      <c r="DP139" s="1">
        <v>48</v>
      </c>
      <c r="DQ139" s="1">
        <v>44</v>
      </c>
      <c r="DR139" s="1">
        <v>35</v>
      </c>
      <c r="DS139" s="1">
        <v>39</v>
      </c>
      <c r="DT139" s="1">
        <v>45</v>
      </c>
      <c r="DU139" s="1">
        <v>54</v>
      </c>
      <c r="DV139" s="1">
        <v>41</v>
      </c>
      <c r="DW139" s="1">
        <v>23</v>
      </c>
      <c r="DX139" s="1">
        <v>13</v>
      </c>
      <c r="DY139" s="1">
        <v>16</v>
      </c>
      <c r="DZ139" s="1">
        <v>17</v>
      </c>
      <c r="EA139" s="1">
        <v>11</v>
      </c>
      <c r="EB139" s="1">
        <v>14</v>
      </c>
      <c r="EC139" s="1">
        <v>19</v>
      </c>
      <c r="ED139" s="1">
        <v>16</v>
      </c>
      <c r="EE139" s="1">
        <v>20</v>
      </c>
      <c r="EF139" s="1">
        <v>14</v>
      </c>
      <c r="EG139" s="1">
        <v>15</v>
      </c>
      <c r="EH139" s="1">
        <v>14</v>
      </c>
      <c r="EI139" s="1">
        <v>11</v>
      </c>
      <c r="EJ139" s="1">
        <v>14</v>
      </c>
      <c r="EK139" s="1">
        <v>13</v>
      </c>
      <c r="EL139" s="1">
        <v>14</v>
      </c>
      <c r="EM139" s="1">
        <v>8</v>
      </c>
      <c r="EN139" s="1">
        <v>17</v>
      </c>
      <c r="EO139" s="1">
        <v>14</v>
      </c>
      <c r="EP139" s="1">
        <v>15</v>
      </c>
      <c r="EQ139" s="1">
        <v>11</v>
      </c>
      <c r="ER139" s="1">
        <v>17</v>
      </c>
      <c r="ES139" s="1">
        <v>10</v>
      </c>
      <c r="ET139" s="1">
        <v>17</v>
      </c>
      <c r="EU139" s="1">
        <v>13</v>
      </c>
      <c r="EV139" s="1">
        <v>13</v>
      </c>
      <c r="EW139" s="1">
        <v>18</v>
      </c>
      <c r="EX139" s="1">
        <v>12</v>
      </c>
      <c r="EY139" s="1">
        <v>17</v>
      </c>
      <c r="EZ139" s="1">
        <v>12</v>
      </c>
      <c r="FA139" s="1">
        <v>17</v>
      </c>
      <c r="FB139" s="1">
        <v>12</v>
      </c>
      <c r="FC139" s="1">
        <v>13</v>
      </c>
      <c r="FD139" s="1">
        <v>16</v>
      </c>
      <c r="FE139" s="1">
        <v>13</v>
      </c>
      <c r="FF139" s="1">
        <v>19</v>
      </c>
      <c r="FG139" s="1">
        <v>15</v>
      </c>
      <c r="FH139" s="1">
        <v>18</v>
      </c>
      <c r="FI139" s="1">
        <v>19</v>
      </c>
      <c r="FJ139" s="1">
        <v>16</v>
      </c>
      <c r="FK139" s="1">
        <v>20</v>
      </c>
      <c r="FL139" s="1">
        <v>18</v>
      </c>
      <c r="FM139" s="1">
        <v>33</v>
      </c>
      <c r="FN139" s="1">
        <v>29</v>
      </c>
      <c r="FO139" s="1">
        <v>38</v>
      </c>
      <c r="FP139" s="1">
        <v>47</v>
      </c>
      <c r="FQ139" s="1">
        <v>45</v>
      </c>
      <c r="FR139" s="1">
        <v>63</v>
      </c>
      <c r="FS139" s="1">
        <v>55</v>
      </c>
      <c r="FT139" s="1">
        <v>103</v>
      </c>
      <c r="FU139" s="1">
        <v>634</v>
      </c>
    </row>
    <row r="140" spans="1:177">
      <c r="A140" s="7"/>
      <c r="B140" s="7"/>
      <c r="C140" s="7"/>
      <c r="D140" s="7"/>
      <c r="E140" s="7"/>
      <c r="F140" s="7"/>
      <c r="G140" s="7"/>
      <c r="H140" s="7"/>
      <c r="I140" s="7"/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4</v>
      </c>
      <c r="EP140" s="1">
        <v>5</v>
      </c>
      <c r="EQ140" s="1">
        <v>4</v>
      </c>
      <c r="ER140" s="1">
        <v>3</v>
      </c>
      <c r="ES140" s="1">
        <v>3</v>
      </c>
      <c r="ET140" s="1">
        <v>4</v>
      </c>
      <c r="EU140" s="1">
        <v>15</v>
      </c>
      <c r="EV140" s="1">
        <v>12</v>
      </c>
      <c r="EW140" s="1">
        <v>8</v>
      </c>
      <c r="EX140" s="1">
        <v>7</v>
      </c>
      <c r="EY140" s="1">
        <v>8</v>
      </c>
      <c r="EZ140" s="1">
        <v>6</v>
      </c>
      <c r="FA140" s="1">
        <v>7</v>
      </c>
      <c r="FB140" s="1">
        <v>6</v>
      </c>
      <c r="FC140" s="1">
        <v>6</v>
      </c>
      <c r="FD140" s="1">
        <v>9</v>
      </c>
      <c r="FE140" s="1">
        <v>7</v>
      </c>
      <c r="FF140" s="1">
        <v>9</v>
      </c>
      <c r="FG140" s="1">
        <v>8</v>
      </c>
      <c r="FH140" s="1">
        <v>7</v>
      </c>
      <c r="FI140" s="1">
        <v>10</v>
      </c>
      <c r="FJ140" s="1">
        <v>9</v>
      </c>
      <c r="FK140" s="1">
        <v>11</v>
      </c>
      <c r="FL140" s="1">
        <v>19</v>
      </c>
      <c r="FM140" s="1">
        <v>20</v>
      </c>
      <c r="FN140" s="1">
        <v>26</v>
      </c>
      <c r="FO140" s="1">
        <v>30</v>
      </c>
      <c r="FP140" s="1">
        <v>33</v>
      </c>
      <c r="FQ140" s="1">
        <v>33</v>
      </c>
      <c r="FR140" s="1">
        <v>40</v>
      </c>
      <c r="FS140" s="1">
        <v>43</v>
      </c>
      <c r="FT140" s="1">
        <v>94</v>
      </c>
      <c r="FU140" s="1">
        <v>1386</v>
      </c>
    </row>
    <row r="141" spans="1:177">
      <c r="A141" s="7"/>
      <c r="B141" s="7"/>
      <c r="C141" s="7"/>
      <c r="D141" s="7"/>
      <c r="E141" s="7"/>
      <c r="F141" s="7"/>
      <c r="G141" s="7"/>
      <c r="H141" s="7"/>
      <c r="I141" s="7"/>
      <c r="J141" s="1">
        <v>0.4</v>
      </c>
      <c r="K141" s="1">
        <v>5</v>
      </c>
      <c r="L141" s="1">
        <v>1400</v>
      </c>
      <c r="M141" s="1">
        <v>600</v>
      </c>
      <c r="N141" s="1">
        <v>90</v>
      </c>
      <c r="O141" s="1">
        <v>200</v>
      </c>
      <c r="P141" s="1">
        <v>100000</v>
      </c>
      <c r="Q141" s="1">
        <v>7.3063489225630196</v>
      </c>
      <c r="R141" s="1">
        <v>16.1947580095433</v>
      </c>
      <c r="S141" s="1">
        <v>9.0502697638897605</v>
      </c>
      <c r="T141" s="1">
        <v>6.3050254193541599</v>
      </c>
      <c r="U141" s="1">
        <v>16.166779418770801</v>
      </c>
      <c r="V141" s="1">
        <v>7.9966019205207504</v>
      </c>
      <c r="W141" s="1">
        <v>4.0009958073730596</v>
      </c>
      <c r="X141" s="1">
        <v>16.4175373878365</v>
      </c>
      <c r="Y141" s="1">
        <v>5.8501110568466803</v>
      </c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</row>
    <row r="142" spans="1:177">
      <c r="A142" s="7"/>
      <c r="B142" s="7"/>
      <c r="C142" s="7"/>
      <c r="D142" s="7"/>
      <c r="E142" s="7"/>
      <c r="F142" s="7"/>
      <c r="G142" s="7"/>
      <c r="H142" s="7"/>
      <c r="I142" s="7"/>
      <c r="J142" s="1">
        <v>1161</v>
      </c>
      <c r="K142" s="1">
        <v>446</v>
      </c>
      <c r="L142" s="1">
        <v>117</v>
      </c>
      <c r="M142" s="1">
        <v>122</v>
      </c>
      <c r="N142" s="1">
        <v>139</v>
      </c>
      <c r="O142" s="1">
        <v>120</v>
      </c>
      <c r="P142" s="1">
        <v>106</v>
      </c>
      <c r="Q142" s="1">
        <v>79</v>
      </c>
      <c r="R142" s="1">
        <v>91</v>
      </c>
      <c r="S142" s="1">
        <v>125</v>
      </c>
      <c r="T142" s="1">
        <v>103</v>
      </c>
      <c r="U142" s="1">
        <v>94</v>
      </c>
      <c r="V142" s="1">
        <v>122</v>
      </c>
      <c r="W142" s="1">
        <v>94</v>
      </c>
      <c r="X142" s="1">
        <v>101</v>
      </c>
      <c r="Y142" s="1">
        <v>134</v>
      </c>
      <c r="Z142" s="1">
        <v>149</v>
      </c>
      <c r="AA142" s="1">
        <v>123</v>
      </c>
      <c r="AB142" s="1">
        <v>128</v>
      </c>
      <c r="AC142" s="1">
        <v>74</v>
      </c>
      <c r="AD142" s="1">
        <v>43</v>
      </c>
      <c r="AE142" s="1">
        <v>55</v>
      </c>
      <c r="AF142" s="1">
        <v>42</v>
      </c>
      <c r="AG142" s="1">
        <v>47</v>
      </c>
      <c r="AH142" s="1">
        <v>71</v>
      </c>
      <c r="AI142" s="1">
        <v>63</v>
      </c>
      <c r="AJ142" s="1">
        <v>58</v>
      </c>
      <c r="AK142" s="1">
        <v>49</v>
      </c>
      <c r="AL142" s="1">
        <v>16</v>
      </c>
      <c r="AM142" s="1">
        <v>18</v>
      </c>
      <c r="AN142" s="1">
        <v>16</v>
      </c>
      <c r="AO142" s="1">
        <v>15</v>
      </c>
      <c r="AP142" s="1">
        <v>17</v>
      </c>
      <c r="AQ142" s="1">
        <v>25</v>
      </c>
      <c r="AR142" s="1">
        <v>16</v>
      </c>
      <c r="AS142" s="1">
        <v>18</v>
      </c>
      <c r="AT142" s="1">
        <v>17</v>
      </c>
      <c r="AU142" s="1">
        <v>17</v>
      </c>
      <c r="AV142" s="1">
        <v>14</v>
      </c>
      <c r="AW142" s="1">
        <v>19</v>
      </c>
      <c r="AX142" s="1">
        <v>15</v>
      </c>
      <c r="AY142" s="1">
        <v>16</v>
      </c>
      <c r="AZ142" s="1">
        <v>17</v>
      </c>
      <c r="BA142" s="1">
        <v>17</v>
      </c>
      <c r="BB142" s="1">
        <v>24</v>
      </c>
      <c r="BC142" s="1">
        <v>23</v>
      </c>
      <c r="BD142" s="1">
        <v>21</v>
      </c>
      <c r="BE142" s="1">
        <v>18</v>
      </c>
      <c r="BF142" s="1">
        <v>17</v>
      </c>
      <c r="BG142" s="1">
        <v>23</v>
      </c>
      <c r="BH142" s="1">
        <v>24</v>
      </c>
      <c r="BI142" s="1">
        <v>26</v>
      </c>
      <c r="BJ142" s="1">
        <v>26</v>
      </c>
      <c r="BK142" s="1">
        <v>47</v>
      </c>
      <c r="BL142" s="1">
        <v>45</v>
      </c>
      <c r="BM142" s="1">
        <v>41</v>
      </c>
      <c r="BN142" s="1">
        <v>52</v>
      </c>
      <c r="BO142" s="1">
        <v>51</v>
      </c>
      <c r="BP142" s="1">
        <v>52</v>
      </c>
      <c r="BQ142" s="1">
        <v>72</v>
      </c>
      <c r="BR142" s="1">
        <v>54</v>
      </c>
      <c r="BS142" s="1">
        <v>52</v>
      </c>
      <c r="BT142" s="1">
        <v>62</v>
      </c>
      <c r="BU142" s="1">
        <v>60</v>
      </c>
      <c r="BV142" s="1">
        <v>72</v>
      </c>
      <c r="BW142" s="1">
        <v>85</v>
      </c>
      <c r="BX142" s="1">
        <v>188</v>
      </c>
      <c r="BY142" s="1">
        <v>152</v>
      </c>
      <c r="BZ142" s="1">
        <v>110</v>
      </c>
      <c r="CA142" s="1">
        <v>107</v>
      </c>
      <c r="CB142" s="1">
        <v>104</v>
      </c>
      <c r="CC142" s="1">
        <v>60</v>
      </c>
      <c r="CD142" s="1">
        <v>81</v>
      </c>
      <c r="CE142" s="1">
        <v>92</v>
      </c>
      <c r="CF142" s="1">
        <v>88</v>
      </c>
      <c r="CG142" s="1">
        <v>122</v>
      </c>
      <c r="CH142" s="1">
        <v>104</v>
      </c>
      <c r="CI142" s="1">
        <v>88</v>
      </c>
      <c r="CJ142" s="1">
        <v>85</v>
      </c>
      <c r="CK142" s="1">
        <v>55</v>
      </c>
      <c r="CL142" s="1">
        <v>71</v>
      </c>
      <c r="CM142" s="1">
        <v>73</v>
      </c>
      <c r="CN142" s="1">
        <v>53</v>
      </c>
      <c r="CO142" s="1">
        <v>46</v>
      </c>
      <c r="CP142" s="1">
        <v>32</v>
      </c>
      <c r="CQ142" s="1">
        <v>31</v>
      </c>
      <c r="CR142" s="1">
        <v>39</v>
      </c>
      <c r="CS142" s="1">
        <v>31</v>
      </c>
      <c r="CT142" s="1">
        <v>40</v>
      </c>
      <c r="CU142" s="1">
        <v>49</v>
      </c>
      <c r="CV142" s="1">
        <v>68</v>
      </c>
      <c r="CW142" s="1">
        <v>51</v>
      </c>
      <c r="CX142" s="1">
        <v>42</v>
      </c>
      <c r="CY142" s="1">
        <v>48</v>
      </c>
      <c r="CZ142" s="1">
        <v>57</v>
      </c>
      <c r="DA142" s="1">
        <v>36</v>
      </c>
      <c r="DB142" s="1">
        <v>28</v>
      </c>
      <c r="DC142" s="1">
        <v>52</v>
      </c>
      <c r="DD142" s="1">
        <v>27</v>
      </c>
      <c r="DE142" s="1">
        <v>22</v>
      </c>
      <c r="DF142" s="1">
        <v>31</v>
      </c>
      <c r="DG142" s="1">
        <v>33</v>
      </c>
      <c r="DH142" s="1">
        <v>38</v>
      </c>
      <c r="DI142" s="1">
        <v>34</v>
      </c>
      <c r="DJ142" s="1">
        <v>35</v>
      </c>
      <c r="DK142" s="1">
        <v>44</v>
      </c>
      <c r="DL142" s="1">
        <v>52</v>
      </c>
      <c r="DM142" s="1">
        <v>28</v>
      </c>
      <c r="DN142" s="1">
        <v>27</v>
      </c>
      <c r="DO142" s="1">
        <v>25</v>
      </c>
      <c r="DP142" s="1">
        <v>22</v>
      </c>
      <c r="DQ142" s="1">
        <v>27</v>
      </c>
      <c r="DR142" s="1">
        <v>27</v>
      </c>
      <c r="DS142" s="1">
        <v>23</v>
      </c>
      <c r="DT142" s="1">
        <v>29</v>
      </c>
      <c r="DU142" s="1">
        <v>23</v>
      </c>
      <c r="DV142" s="1">
        <v>30</v>
      </c>
      <c r="DW142" s="1">
        <v>29</v>
      </c>
      <c r="DX142" s="1">
        <v>26</v>
      </c>
      <c r="DY142" s="1">
        <v>25</v>
      </c>
      <c r="DZ142" s="1">
        <v>36</v>
      </c>
      <c r="EA142" s="1">
        <v>27</v>
      </c>
      <c r="EB142" s="1">
        <v>27</v>
      </c>
      <c r="EC142" s="1">
        <v>25</v>
      </c>
      <c r="ED142" s="1">
        <v>19</v>
      </c>
      <c r="EE142" s="1">
        <v>21</v>
      </c>
      <c r="EF142" s="1">
        <v>23</v>
      </c>
      <c r="EG142" s="1">
        <v>16</v>
      </c>
      <c r="EH142" s="1">
        <v>21</v>
      </c>
      <c r="EI142" s="1">
        <v>16</v>
      </c>
      <c r="EJ142" s="1">
        <v>23</v>
      </c>
      <c r="EK142" s="1">
        <v>20</v>
      </c>
      <c r="EL142" s="1">
        <v>16</v>
      </c>
      <c r="EM142" s="1">
        <v>19</v>
      </c>
      <c r="EN142" s="1">
        <v>21</v>
      </c>
      <c r="EO142" s="1">
        <v>17</v>
      </c>
      <c r="EP142" s="1">
        <v>22</v>
      </c>
      <c r="EQ142" s="1">
        <v>22</v>
      </c>
      <c r="ER142" s="1">
        <v>21</v>
      </c>
      <c r="ES142" s="1">
        <v>19</v>
      </c>
      <c r="ET142" s="1">
        <v>21</v>
      </c>
      <c r="EU142" s="1">
        <v>20</v>
      </c>
      <c r="EV142" s="1">
        <v>18</v>
      </c>
      <c r="EW142" s="1">
        <v>20</v>
      </c>
      <c r="EX142" s="1">
        <v>21</v>
      </c>
      <c r="EY142" s="1">
        <v>26</v>
      </c>
      <c r="EZ142" s="1">
        <v>12</v>
      </c>
      <c r="FA142" s="1">
        <v>31</v>
      </c>
      <c r="FB142" s="1">
        <v>25</v>
      </c>
      <c r="FC142" s="1">
        <v>19</v>
      </c>
      <c r="FD142" s="1">
        <v>24</v>
      </c>
      <c r="FE142" s="1">
        <v>22</v>
      </c>
      <c r="FF142" s="1">
        <v>23</v>
      </c>
      <c r="FG142" s="1">
        <v>22</v>
      </c>
      <c r="FH142" s="1">
        <v>33</v>
      </c>
      <c r="FI142" s="1">
        <v>21</v>
      </c>
      <c r="FJ142" s="1">
        <v>33</v>
      </c>
      <c r="FK142" s="1">
        <v>27</v>
      </c>
      <c r="FL142" s="1">
        <v>26</v>
      </c>
      <c r="FM142" s="1">
        <v>33</v>
      </c>
      <c r="FN142" s="1">
        <v>29</v>
      </c>
      <c r="FO142" s="1">
        <v>38</v>
      </c>
      <c r="FP142" s="1">
        <v>47</v>
      </c>
      <c r="FQ142" s="1">
        <v>45</v>
      </c>
      <c r="FR142" s="1">
        <v>63</v>
      </c>
      <c r="FS142" s="1">
        <v>55</v>
      </c>
      <c r="FT142" s="1">
        <v>103</v>
      </c>
      <c r="FU142" s="1">
        <v>634</v>
      </c>
    </row>
    <row r="143" spans="1:177">
      <c r="A143" s="7"/>
      <c r="B143" s="7"/>
      <c r="C143" s="7"/>
      <c r="D143" s="7"/>
      <c r="E143" s="7"/>
      <c r="F143" s="7"/>
      <c r="G143" s="7"/>
      <c r="H143" s="7"/>
      <c r="I143" s="7"/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4</v>
      </c>
      <c r="DK143" s="1">
        <v>2</v>
      </c>
      <c r="DL143" s="1">
        <v>2</v>
      </c>
      <c r="DM143" s="1">
        <v>0</v>
      </c>
      <c r="DN143" s="1">
        <v>2</v>
      </c>
      <c r="DO143" s="1">
        <v>1</v>
      </c>
      <c r="DP143" s="1">
        <v>1</v>
      </c>
      <c r="DQ143" s="1">
        <v>0</v>
      </c>
      <c r="DR143" s="1">
        <v>3</v>
      </c>
      <c r="DS143" s="1">
        <v>1</v>
      </c>
      <c r="DT143" s="1">
        <v>1</v>
      </c>
      <c r="DU143" s="1">
        <v>2</v>
      </c>
      <c r="DV143" s="1">
        <v>0</v>
      </c>
      <c r="DW143" s="1">
        <v>2</v>
      </c>
      <c r="DX143" s="1">
        <v>1</v>
      </c>
      <c r="DY143" s="1">
        <v>1</v>
      </c>
      <c r="DZ143" s="1">
        <v>1</v>
      </c>
      <c r="EA143" s="1">
        <v>3</v>
      </c>
      <c r="EB143" s="1">
        <v>5</v>
      </c>
      <c r="EC143" s="1">
        <v>4</v>
      </c>
      <c r="ED143" s="1">
        <v>3</v>
      </c>
      <c r="EE143" s="1">
        <v>6</v>
      </c>
      <c r="EF143" s="1">
        <v>2</v>
      </c>
      <c r="EG143" s="1">
        <v>3</v>
      </c>
      <c r="EH143" s="1">
        <v>3</v>
      </c>
      <c r="EI143" s="1">
        <v>3</v>
      </c>
      <c r="EJ143" s="1">
        <v>2</v>
      </c>
      <c r="EK143" s="1">
        <v>2</v>
      </c>
      <c r="EL143" s="1">
        <v>4</v>
      </c>
      <c r="EM143" s="1">
        <v>2</v>
      </c>
      <c r="EN143" s="1">
        <v>3</v>
      </c>
      <c r="EO143" s="1">
        <v>8</v>
      </c>
      <c r="EP143" s="1">
        <v>5</v>
      </c>
      <c r="EQ143" s="1">
        <v>7</v>
      </c>
      <c r="ER143" s="1">
        <v>14</v>
      </c>
      <c r="ES143" s="1">
        <v>20</v>
      </c>
      <c r="ET143" s="1">
        <v>21</v>
      </c>
      <c r="EU143" s="1">
        <v>23</v>
      </c>
      <c r="EV143" s="1">
        <v>15</v>
      </c>
      <c r="EW143" s="1">
        <v>10</v>
      </c>
      <c r="EX143" s="1">
        <v>16</v>
      </c>
      <c r="EY143" s="1">
        <v>13</v>
      </c>
      <c r="EZ143" s="1">
        <v>12</v>
      </c>
      <c r="FA143" s="1">
        <v>13</v>
      </c>
      <c r="FB143" s="1">
        <v>7</v>
      </c>
      <c r="FC143" s="1">
        <v>12</v>
      </c>
      <c r="FD143" s="1">
        <v>15</v>
      </c>
      <c r="FE143" s="1">
        <v>10</v>
      </c>
      <c r="FF143" s="1">
        <v>11</v>
      </c>
      <c r="FG143" s="1">
        <v>14</v>
      </c>
      <c r="FH143" s="1">
        <v>12</v>
      </c>
      <c r="FI143" s="1">
        <v>13</v>
      </c>
      <c r="FJ143" s="1">
        <v>21</v>
      </c>
      <c r="FK143" s="1">
        <v>18</v>
      </c>
      <c r="FL143" s="1">
        <v>15</v>
      </c>
      <c r="FM143" s="1">
        <v>20</v>
      </c>
      <c r="FN143" s="1">
        <v>26</v>
      </c>
      <c r="FO143" s="1">
        <v>30</v>
      </c>
      <c r="FP143" s="1">
        <v>33</v>
      </c>
      <c r="FQ143" s="1">
        <v>33</v>
      </c>
      <c r="FR143" s="1">
        <v>40</v>
      </c>
      <c r="FS143" s="1">
        <v>43</v>
      </c>
      <c r="FT143" s="1">
        <v>94</v>
      </c>
      <c r="FU143" s="1">
        <v>1386</v>
      </c>
    </row>
    <row r="144" spans="1:177">
      <c r="I144" t="s">
        <v>37</v>
      </c>
      <c r="J144">
        <f>J130+J133+J136+J139+J142</f>
        <v>10265</v>
      </c>
      <c r="K144">
        <f t="shared" ref="K144:BV144" si="64">K130+K133+K136+K139+K142</f>
        <v>2114</v>
      </c>
      <c r="L144">
        <f t="shared" si="64"/>
        <v>622</v>
      </c>
      <c r="M144">
        <f t="shared" si="64"/>
        <v>587</v>
      </c>
      <c r="N144">
        <f t="shared" si="64"/>
        <v>586</v>
      </c>
      <c r="O144">
        <f t="shared" si="64"/>
        <v>539</v>
      </c>
      <c r="P144">
        <f t="shared" si="64"/>
        <v>505</v>
      </c>
      <c r="Q144">
        <f t="shared" si="64"/>
        <v>417</v>
      </c>
      <c r="R144">
        <f t="shared" si="64"/>
        <v>440</v>
      </c>
      <c r="S144">
        <f t="shared" si="64"/>
        <v>638</v>
      </c>
      <c r="T144">
        <f t="shared" si="64"/>
        <v>511</v>
      </c>
      <c r="U144">
        <f t="shared" si="64"/>
        <v>544</v>
      </c>
      <c r="V144">
        <f t="shared" si="64"/>
        <v>686</v>
      </c>
      <c r="W144">
        <f t="shared" si="64"/>
        <v>470</v>
      </c>
      <c r="X144">
        <f t="shared" si="64"/>
        <v>610</v>
      </c>
      <c r="Y144">
        <f t="shared" si="64"/>
        <v>645</v>
      </c>
      <c r="Z144">
        <f t="shared" si="64"/>
        <v>713</v>
      </c>
      <c r="AA144">
        <f t="shared" si="64"/>
        <v>646</v>
      </c>
      <c r="AB144">
        <f t="shared" si="64"/>
        <v>726</v>
      </c>
      <c r="AC144">
        <f t="shared" si="64"/>
        <v>444</v>
      </c>
      <c r="AD144">
        <f t="shared" si="64"/>
        <v>351</v>
      </c>
      <c r="AE144">
        <f t="shared" si="64"/>
        <v>312</v>
      </c>
      <c r="AF144">
        <f t="shared" si="64"/>
        <v>273</v>
      </c>
      <c r="AG144">
        <f t="shared" si="64"/>
        <v>268</v>
      </c>
      <c r="AH144">
        <f t="shared" si="64"/>
        <v>292</v>
      </c>
      <c r="AI144">
        <f t="shared" si="64"/>
        <v>330</v>
      </c>
      <c r="AJ144">
        <f t="shared" si="64"/>
        <v>216</v>
      </c>
      <c r="AK144">
        <f t="shared" si="64"/>
        <v>187</v>
      </c>
      <c r="AL144">
        <f t="shared" si="64"/>
        <v>173</v>
      </c>
      <c r="AM144">
        <f t="shared" si="64"/>
        <v>142</v>
      </c>
      <c r="AN144">
        <f t="shared" si="64"/>
        <v>125</v>
      </c>
      <c r="AO144">
        <f t="shared" si="64"/>
        <v>156</v>
      </c>
      <c r="AP144">
        <f t="shared" si="64"/>
        <v>171</v>
      </c>
      <c r="AQ144">
        <f t="shared" si="64"/>
        <v>171</v>
      </c>
      <c r="AR144">
        <f t="shared" si="64"/>
        <v>132</v>
      </c>
      <c r="AS144">
        <f t="shared" si="64"/>
        <v>141</v>
      </c>
      <c r="AT144">
        <f t="shared" si="64"/>
        <v>92</v>
      </c>
      <c r="AU144">
        <f t="shared" si="64"/>
        <v>107</v>
      </c>
      <c r="AV144">
        <f t="shared" si="64"/>
        <v>98</v>
      </c>
      <c r="AW144">
        <f t="shared" si="64"/>
        <v>100</v>
      </c>
      <c r="AX144">
        <f t="shared" si="64"/>
        <v>93</v>
      </c>
      <c r="AY144">
        <f t="shared" si="64"/>
        <v>100</v>
      </c>
      <c r="AZ144">
        <f t="shared" si="64"/>
        <v>102</v>
      </c>
      <c r="BA144">
        <f t="shared" si="64"/>
        <v>84</v>
      </c>
      <c r="BB144">
        <f t="shared" si="64"/>
        <v>117</v>
      </c>
      <c r="BC144">
        <f t="shared" si="64"/>
        <v>96</v>
      </c>
      <c r="BD144">
        <f t="shared" si="64"/>
        <v>95</v>
      </c>
      <c r="BE144">
        <f t="shared" si="64"/>
        <v>110</v>
      </c>
      <c r="BF144">
        <f t="shared" si="64"/>
        <v>93</v>
      </c>
      <c r="BG144">
        <f t="shared" si="64"/>
        <v>109</v>
      </c>
      <c r="BH144">
        <f t="shared" si="64"/>
        <v>107</v>
      </c>
      <c r="BI144">
        <f t="shared" si="64"/>
        <v>120</v>
      </c>
      <c r="BJ144">
        <f t="shared" si="64"/>
        <v>106</v>
      </c>
      <c r="BK144">
        <f t="shared" si="64"/>
        <v>149</v>
      </c>
      <c r="BL144">
        <f t="shared" si="64"/>
        <v>135</v>
      </c>
      <c r="BM144">
        <f t="shared" si="64"/>
        <v>138</v>
      </c>
      <c r="BN144">
        <f t="shared" si="64"/>
        <v>188</v>
      </c>
      <c r="BO144">
        <f t="shared" si="64"/>
        <v>193</v>
      </c>
      <c r="BP144">
        <f t="shared" si="64"/>
        <v>206</v>
      </c>
      <c r="BQ144">
        <f t="shared" si="64"/>
        <v>242</v>
      </c>
      <c r="BR144">
        <f t="shared" si="64"/>
        <v>205</v>
      </c>
      <c r="BS144">
        <f t="shared" si="64"/>
        <v>243</v>
      </c>
      <c r="BT144">
        <f t="shared" si="64"/>
        <v>233</v>
      </c>
      <c r="BU144">
        <f t="shared" si="64"/>
        <v>235</v>
      </c>
      <c r="BV144">
        <f t="shared" si="64"/>
        <v>278</v>
      </c>
      <c r="BW144">
        <f t="shared" ref="BW144:EH144" si="65">BW130+BW133+BW136+BW139+BW142</f>
        <v>285</v>
      </c>
      <c r="BX144">
        <f t="shared" si="65"/>
        <v>458</v>
      </c>
      <c r="BY144">
        <f t="shared" si="65"/>
        <v>499</v>
      </c>
      <c r="BZ144">
        <f t="shared" si="65"/>
        <v>325</v>
      </c>
      <c r="CA144">
        <f t="shared" si="65"/>
        <v>358</v>
      </c>
      <c r="CB144">
        <f t="shared" si="65"/>
        <v>345</v>
      </c>
      <c r="CC144">
        <f t="shared" si="65"/>
        <v>278</v>
      </c>
      <c r="CD144">
        <f t="shared" si="65"/>
        <v>354</v>
      </c>
      <c r="CE144">
        <f t="shared" si="65"/>
        <v>320</v>
      </c>
      <c r="CF144">
        <f t="shared" si="65"/>
        <v>384</v>
      </c>
      <c r="CG144">
        <f t="shared" si="65"/>
        <v>483</v>
      </c>
      <c r="CH144">
        <f t="shared" si="65"/>
        <v>410</v>
      </c>
      <c r="CI144">
        <f t="shared" si="65"/>
        <v>402</v>
      </c>
      <c r="CJ144">
        <f t="shared" si="65"/>
        <v>322</v>
      </c>
      <c r="CK144">
        <f t="shared" si="65"/>
        <v>223</v>
      </c>
      <c r="CL144">
        <f t="shared" si="65"/>
        <v>286</v>
      </c>
      <c r="CM144">
        <f t="shared" si="65"/>
        <v>334</v>
      </c>
      <c r="CN144">
        <f t="shared" si="65"/>
        <v>269</v>
      </c>
      <c r="CO144">
        <f t="shared" si="65"/>
        <v>331</v>
      </c>
      <c r="CP144">
        <f t="shared" si="65"/>
        <v>310</v>
      </c>
      <c r="CQ144">
        <f t="shared" si="65"/>
        <v>255</v>
      </c>
      <c r="CR144">
        <f t="shared" si="65"/>
        <v>218</v>
      </c>
      <c r="CS144">
        <f t="shared" si="65"/>
        <v>244</v>
      </c>
      <c r="CT144">
        <f t="shared" si="65"/>
        <v>312</v>
      </c>
      <c r="CU144">
        <f t="shared" si="65"/>
        <v>306</v>
      </c>
      <c r="CV144">
        <f t="shared" si="65"/>
        <v>341</v>
      </c>
      <c r="CW144">
        <f t="shared" si="65"/>
        <v>350</v>
      </c>
      <c r="CX144">
        <f t="shared" si="65"/>
        <v>296</v>
      </c>
      <c r="CY144">
        <f t="shared" si="65"/>
        <v>299</v>
      </c>
      <c r="CZ144">
        <f t="shared" si="65"/>
        <v>280</v>
      </c>
      <c r="DA144">
        <f t="shared" si="65"/>
        <v>248</v>
      </c>
      <c r="DB144">
        <f t="shared" si="65"/>
        <v>225</v>
      </c>
      <c r="DC144">
        <f t="shared" si="65"/>
        <v>242</v>
      </c>
      <c r="DD144">
        <f t="shared" si="65"/>
        <v>221</v>
      </c>
      <c r="DE144">
        <f t="shared" si="65"/>
        <v>183</v>
      </c>
      <c r="DF144">
        <f t="shared" si="65"/>
        <v>204</v>
      </c>
      <c r="DG144">
        <f t="shared" si="65"/>
        <v>197</v>
      </c>
      <c r="DH144">
        <f t="shared" si="65"/>
        <v>206</v>
      </c>
      <c r="DI144">
        <f t="shared" si="65"/>
        <v>214</v>
      </c>
      <c r="DJ144">
        <f t="shared" si="65"/>
        <v>200</v>
      </c>
      <c r="DK144">
        <f t="shared" si="65"/>
        <v>167</v>
      </c>
      <c r="DL144">
        <f t="shared" si="65"/>
        <v>180</v>
      </c>
      <c r="DM144">
        <f t="shared" si="65"/>
        <v>155</v>
      </c>
      <c r="DN144">
        <f t="shared" si="65"/>
        <v>171</v>
      </c>
      <c r="DO144">
        <f t="shared" si="65"/>
        <v>128</v>
      </c>
      <c r="DP144">
        <f t="shared" si="65"/>
        <v>131</v>
      </c>
      <c r="DQ144">
        <f t="shared" si="65"/>
        <v>138</v>
      </c>
      <c r="DR144">
        <f t="shared" si="65"/>
        <v>134</v>
      </c>
      <c r="DS144">
        <f t="shared" si="65"/>
        <v>118</v>
      </c>
      <c r="DT144">
        <f t="shared" si="65"/>
        <v>144</v>
      </c>
      <c r="DU144">
        <f t="shared" si="65"/>
        <v>150</v>
      </c>
      <c r="DV144">
        <f t="shared" si="65"/>
        <v>139</v>
      </c>
      <c r="DW144">
        <f t="shared" si="65"/>
        <v>130</v>
      </c>
      <c r="DX144">
        <f t="shared" si="65"/>
        <v>89</v>
      </c>
      <c r="DY144">
        <f t="shared" si="65"/>
        <v>99</v>
      </c>
      <c r="DZ144">
        <f t="shared" si="65"/>
        <v>118</v>
      </c>
      <c r="EA144">
        <f t="shared" si="65"/>
        <v>92</v>
      </c>
      <c r="EB144">
        <f t="shared" si="65"/>
        <v>99</v>
      </c>
      <c r="EC144">
        <f t="shared" si="65"/>
        <v>104</v>
      </c>
      <c r="ED144">
        <f t="shared" si="65"/>
        <v>84</v>
      </c>
      <c r="EE144">
        <f t="shared" si="65"/>
        <v>97</v>
      </c>
      <c r="EF144">
        <f t="shared" si="65"/>
        <v>90</v>
      </c>
      <c r="EG144">
        <f t="shared" si="65"/>
        <v>94</v>
      </c>
      <c r="EH144">
        <f t="shared" si="65"/>
        <v>92</v>
      </c>
      <c r="EI144">
        <f t="shared" ref="EI144:FL145" si="66">EI130+EI133+EI136+EI139+EI142</f>
        <v>72</v>
      </c>
      <c r="EJ144">
        <f t="shared" si="66"/>
        <v>87</v>
      </c>
      <c r="EK144">
        <f t="shared" si="66"/>
        <v>81</v>
      </c>
      <c r="EL144">
        <f t="shared" si="66"/>
        <v>80</v>
      </c>
      <c r="EM144">
        <f t="shared" si="66"/>
        <v>70</v>
      </c>
      <c r="EN144">
        <f t="shared" si="66"/>
        <v>94</v>
      </c>
      <c r="EO144">
        <f t="shared" si="66"/>
        <v>72</v>
      </c>
      <c r="EP144">
        <f t="shared" si="66"/>
        <v>85</v>
      </c>
      <c r="EQ144">
        <f t="shared" si="66"/>
        <v>84</v>
      </c>
      <c r="ER144">
        <f t="shared" si="66"/>
        <v>95</v>
      </c>
      <c r="ES144">
        <f t="shared" si="66"/>
        <v>80</v>
      </c>
      <c r="ET144">
        <f t="shared" si="66"/>
        <v>95</v>
      </c>
      <c r="EU144">
        <f t="shared" si="66"/>
        <v>92</v>
      </c>
      <c r="EV144">
        <f t="shared" si="66"/>
        <v>87</v>
      </c>
      <c r="EW144">
        <f t="shared" si="66"/>
        <v>93</v>
      </c>
      <c r="EX144">
        <f t="shared" si="66"/>
        <v>93</v>
      </c>
      <c r="EY144">
        <f t="shared" si="66"/>
        <v>100</v>
      </c>
      <c r="EZ144">
        <f t="shared" si="66"/>
        <v>90</v>
      </c>
      <c r="FA144">
        <f t="shared" si="66"/>
        <v>103</v>
      </c>
      <c r="FB144">
        <f t="shared" si="66"/>
        <v>94</v>
      </c>
      <c r="FC144">
        <f t="shared" si="66"/>
        <v>83</v>
      </c>
      <c r="FD144">
        <f t="shared" si="66"/>
        <v>105</v>
      </c>
      <c r="FE144">
        <f t="shared" si="66"/>
        <v>92</v>
      </c>
      <c r="FF144">
        <f t="shared" si="66"/>
        <v>107</v>
      </c>
      <c r="FG144">
        <f t="shared" si="66"/>
        <v>95</v>
      </c>
      <c r="FH144">
        <f t="shared" si="66"/>
        <v>117</v>
      </c>
      <c r="FI144">
        <f t="shared" si="66"/>
        <v>114</v>
      </c>
      <c r="FJ144">
        <f t="shared" si="66"/>
        <v>126</v>
      </c>
      <c r="FK144">
        <f t="shared" si="66"/>
        <v>143</v>
      </c>
      <c r="FL144">
        <f t="shared" si="66"/>
        <v>113</v>
      </c>
      <c r="FM144">
        <f t="shared" ref="FM144:FU144" si="67">FM130+FM133+FM136+FM139+FM142</f>
        <v>150</v>
      </c>
      <c r="FN144">
        <f t="shared" si="67"/>
        <v>120</v>
      </c>
      <c r="FO144">
        <f t="shared" si="67"/>
        <v>157</v>
      </c>
      <c r="FP144">
        <f t="shared" si="67"/>
        <v>192</v>
      </c>
      <c r="FQ144">
        <f t="shared" si="67"/>
        <v>191</v>
      </c>
      <c r="FR144">
        <f t="shared" si="67"/>
        <v>250</v>
      </c>
      <c r="FS144">
        <f t="shared" si="67"/>
        <v>248</v>
      </c>
      <c r="FT144">
        <f t="shared" si="67"/>
        <v>451</v>
      </c>
      <c r="FU144">
        <f t="shared" si="67"/>
        <v>1657</v>
      </c>
    </row>
    <row r="145" spans="9:177">
      <c r="I145" t="s">
        <v>38</v>
      </c>
      <c r="J145">
        <f>J131+J134+J137+J140+J143</f>
        <v>0</v>
      </c>
      <c r="K145">
        <f t="shared" ref="K145:BV145" si="68">K131+K134+K137+K140+K143</f>
        <v>0</v>
      </c>
      <c r="L145">
        <f t="shared" si="68"/>
        <v>0</v>
      </c>
      <c r="M145">
        <f t="shared" si="68"/>
        <v>0</v>
      </c>
      <c r="N145">
        <f t="shared" si="68"/>
        <v>0</v>
      </c>
      <c r="O145">
        <f t="shared" si="68"/>
        <v>0</v>
      </c>
      <c r="P145">
        <f t="shared" si="68"/>
        <v>0</v>
      </c>
      <c r="Q145">
        <f t="shared" si="68"/>
        <v>0</v>
      </c>
      <c r="R145">
        <f t="shared" si="68"/>
        <v>0</v>
      </c>
      <c r="S145">
        <f t="shared" si="68"/>
        <v>0</v>
      </c>
      <c r="T145">
        <f t="shared" si="68"/>
        <v>0</v>
      </c>
      <c r="U145">
        <f t="shared" si="68"/>
        <v>0</v>
      </c>
      <c r="V145">
        <f t="shared" si="68"/>
        <v>0</v>
      </c>
      <c r="W145">
        <f t="shared" si="68"/>
        <v>0</v>
      </c>
      <c r="X145">
        <f t="shared" si="68"/>
        <v>0</v>
      </c>
      <c r="Y145">
        <f t="shared" si="68"/>
        <v>0</v>
      </c>
      <c r="Z145">
        <f t="shared" si="68"/>
        <v>0</v>
      </c>
      <c r="AA145">
        <f t="shared" si="68"/>
        <v>0</v>
      </c>
      <c r="AB145">
        <f t="shared" si="68"/>
        <v>0</v>
      </c>
      <c r="AC145">
        <f t="shared" si="68"/>
        <v>0</v>
      </c>
      <c r="AD145">
        <f t="shared" si="68"/>
        <v>0</v>
      </c>
      <c r="AE145">
        <f t="shared" si="68"/>
        <v>0</v>
      </c>
      <c r="AF145">
        <f t="shared" si="68"/>
        <v>0</v>
      </c>
      <c r="AG145">
        <f t="shared" si="68"/>
        <v>0</v>
      </c>
      <c r="AH145">
        <f t="shared" si="68"/>
        <v>0</v>
      </c>
      <c r="AI145">
        <f t="shared" si="68"/>
        <v>0</v>
      </c>
      <c r="AJ145">
        <f t="shared" si="68"/>
        <v>0</v>
      </c>
      <c r="AK145">
        <f t="shared" si="68"/>
        <v>0</v>
      </c>
      <c r="AL145">
        <f t="shared" si="68"/>
        <v>0</v>
      </c>
      <c r="AM145">
        <f t="shared" si="68"/>
        <v>0</v>
      </c>
      <c r="AN145">
        <f t="shared" si="68"/>
        <v>0</v>
      </c>
      <c r="AO145">
        <f t="shared" si="68"/>
        <v>0</v>
      </c>
      <c r="AP145">
        <f t="shared" si="68"/>
        <v>0</v>
      </c>
      <c r="AQ145">
        <f t="shared" si="68"/>
        <v>0</v>
      </c>
      <c r="AR145">
        <f t="shared" si="68"/>
        <v>0</v>
      </c>
      <c r="AS145">
        <f t="shared" si="68"/>
        <v>0</v>
      </c>
      <c r="AT145">
        <f t="shared" si="68"/>
        <v>0</v>
      </c>
      <c r="AU145">
        <f t="shared" si="68"/>
        <v>0</v>
      </c>
      <c r="AV145">
        <f t="shared" si="68"/>
        <v>0</v>
      </c>
      <c r="AW145">
        <f t="shared" si="68"/>
        <v>0</v>
      </c>
      <c r="AX145">
        <f t="shared" si="68"/>
        <v>0</v>
      </c>
      <c r="AY145">
        <f t="shared" si="68"/>
        <v>0</v>
      </c>
      <c r="AZ145">
        <f t="shared" si="68"/>
        <v>0</v>
      </c>
      <c r="BA145">
        <f t="shared" si="68"/>
        <v>0</v>
      </c>
      <c r="BB145">
        <f t="shared" si="68"/>
        <v>0</v>
      </c>
      <c r="BC145">
        <f t="shared" si="68"/>
        <v>0</v>
      </c>
      <c r="BD145">
        <f t="shared" si="68"/>
        <v>0</v>
      </c>
      <c r="BE145">
        <f t="shared" si="68"/>
        <v>0</v>
      </c>
      <c r="BF145">
        <f t="shared" si="68"/>
        <v>0</v>
      </c>
      <c r="BG145">
        <f t="shared" si="68"/>
        <v>0</v>
      </c>
      <c r="BH145">
        <f t="shared" si="68"/>
        <v>0</v>
      </c>
      <c r="BI145">
        <f t="shared" si="68"/>
        <v>0</v>
      </c>
      <c r="BJ145">
        <f t="shared" si="68"/>
        <v>0</v>
      </c>
      <c r="BK145">
        <f t="shared" si="68"/>
        <v>0</v>
      </c>
      <c r="BL145">
        <f t="shared" si="68"/>
        <v>0</v>
      </c>
      <c r="BM145">
        <f t="shared" si="68"/>
        <v>0</v>
      </c>
      <c r="BN145">
        <f t="shared" si="68"/>
        <v>0</v>
      </c>
      <c r="BO145">
        <f t="shared" si="68"/>
        <v>0</v>
      </c>
      <c r="BP145">
        <f t="shared" si="68"/>
        <v>0</v>
      </c>
      <c r="BQ145">
        <f t="shared" si="68"/>
        <v>0</v>
      </c>
      <c r="BR145">
        <f t="shared" si="68"/>
        <v>0</v>
      </c>
      <c r="BS145">
        <f t="shared" si="68"/>
        <v>0</v>
      </c>
      <c r="BT145">
        <f t="shared" si="68"/>
        <v>0</v>
      </c>
      <c r="BU145">
        <f t="shared" si="68"/>
        <v>0</v>
      </c>
      <c r="BV145">
        <f t="shared" si="68"/>
        <v>0</v>
      </c>
      <c r="BW145">
        <f t="shared" ref="BW145:EH145" si="69">BW131+BW134+BW137+BW140+BW143</f>
        <v>0</v>
      </c>
      <c r="BX145">
        <f t="shared" si="69"/>
        <v>0</v>
      </c>
      <c r="BY145">
        <f t="shared" si="69"/>
        <v>0</v>
      </c>
      <c r="BZ145">
        <f t="shared" si="69"/>
        <v>0</v>
      </c>
      <c r="CA145">
        <f t="shared" si="69"/>
        <v>0</v>
      </c>
      <c r="CB145">
        <f t="shared" si="69"/>
        <v>0</v>
      </c>
      <c r="CC145">
        <f t="shared" si="69"/>
        <v>0</v>
      </c>
      <c r="CD145">
        <f t="shared" si="69"/>
        <v>0</v>
      </c>
      <c r="CE145">
        <f t="shared" si="69"/>
        <v>0</v>
      </c>
      <c r="CF145">
        <f t="shared" si="69"/>
        <v>0</v>
      </c>
      <c r="CG145">
        <f t="shared" si="69"/>
        <v>0</v>
      </c>
      <c r="CH145">
        <f t="shared" si="69"/>
        <v>0</v>
      </c>
      <c r="CI145">
        <f t="shared" si="69"/>
        <v>0</v>
      </c>
      <c r="CJ145">
        <f t="shared" si="69"/>
        <v>0</v>
      </c>
      <c r="CK145">
        <f t="shared" si="69"/>
        <v>0</v>
      </c>
      <c r="CL145">
        <f t="shared" si="69"/>
        <v>0</v>
      </c>
      <c r="CM145">
        <f t="shared" si="69"/>
        <v>0</v>
      </c>
      <c r="CN145">
        <f t="shared" si="69"/>
        <v>0</v>
      </c>
      <c r="CO145">
        <f t="shared" si="69"/>
        <v>0</v>
      </c>
      <c r="CP145">
        <f t="shared" si="69"/>
        <v>0</v>
      </c>
      <c r="CQ145">
        <f t="shared" si="69"/>
        <v>0</v>
      </c>
      <c r="CR145">
        <f t="shared" si="69"/>
        <v>0</v>
      </c>
      <c r="CS145">
        <f t="shared" si="69"/>
        <v>0</v>
      </c>
      <c r="CT145">
        <f t="shared" si="69"/>
        <v>0</v>
      </c>
      <c r="CU145">
        <f t="shared" si="69"/>
        <v>0</v>
      </c>
      <c r="CV145">
        <f t="shared" si="69"/>
        <v>0</v>
      </c>
      <c r="CW145">
        <f t="shared" si="69"/>
        <v>0</v>
      </c>
      <c r="CX145">
        <f t="shared" si="69"/>
        <v>0</v>
      </c>
      <c r="CY145">
        <f t="shared" si="69"/>
        <v>0</v>
      </c>
      <c r="CZ145">
        <f t="shared" si="69"/>
        <v>0</v>
      </c>
      <c r="DA145">
        <f t="shared" si="69"/>
        <v>0</v>
      </c>
      <c r="DB145">
        <f t="shared" si="69"/>
        <v>0</v>
      </c>
      <c r="DC145">
        <f t="shared" si="69"/>
        <v>0</v>
      </c>
      <c r="DD145">
        <f t="shared" si="69"/>
        <v>0</v>
      </c>
      <c r="DE145">
        <f t="shared" si="69"/>
        <v>0</v>
      </c>
      <c r="DF145">
        <f t="shared" si="69"/>
        <v>0</v>
      </c>
      <c r="DG145">
        <f t="shared" si="69"/>
        <v>0</v>
      </c>
      <c r="DH145">
        <f t="shared" si="69"/>
        <v>0</v>
      </c>
      <c r="DI145">
        <f t="shared" si="69"/>
        <v>0</v>
      </c>
      <c r="DJ145">
        <f t="shared" si="69"/>
        <v>4</v>
      </c>
      <c r="DK145">
        <f t="shared" si="69"/>
        <v>2</v>
      </c>
      <c r="DL145">
        <f t="shared" si="69"/>
        <v>2</v>
      </c>
      <c r="DM145">
        <f t="shared" si="69"/>
        <v>0</v>
      </c>
      <c r="DN145">
        <f t="shared" si="69"/>
        <v>2</v>
      </c>
      <c r="DO145">
        <f t="shared" si="69"/>
        <v>1</v>
      </c>
      <c r="DP145">
        <f t="shared" si="69"/>
        <v>6</v>
      </c>
      <c r="DQ145">
        <f t="shared" si="69"/>
        <v>10</v>
      </c>
      <c r="DR145">
        <f t="shared" si="69"/>
        <v>12</v>
      </c>
      <c r="DS145">
        <f t="shared" si="69"/>
        <v>7</v>
      </c>
      <c r="DT145">
        <f t="shared" si="69"/>
        <v>5</v>
      </c>
      <c r="DU145">
        <f t="shared" si="69"/>
        <v>7</v>
      </c>
      <c r="DV145">
        <f t="shared" si="69"/>
        <v>4</v>
      </c>
      <c r="DW145">
        <f t="shared" si="69"/>
        <v>7</v>
      </c>
      <c r="DX145">
        <f t="shared" si="69"/>
        <v>4</v>
      </c>
      <c r="DY145">
        <f t="shared" si="69"/>
        <v>4</v>
      </c>
      <c r="DZ145">
        <f t="shared" si="69"/>
        <v>5</v>
      </c>
      <c r="EA145">
        <f t="shared" si="69"/>
        <v>6</v>
      </c>
      <c r="EB145">
        <f t="shared" si="69"/>
        <v>8</v>
      </c>
      <c r="EC145">
        <f t="shared" si="69"/>
        <v>6</v>
      </c>
      <c r="ED145">
        <f t="shared" si="69"/>
        <v>8</v>
      </c>
      <c r="EE145">
        <f t="shared" si="69"/>
        <v>7</v>
      </c>
      <c r="EF145">
        <f t="shared" si="69"/>
        <v>6</v>
      </c>
      <c r="EG145">
        <f t="shared" si="69"/>
        <v>7</v>
      </c>
      <c r="EH145">
        <f t="shared" si="69"/>
        <v>4</v>
      </c>
      <c r="EI145">
        <f t="shared" ref="EI145:FK145" si="70">EI131+EI134+EI137+EI140+EI143</f>
        <v>7</v>
      </c>
      <c r="EJ145">
        <f t="shared" si="70"/>
        <v>6</v>
      </c>
      <c r="EK145">
        <f t="shared" si="70"/>
        <v>6</v>
      </c>
      <c r="EL145">
        <f t="shared" si="70"/>
        <v>6</v>
      </c>
      <c r="EM145">
        <f t="shared" si="70"/>
        <v>5</v>
      </c>
      <c r="EN145">
        <f t="shared" si="70"/>
        <v>7</v>
      </c>
      <c r="EO145">
        <f t="shared" si="70"/>
        <v>16</v>
      </c>
      <c r="EP145">
        <f t="shared" si="70"/>
        <v>14</v>
      </c>
      <c r="EQ145">
        <f t="shared" si="70"/>
        <v>13</v>
      </c>
      <c r="ER145">
        <f t="shared" si="70"/>
        <v>20</v>
      </c>
      <c r="ES145">
        <f t="shared" si="70"/>
        <v>25</v>
      </c>
      <c r="ET145">
        <f t="shared" si="70"/>
        <v>28</v>
      </c>
      <c r="EU145">
        <f t="shared" si="70"/>
        <v>41</v>
      </c>
      <c r="EV145">
        <f t="shared" si="70"/>
        <v>29</v>
      </c>
      <c r="EW145">
        <f t="shared" si="70"/>
        <v>20</v>
      </c>
      <c r="EX145">
        <f t="shared" si="70"/>
        <v>27</v>
      </c>
      <c r="EY145">
        <f t="shared" si="70"/>
        <v>23</v>
      </c>
      <c r="EZ145">
        <f t="shared" si="70"/>
        <v>21</v>
      </c>
      <c r="FA145">
        <f t="shared" si="70"/>
        <v>23</v>
      </c>
      <c r="FB145">
        <f t="shared" si="70"/>
        <v>15</v>
      </c>
      <c r="FC145">
        <f t="shared" si="70"/>
        <v>32</v>
      </c>
      <c r="FD145">
        <f t="shared" si="70"/>
        <v>42</v>
      </c>
      <c r="FE145">
        <f t="shared" si="70"/>
        <v>30</v>
      </c>
      <c r="FF145">
        <f t="shared" si="70"/>
        <v>31</v>
      </c>
      <c r="FG145">
        <f t="shared" si="70"/>
        <v>33</v>
      </c>
      <c r="FH145">
        <f t="shared" si="70"/>
        <v>31</v>
      </c>
      <c r="FI145">
        <f t="shared" si="70"/>
        <v>32</v>
      </c>
      <c r="FJ145">
        <f t="shared" si="70"/>
        <v>39</v>
      </c>
      <c r="FK145">
        <f t="shared" si="70"/>
        <v>41</v>
      </c>
      <c r="FL145">
        <f t="shared" si="66"/>
        <v>50</v>
      </c>
      <c r="FM145">
        <f t="shared" ref="FM145:FU145" si="71">FM131+FM134+FM137+FM140+FM143</f>
        <v>85</v>
      </c>
      <c r="FN145">
        <f t="shared" si="71"/>
        <v>97</v>
      </c>
      <c r="FO145">
        <f t="shared" si="71"/>
        <v>107</v>
      </c>
      <c r="FP145">
        <f t="shared" si="71"/>
        <v>119</v>
      </c>
      <c r="FQ145">
        <f t="shared" si="71"/>
        <v>118</v>
      </c>
      <c r="FR145">
        <f t="shared" si="71"/>
        <v>143</v>
      </c>
      <c r="FS145">
        <f t="shared" si="71"/>
        <v>165</v>
      </c>
      <c r="FT145">
        <f t="shared" si="71"/>
        <v>399</v>
      </c>
      <c r="FU145">
        <f t="shared" si="71"/>
        <v>8822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seed1</vt:lpstr>
      <vt:lpstr>seed2</vt:lpstr>
      <vt:lpstr>seed3</vt:lpstr>
      <vt:lpstr>seed4</vt:lpstr>
      <vt:lpstr>seed5</vt:lpstr>
      <vt:lpstr>seed6</vt:lpstr>
      <vt:lpstr>average1-6</vt:lpstr>
      <vt:lpstr>Sheet8</vt:lpstr>
      <vt:lpstr>Sheet9</vt:lpstr>
      <vt:lpstr>評価１</vt:lpstr>
      <vt:lpstr>評価２</vt:lpstr>
      <vt:lpstr>評価３</vt:lpstr>
      <vt:lpstr>評価+a</vt:lpstr>
      <vt:lpstr>評価+a_dist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2024-01-08T03:43:01Z</dcterms:created>
  <dcterms:modified xsi:type="dcterms:W3CDTF">2024-12-12T23:50:49Z</dcterms:modified>
</cp:coreProperties>
</file>