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amashi/Documents/卒論/シミュレーション結果/"/>
    </mc:Choice>
  </mc:AlternateContent>
  <xr:revisionPtr revIDLastSave="0" documentId="13_ncr:1_{99F85BD7-2715-6046-AEA7-989E83D1442F}" xr6:coauthVersionLast="47" xr6:coauthVersionMax="47" xr10:uidLastSave="{00000000-0000-0000-0000-000000000000}"/>
  <bookViews>
    <workbookView xWindow="0" yWindow="0" windowWidth="28800" windowHeight="18000" activeTab="2" xr2:uid="{A403F2E7-8D75-5448-95FB-D84FFAD493B9}"/>
  </bookViews>
  <sheets>
    <sheet name="合流100" sheetId="1" r:id="rId1"/>
    <sheet name="合流200" sheetId="2" r:id="rId2"/>
    <sheet name="seed0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4" i="2" l="1"/>
  <c r="I14" i="2"/>
  <c r="K13" i="2"/>
  <c r="I13" i="2"/>
  <c r="K12" i="2"/>
  <c r="I12" i="2"/>
  <c r="K11" i="2"/>
  <c r="I11" i="2"/>
  <c r="K10" i="2"/>
  <c r="I10" i="2"/>
  <c r="K9" i="2"/>
  <c r="I9" i="2"/>
  <c r="K8" i="2"/>
  <c r="I8" i="2"/>
  <c r="K7" i="2"/>
  <c r="I7" i="2"/>
  <c r="K6" i="2"/>
  <c r="I6" i="2"/>
  <c r="K5" i="2"/>
  <c r="I5" i="2"/>
  <c r="K4" i="2"/>
  <c r="I4" i="2"/>
  <c r="K5" i="1"/>
  <c r="K6" i="1"/>
  <c r="K7" i="1"/>
  <c r="K8" i="1"/>
  <c r="K9" i="1"/>
  <c r="K10" i="1"/>
  <c r="K11" i="1"/>
  <c r="K12" i="1"/>
  <c r="K13" i="1"/>
  <c r="K14" i="1"/>
  <c r="I5" i="1"/>
  <c r="I6" i="1"/>
  <c r="I7" i="1"/>
  <c r="I8" i="1"/>
  <c r="I9" i="1"/>
  <c r="I10" i="1"/>
  <c r="I11" i="1"/>
  <c r="I12" i="1"/>
  <c r="I13" i="1"/>
  <c r="I14" i="1"/>
  <c r="K4" i="1"/>
  <c r="I4" i="1"/>
</calcChain>
</file>

<file path=xl/sharedStrings.xml><?xml version="1.0" encoding="utf-8"?>
<sst xmlns="http://schemas.openxmlformats.org/spreadsheetml/2006/main" count="70" uniqueCount="25">
  <si>
    <t>CAV_0とCAV_1に着目, 全範囲で平均算出</t>
  </si>
  <si>
    <t>走行車線に着目, 全範囲で平均算出</t>
  </si>
  <si>
    <t>走行車線に着目, 合流前のみで平均算出</t>
  </si>
  <si>
    <t>α</t>
  </si>
  <si>
    <t>vehicle0</t>
  </si>
  <si>
    <t>vehicle1</t>
  </si>
  <si>
    <t>all</t>
  </si>
  <si>
    <t>lane_0</t>
  </si>
  <si>
    <t>lane_1</t>
  </si>
  <si>
    <t>lane_0(CAV_0)</t>
  </si>
  <si>
    <t>lane_1(CAV_1)</t>
  </si>
  <si>
    <t>grep CAV_0</t>
  </si>
  <si>
    <t>grep CAV_1</t>
  </si>
  <si>
    <t>cat</t>
  </si>
  <si>
    <t>grep main_0</t>
  </si>
  <si>
    <t>grep main_1</t>
  </si>
  <si>
    <t>grep main_0 + -v</t>
  </si>
  <si>
    <t>grep main_1 + -v</t>
  </si>
  <si>
    <t>算出方法が違っている</t>
    <rPh sb="0" eb="4">
      <t>サンシュテゥ</t>
    </rPh>
    <rPh sb="5" eb="6">
      <t>チガッテ</t>
    </rPh>
    <phoneticPr fontId="1"/>
  </si>
  <si>
    <t>(~200mまでで平均算出)</t>
    <rPh sb="9" eb="13">
      <t>ヘイキ</t>
    </rPh>
    <phoneticPr fontId="1"/>
  </si>
  <si>
    <t>α</t>
    <phoneticPr fontId="1"/>
  </si>
  <si>
    <t>merge100</t>
    <phoneticPr fontId="1"/>
  </si>
  <si>
    <t>merge200</t>
    <phoneticPr fontId="1"/>
  </si>
  <si>
    <t>合流100</t>
    <rPh sb="0" eb="2">
      <t>ゴウリュウ</t>
    </rPh>
    <phoneticPr fontId="1"/>
  </si>
  <si>
    <t>合流200</t>
    <rPh sb="0" eb="2">
      <t>ゴウリュウ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</si>
</sst>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rgb="FF000000"/>
      <name val="游ゴシック"/>
      <family val="3"/>
      <charset val="128"/>
      <scheme val="minor"/>
    </font>
    <font>
      <sz val="12"/>
      <color theme="1"/>
      <name val="游ゴシック"/>
      <family val="3"/>
      <charset val="128"/>
      <scheme val="minor"/>
    </font>
    <font>
      <sz val="12"/>
      <color rgb="FF92D050"/>
      <name val="游ゴシック"/>
      <family val="3"/>
      <charset val="128"/>
      <scheme val="minor"/>
    </font>
    <font>
      <sz val="12"/>
      <color rgb="FF92D050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2" fillId="0" borderId="0" xfId="0" applyFont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FF8B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図：合流開始</a:t>
            </a:r>
            <a:r>
              <a:rPr lang="en-US" altLang="ja-JP"/>
              <a:t>100m</a:t>
            </a:r>
            <a:r>
              <a:rPr lang="ja-JP" altLang="en-US"/>
              <a:t>（</a:t>
            </a:r>
            <a:r>
              <a:rPr lang="en-US" altLang="ja-JP"/>
              <a:t>seed1</a:t>
            </a:r>
            <a:r>
              <a:rPr lang="ja-JP" altLang="en-US"/>
              <a:t>）</a:t>
            </a:r>
          </a:p>
        </c:rich>
      </c:tx>
      <c:layout>
        <c:manualLayout>
          <c:xMode val="edge"/>
          <c:yMode val="edge"/>
          <c:x val="0.28268044619422572"/>
          <c:y val="0.8564814814814815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10546981627296588"/>
          <c:y val="8.0625182268883044E-2"/>
          <c:w val="0.8481552930883639"/>
          <c:h val="0.63199803149606293"/>
        </c:manualLayout>
      </c:layout>
      <c:scatterChart>
        <c:scatterStyle val="lineMarker"/>
        <c:varyColors val="0"/>
        <c:ser>
          <c:idx val="0"/>
          <c:order val="0"/>
          <c:tx>
            <c:strRef>
              <c:f>合流100!$C$3</c:f>
              <c:strCache>
                <c:ptCount val="1"/>
                <c:pt idx="0">
                  <c:v>vehicle0</c:v>
                </c:pt>
              </c:strCache>
            </c:strRef>
          </c:tx>
          <c:spPr>
            <a:ln w="19050" cap="rnd">
              <a:solidFill>
                <a:srgbClr val="FF8B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8B00"/>
              </a:solidFill>
              <a:ln w="9525">
                <a:solidFill>
                  <a:srgbClr val="FF8B00"/>
                </a:solidFill>
              </a:ln>
              <a:effectLst/>
            </c:spPr>
          </c:marker>
          <c:xVal>
            <c:numRef>
              <c:f>合流100!$B$4:$B$14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xVal>
          <c:yVal>
            <c:numRef>
              <c:f>合流100!$C$4:$C$14</c:f>
              <c:numCache>
                <c:formatCode>General</c:formatCode>
                <c:ptCount val="11"/>
                <c:pt idx="0">
                  <c:v>12.2179</c:v>
                </c:pt>
                <c:pt idx="1">
                  <c:v>12.160600000000001</c:v>
                </c:pt>
                <c:pt idx="2">
                  <c:v>11.652100000000001</c:v>
                </c:pt>
                <c:pt idx="3">
                  <c:v>11.526400000000001</c:v>
                </c:pt>
                <c:pt idx="4">
                  <c:v>11.107900000000001</c:v>
                </c:pt>
                <c:pt idx="5">
                  <c:v>11.107900000000001</c:v>
                </c:pt>
                <c:pt idx="6">
                  <c:v>11.0855</c:v>
                </c:pt>
                <c:pt idx="7">
                  <c:v>10.9337</c:v>
                </c:pt>
                <c:pt idx="8">
                  <c:v>10.9337</c:v>
                </c:pt>
                <c:pt idx="9">
                  <c:v>10.9337</c:v>
                </c:pt>
                <c:pt idx="10">
                  <c:v>10.9337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1F4-914C-934B-C9BC642559DE}"/>
            </c:ext>
          </c:extLst>
        </c:ser>
        <c:ser>
          <c:idx val="1"/>
          <c:order val="1"/>
          <c:tx>
            <c:strRef>
              <c:f>合流100!$D$3</c:f>
              <c:strCache>
                <c:ptCount val="1"/>
                <c:pt idx="0">
                  <c:v>vehicle1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合流100!$B$4:$B$14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xVal>
          <c:yVal>
            <c:numRef>
              <c:f>合流100!$D$4:$D$14</c:f>
              <c:numCache>
                <c:formatCode>General</c:formatCode>
                <c:ptCount val="11"/>
                <c:pt idx="0">
                  <c:v>14.316800000000001</c:v>
                </c:pt>
                <c:pt idx="1">
                  <c:v>14.789300000000001</c:v>
                </c:pt>
                <c:pt idx="2">
                  <c:v>14.8506</c:v>
                </c:pt>
                <c:pt idx="3">
                  <c:v>16.0991</c:v>
                </c:pt>
                <c:pt idx="4">
                  <c:v>16.581499999999998</c:v>
                </c:pt>
                <c:pt idx="5">
                  <c:v>16.581499999999998</c:v>
                </c:pt>
                <c:pt idx="6">
                  <c:v>16.619299999999999</c:v>
                </c:pt>
                <c:pt idx="7">
                  <c:v>16.670000000000002</c:v>
                </c:pt>
                <c:pt idx="8">
                  <c:v>16.670000000000002</c:v>
                </c:pt>
                <c:pt idx="9">
                  <c:v>16.670000000000002</c:v>
                </c:pt>
                <c:pt idx="10">
                  <c:v>16.670000000000002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1F4-914C-934B-C9BC642559DE}"/>
            </c:ext>
          </c:extLst>
        </c:ser>
        <c:ser>
          <c:idx val="2"/>
          <c:order val="2"/>
          <c:tx>
            <c:strRef>
              <c:f>合流100!$E$3</c:f>
              <c:strCache>
                <c:ptCount val="1"/>
                <c:pt idx="0">
                  <c:v>all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合流100!$B$4:$B$14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xVal>
          <c:yVal>
            <c:numRef>
              <c:f>合流100!$E$4:$E$14</c:f>
              <c:numCache>
                <c:formatCode>General</c:formatCode>
                <c:ptCount val="11"/>
                <c:pt idx="0">
                  <c:v>13.157999999999999</c:v>
                </c:pt>
                <c:pt idx="1">
                  <c:v>13.337999999999999</c:v>
                </c:pt>
                <c:pt idx="2">
                  <c:v>13.0923</c:v>
                </c:pt>
                <c:pt idx="3">
                  <c:v>13.522399999999999</c:v>
                </c:pt>
                <c:pt idx="4">
                  <c:v>13.4648</c:v>
                </c:pt>
                <c:pt idx="5">
                  <c:v>13.4648</c:v>
                </c:pt>
                <c:pt idx="6">
                  <c:v>13.468299999999999</c:v>
                </c:pt>
                <c:pt idx="7">
                  <c:v>13.403700000000001</c:v>
                </c:pt>
                <c:pt idx="8">
                  <c:v>13.403700000000001</c:v>
                </c:pt>
                <c:pt idx="9">
                  <c:v>13.403700000000001</c:v>
                </c:pt>
                <c:pt idx="10">
                  <c:v>13.403700000000001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1F4-914C-934B-C9BC642559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6104735"/>
        <c:axId val="1942761311"/>
      </c:scatterChart>
      <c:valAx>
        <c:axId val="1186104735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α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942761311"/>
        <c:crosses val="autoZero"/>
        <c:crossBetween val="midCat"/>
      </c:valAx>
      <c:valAx>
        <c:axId val="1942761311"/>
        <c:scaling>
          <c:orientation val="minMax"/>
          <c:min val="6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average</a:t>
                </a:r>
                <a:r>
                  <a:rPr lang="en-US" altLang="ja-JP" baseline="0"/>
                  <a:t> _speed [m/s]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86104735"/>
        <c:crosses val="autoZero"/>
        <c:crossBetween val="midCat"/>
      </c:valAx>
      <c:spPr>
        <a:noFill/>
        <a:ln>
          <a:solidFill>
            <a:schemeClr val="bg1">
              <a:lumMod val="7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11787707786526684"/>
          <c:y val="0.48668926800816564"/>
          <c:w val="0.20591229221347335"/>
          <c:h val="0.221644065325167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図：合流開始</a:t>
            </a:r>
            <a:r>
              <a:rPr lang="en-US" altLang="ja-JP"/>
              <a:t>200m</a:t>
            </a:r>
            <a:r>
              <a:rPr lang="ja-JP" altLang="en-US"/>
              <a:t>（</a:t>
            </a:r>
            <a:r>
              <a:rPr lang="en-US" altLang="ja-JP"/>
              <a:t>seed1</a:t>
            </a:r>
            <a:r>
              <a:rPr lang="ja-JP" altLang="en-US"/>
              <a:t>）</a:t>
            </a:r>
          </a:p>
        </c:rich>
      </c:tx>
      <c:layout>
        <c:manualLayout>
          <c:xMode val="edge"/>
          <c:yMode val="edge"/>
          <c:x val="0.2576804461942257"/>
          <c:y val="0.87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10269203849518811"/>
          <c:y val="7.1365923009623772E-2"/>
          <c:w val="0.8481552930883639"/>
          <c:h val="0.68755358705161851"/>
        </c:manualLayout>
      </c:layout>
      <c:scatterChart>
        <c:scatterStyle val="lineMarker"/>
        <c:varyColors val="0"/>
        <c:ser>
          <c:idx val="0"/>
          <c:order val="0"/>
          <c:tx>
            <c:strRef>
              <c:f>合流200!$C$3</c:f>
              <c:strCache>
                <c:ptCount val="1"/>
                <c:pt idx="0">
                  <c:v>vehicle0</c:v>
                </c:pt>
              </c:strCache>
            </c:strRef>
          </c:tx>
          <c:spPr>
            <a:ln w="19050" cap="rnd">
              <a:solidFill>
                <a:srgbClr val="FF8B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8B00"/>
              </a:solidFill>
              <a:ln w="9525">
                <a:solidFill>
                  <a:srgbClr val="FF8B00"/>
                </a:solidFill>
              </a:ln>
              <a:effectLst/>
            </c:spPr>
          </c:marker>
          <c:xVal>
            <c:numRef>
              <c:f>合流200!$B$4:$B$14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xVal>
          <c:yVal>
            <c:numRef>
              <c:f>合流200!$C$4:$C$14</c:f>
              <c:numCache>
                <c:formatCode>General</c:formatCode>
                <c:ptCount val="11"/>
                <c:pt idx="0">
                  <c:v>11.5436</c:v>
                </c:pt>
                <c:pt idx="1">
                  <c:v>11.536</c:v>
                </c:pt>
                <c:pt idx="2">
                  <c:v>11.371499999999999</c:v>
                </c:pt>
                <c:pt idx="3">
                  <c:v>10.048400000000001</c:v>
                </c:pt>
                <c:pt idx="4">
                  <c:v>10.048400000000001</c:v>
                </c:pt>
                <c:pt idx="5">
                  <c:v>10.048400000000001</c:v>
                </c:pt>
                <c:pt idx="6">
                  <c:v>8.8981899999999996</c:v>
                </c:pt>
                <c:pt idx="7">
                  <c:v>8.8981899999999996</c:v>
                </c:pt>
                <c:pt idx="8">
                  <c:v>8.8981899999999996</c:v>
                </c:pt>
                <c:pt idx="9">
                  <c:v>8.8981899999999996</c:v>
                </c:pt>
                <c:pt idx="10">
                  <c:v>8.8981899999999996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C15-3944-83B3-280989EB1FE9}"/>
            </c:ext>
          </c:extLst>
        </c:ser>
        <c:ser>
          <c:idx val="1"/>
          <c:order val="1"/>
          <c:tx>
            <c:strRef>
              <c:f>合流200!$D$3</c:f>
              <c:strCache>
                <c:ptCount val="1"/>
                <c:pt idx="0">
                  <c:v>vehicle1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合流200!$B$4:$B$14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xVal>
          <c:yVal>
            <c:numRef>
              <c:f>合流200!$D$4:$D$14</c:f>
              <c:numCache>
                <c:formatCode>General</c:formatCode>
                <c:ptCount val="11"/>
                <c:pt idx="0">
                  <c:v>14.1593</c:v>
                </c:pt>
                <c:pt idx="1">
                  <c:v>14.0358</c:v>
                </c:pt>
                <c:pt idx="2">
                  <c:v>15.750299999999999</c:v>
                </c:pt>
                <c:pt idx="3">
                  <c:v>16.531500000000001</c:v>
                </c:pt>
                <c:pt idx="4">
                  <c:v>16.531500000000001</c:v>
                </c:pt>
                <c:pt idx="5">
                  <c:v>16.531500000000001</c:v>
                </c:pt>
                <c:pt idx="6">
                  <c:v>16.5777</c:v>
                </c:pt>
                <c:pt idx="7">
                  <c:v>16.5777</c:v>
                </c:pt>
                <c:pt idx="8">
                  <c:v>16.5777</c:v>
                </c:pt>
                <c:pt idx="9">
                  <c:v>16.5777</c:v>
                </c:pt>
                <c:pt idx="10">
                  <c:v>16.5777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C15-3944-83B3-280989EB1FE9}"/>
            </c:ext>
          </c:extLst>
        </c:ser>
        <c:ser>
          <c:idx val="2"/>
          <c:order val="2"/>
          <c:tx>
            <c:strRef>
              <c:f>合流200!$E$3</c:f>
              <c:strCache>
                <c:ptCount val="1"/>
                <c:pt idx="0">
                  <c:v>all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合流200!$B$4:$B$14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xVal>
          <c:yVal>
            <c:numRef>
              <c:f>合流200!$E$4:$E$14</c:f>
              <c:numCache>
                <c:formatCode>General</c:formatCode>
                <c:ptCount val="11"/>
                <c:pt idx="0">
                  <c:v>12.737</c:v>
                </c:pt>
                <c:pt idx="1">
                  <c:v>12.6974</c:v>
                </c:pt>
                <c:pt idx="2">
                  <c:v>13.308199999999999</c:v>
                </c:pt>
                <c:pt idx="3">
                  <c:v>12.825799999999999</c:v>
                </c:pt>
                <c:pt idx="4">
                  <c:v>12.825799999999999</c:v>
                </c:pt>
                <c:pt idx="5">
                  <c:v>12.825799999999999</c:v>
                </c:pt>
                <c:pt idx="6">
                  <c:v>12.0359</c:v>
                </c:pt>
                <c:pt idx="7">
                  <c:v>12.0359</c:v>
                </c:pt>
                <c:pt idx="8">
                  <c:v>12.0359</c:v>
                </c:pt>
                <c:pt idx="9">
                  <c:v>12.0359</c:v>
                </c:pt>
                <c:pt idx="10">
                  <c:v>12.0359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C15-3944-83B3-280989EB1F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1718175"/>
        <c:axId val="1991668831"/>
      </c:scatterChart>
      <c:valAx>
        <c:axId val="1991718175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α</a:t>
                </a:r>
                <a:endParaRPr lang="ja-JP" altLang="en-US"/>
              </a:p>
            </c:rich>
          </c:tx>
          <c:layout>
            <c:manualLayout>
              <c:xMode val="edge"/>
              <c:yMode val="edge"/>
              <c:x val="0.51888757655293083"/>
              <c:y val="0.8200226013414989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991668831"/>
        <c:crosses val="autoZero"/>
        <c:crossBetween val="midCat"/>
      </c:valAx>
      <c:valAx>
        <c:axId val="1991668831"/>
        <c:scaling>
          <c:orientation val="minMax"/>
          <c:min val="6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average_speed</a:t>
                </a:r>
                <a:r>
                  <a:rPr lang="en-US" altLang="ja-JP" baseline="0"/>
                  <a:t> [m/s]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991718175"/>
        <c:crosses val="autoZero"/>
        <c:crossBetween val="midCat"/>
      </c:valAx>
      <c:spPr>
        <a:noFill/>
        <a:ln>
          <a:solidFill>
            <a:schemeClr val="bg1">
              <a:lumMod val="7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1078888888888889"/>
          <c:y val="0.53761519393409163"/>
          <c:w val="0.22535673665791781"/>
          <c:h val="0.1938662875473898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 sz="1100"/>
              <a:t>図：合流位置の変化に対する平均速度の変化（</a:t>
            </a:r>
            <a:r>
              <a:rPr lang="en-US" altLang="ja-JP" sz="1100"/>
              <a:t>seed1</a:t>
            </a:r>
            <a:r>
              <a:rPr lang="ja-JP" altLang="en-US" sz="1100"/>
              <a:t>）</a:t>
            </a:r>
          </a:p>
        </c:rich>
      </c:tx>
      <c:layout>
        <c:manualLayout>
          <c:xMode val="edge"/>
          <c:yMode val="edge"/>
          <c:x val="0.12777777777777777"/>
          <c:y val="0.8558333333333335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14445603674540683"/>
          <c:y val="8.8287037037037039E-2"/>
          <c:w val="0.81865507436570428"/>
          <c:h val="0.60023877223680377"/>
        </c:manualLayout>
      </c:layout>
      <c:scatterChart>
        <c:scatterStyle val="lineMarker"/>
        <c:varyColors val="0"/>
        <c:ser>
          <c:idx val="0"/>
          <c:order val="0"/>
          <c:tx>
            <c:strRef>
              <c:f>合流200!$K$26</c:f>
              <c:strCache>
                <c:ptCount val="1"/>
                <c:pt idx="0">
                  <c:v>merge100</c:v>
                </c:pt>
              </c:strCache>
            </c:strRef>
          </c:tx>
          <c:spPr>
            <a:ln w="19050" cap="rnd">
              <a:solidFill>
                <a:srgbClr val="7030A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7030A0"/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合流200!$J$27:$J$37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xVal>
          <c:yVal>
            <c:numRef>
              <c:f>合流200!$K$27:$K$37</c:f>
              <c:numCache>
                <c:formatCode>General</c:formatCode>
                <c:ptCount val="11"/>
                <c:pt idx="0">
                  <c:v>13.157999999999999</c:v>
                </c:pt>
                <c:pt idx="1">
                  <c:v>13.337999999999999</c:v>
                </c:pt>
                <c:pt idx="2">
                  <c:v>13.0923</c:v>
                </c:pt>
                <c:pt idx="3">
                  <c:v>13.522399999999999</c:v>
                </c:pt>
                <c:pt idx="4">
                  <c:v>13.4648</c:v>
                </c:pt>
                <c:pt idx="5">
                  <c:v>13.4648</c:v>
                </c:pt>
                <c:pt idx="6">
                  <c:v>13.468299999999999</c:v>
                </c:pt>
                <c:pt idx="7">
                  <c:v>13.403700000000001</c:v>
                </c:pt>
                <c:pt idx="8">
                  <c:v>13.403700000000001</c:v>
                </c:pt>
                <c:pt idx="9">
                  <c:v>13.403700000000001</c:v>
                </c:pt>
                <c:pt idx="10">
                  <c:v>13.403700000000001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B2B-784F-A3D2-FB4B0EE8C8F1}"/>
            </c:ext>
          </c:extLst>
        </c:ser>
        <c:ser>
          <c:idx val="1"/>
          <c:order val="1"/>
          <c:tx>
            <c:strRef>
              <c:f>合流200!$L$26</c:f>
              <c:strCache>
                <c:ptCount val="1"/>
                <c:pt idx="0">
                  <c:v>merge200</c:v>
                </c:pt>
              </c:strCache>
            </c:strRef>
          </c:tx>
          <c:spPr>
            <a:ln w="19050" cap="rnd">
              <a:solidFill>
                <a:srgbClr val="92D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92D050"/>
              </a:solidFill>
              <a:ln w="9525">
                <a:solidFill>
                  <a:srgbClr val="92D050"/>
                </a:solidFill>
              </a:ln>
              <a:effectLst/>
            </c:spPr>
          </c:marker>
          <c:xVal>
            <c:numRef>
              <c:f>合流200!$J$27:$J$37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xVal>
          <c:yVal>
            <c:numRef>
              <c:f>合流200!$L$27:$L$37</c:f>
              <c:numCache>
                <c:formatCode>General</c:formatCode>
                <c:ptCount val="11"/>
                <c:pt idx="0">
                  <c:v>12.737</c:v>
                </c:pt>
                <c:pt idx="1">
                  <c:v>12.6974</c:v>
                </c:pt>
                <c:pt idx="2">
                  <c:v>13.308199999999999</c:v>
                </c:pt>
                <c:pt idx="3">
                  <c:v>12.825799999999999</c:v>
                </c:pt>
                <c:pt idx="4">
                  <c:v>12.825799999999999</c:v>
                </c:pt>
                <c:pt idx="5">
                  <c:v>12.825799999999999</c:v>
                </c:pt>
                <c:pt idx="6">
                  <c:v>12.0359</c:v>
                </c:pt>
                <c:pt idx="7">
                  <c:v>12.0359</c:v>
                </c:pt>
                <c:pt idx="8">
                  <c:v>12.0359</c:v>
                </c:pt>
                <c:pt idx="9">
                  <c:v>12.0359</c:v>
                </c:pt>
                <c:pt idx="10">
                  <c:v>12.0359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B2B-784F-A3D2-FB4B0EE8C8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0094991"/>
        <c:axId val="1426008255"/>
      </c:scatterChart>
      <c:valAx>
        <c:axId val="1020094991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α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426008255"/>
        <c:crosses val="autoZero"/>
        <c:crossBetween val="midCat"/>
      </c:valAx>
      <c:valAx>
        <c:axId val="1426008255"/>
        <c:scaling>
          <c:orientation val="minMax"/>
          <c:max val="15"/>
          <c:min val="11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average_speed</a:t>
                </a:r>
                <a:r>
                  <a:rPr lang="en-US" altLang="ja-JP" baseline="0"/>
                  <a:t> [m/s]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20094991"/>
        <c:crosses val="autoZero"/>
        <c:crossBetween val="midCat"/>
      </c:valAx>
      <c:spPr>
        <a:noFill/>
        <a:ln>
          <a:solidFill>
            <a:schemeClr val="bg1">
              <a:lumMod val="7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15987204724409451"/>
          <c:y val="0.51909667541557303"/>
          <c:w val="0.19414457567804028"/>
          <c:h val="0.1521996208807232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図：合流位置</a:t>
            </a:r>
            <a:r>
              <a:rPr lang="en-US" altLang="ja-JP"/>
              <a:t>100m</a:t>
            </a:r>
            <a:r>
              <a:rPr lang="ja-JP" altLang="en-US"/>
              <a:t>（</a:t>
            </a:r>
            <a:r>
              <a:rPr lang="en-US" altLang="ja-JP"/>
              <a:t>seed0</a:t>
            </a:r>
            <a:r>
              <a:rPr lang="ja-JP" altLang="en-US"/>
              <a:t>）</a:t>
            </a:r>
          </a:p>
        </c:rich>
      </c:tx>
      <c:layout>
        <c:manualLayout>
          <c:xMode val="edge"/>
          <c:yMode val="edge"/>
          <c:x val="0.24121522309711285"/>
          <c:y val="0.8703703703703703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10824759405074368"/>
          <c:y val="7.5995552639253422E-2"/>
          <c:w val="0.85764129483814533"/>
          <c:h val="0.63662766112569258"/>
        </c:manualLayout>
      </c:layout>
      <c:scatterChart>
        <c:scatterStyle val="lineMarker"/>
        <c:varyColors val="0"/>
        <c:ser>
          <c:idx val="0"/>
          <c:order val="0"/>
          <c:tx>
            <c:strRef>
              <c:f>seed0!$C$3</c:f>
              <c:strCache>
                <c:ptCount val="1"/>
                <c:pt idx="0">
                  <c:v>vehicle0</c:v>
                </c:pt>
              </c:strCache>
            </c:strRef>
          </c:tx>
          <c:spPr>
            <a:ln w="19050" cap="rnd">
              <a:solidFill>
                <a:srgbClr val="FF8B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8B00"/>
              </a:solidFill>
              <a:ln w="9525">
                <a:solidFill>
                  <a:srgbClr val="FF8B00"/>
                </a:solidFill>
              </a:ln>
              <a:effectLst/>
            </c:spPr>
          </c:marker>
          <c:xVal>
            <c:numRef>
              <c:f>seed0!$B$4:$B$14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xVal>
          <c:yVal>
            <c:numRef>
              <c:f>seed0!$C$4:$C$14</c:f>
              <c:numCache>
                <c:formatCode>General</c:formatCode>
                <c:ptCount val="11"/>
                <c:pt idx="0">
                  <c:v>13.371600000000001</c:v>
                </c:pt>
                <c:pt idx="1">
                  <c:v>13.7654</c:v>
                </c:pt>
                <c:pt idx="2">
                  <c:v>12.925000000000001</c:v>
                </c:pt>
                <c:pt idx="3">
                  <c:v>12.051500000000001</c:v>
                </c:pt>
                <c:pt idx="4">
                  <c:v>11.384499999999999</c:v>
                </c:pt>
                <c:pt idx="5">
                  <c:v>11.382099999999999</c:v>
                </c:pt>
                <c:pt idx="6">
                  <c:v>11.382099999999999</c:v>
                </c:pt>
                <c:pt idx="7">
                  <c:v>11.382099999999999</c:v>
                </c:pt>
                <c:pt idx="8">
                  <c:v>11.382099999999999</c:v>
                </c:pt>
                <c:pt idx="9">
                  <c:v>11.382099999999999</c:v>
                </c:pt>
                <c:pt idx="10">
                  <c:v>11.382099999999999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60E-3B45-95C4-015DF06D5118}"/>
            </c:ext>
          </c:extLst>
        </c:ser>
        <c:ser>
          <c:idx val="1"/>
          <c:order val="1"/>
          <c:tx>
            <c:strRef>
              <c:f>seed0!$D$3</c:f>
              <c:strCache>
                <c:ptCount val="1"/>
                <c:pt idx="0">
                  <c:v>vehicle1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seed0!$B$4:$B$14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xVal>
          <c:yVal>
            <c:numRef>
              <c:f>seed0!$D$4:$D$14</c:f>
              <c:numCache>
                <c:formatCode>General</c:formatCode>
                <c:ptCount val="11"/>
                <c:pt idx="0">
                  <c:v>15.0291</c:v>
                </c:pt>
                <c:pt idx="1">
                  <c:v>15.3637</c:v>
                </c:pt>
                <c:pt idx="2">
                  <c:v>16.002199999999998</c:v>
                </c:pt>
                <c:pt idx="3">
                  <c:v>15.7593</c:v>
                </c:pt>
                <c:pt idx="4">
                  <c:v>16.665700000000001</c:v>
                </c:pt>
                <c:pt idx="5">
                  <c:v>16.670000000000002</c:v>
                </c:pt>
                <c:pt idx="6">
                  <c:v>16.670000000000002</c:v>
                </c:pt>
                <c:pt idx="7">
                  <c:v>16.670000000000002</c:v>
                </c:pt>
                <c:pt idx="8">
                  <c:v>16.670000000000002</c:v>
                </c:pt>
                <c:pt idx="9">
                  <c:v>16.670000000000002</c:v>
                </c:pt>
                <c:pt idx="10">
                  <c:v>16.670000000000002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60E-3B45-95C4-015DF06D5118}"/>
            </c:ext>
          </c:extLst>
        </c:ser>
        <c:ser>
          <c:idx val="2"/>
          <c:order val="2"/>
          <c:tx>
            <c:strRef>
              <c:f>seed0!$E$3</c:f>
              <c:strCache>
                <c:ptCount val="1"/>
                <c:pt idx="0">
                  <c:v>all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seed0!$B$4:$B$14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xVal>
          <c:yVal>
            <c:numRef>
              <c:f>seed0!$E$4:$E$14</c:f>
              <c:numCache>
                <c:formatCode>General</c:formatCode>
                <c:ptCount val="11"/>
                <c:pt idx="0">
                  <c:v>14.1426</c:v>
                </c:pt>
                <c:pt idx="1">
                  <c:v>14.5174</c:v>
                </c:pt>
                <c:pt idx="2">
                  <c:v>14.354699999999999</c:v>
                </c:pt>
                <c:pt idx="3">
                  <c:v>13.7532</c:v>
                </c:pt>
                <c:pt idx="4">
                  <c:v>13.66</c:v>
                </c:pt>
                <c:pt idx="5">
                  <c:v>13.659700000000001</c:v>
                </c:pt>
                <c:pt idx="6">
                  <c:v>13.659700000000001</c:v>
                </c:pt>
                <c:pt idx="7">
                  <c:v>13.659700000000001</c:v>
                </c:pt>
                <c:pt idx="8">
                  <c:v>13.659700000000001</c:v>
                </c:pt>
                <c:pt idx="9">
                  <c:v>13.659700000000001</c:v>
                </c:pt>
                <c:pt idx="10">
                  <c:v>13.659700000000001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60E-3B45-95C4-015DF06D51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4829279"/>
        <c:axId val="1186436751"/>
      </c:scatterChart>
      <c:valAx>
        <c:axId val="1734829279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α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86436751"/>
        <c:crosses val="autoZero"/>
        <c:crossBetween val="midCat"/>
      </c:valAx>
      <c:valAx>
        <c:axId val="1186436751"/>
        <c:scaling>
          <c:orientation val="minMax"/>
          <c:min val="6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average_speed</a:t>
                </a:r>
                <a:r>
                  <a:rPr lang="en-US" altLang="ja-JP" baseline="0"/>
                  <a:t> [m/s]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34829279"/>
        <c:crosses val="autoZero"/>
        <c:crossBetween val="midCat"/>
      </c:valAx>
      <c:spPr>
        <a:noFill/>
        <a:ln>
          <a:solidFill>
            <a:schemeClr val="bg1">
              <a:lumMod val="7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12343263342082239"/>
          <c:y val="0.45891149023038785"/>
          <c:w val="0.22535673665791781"/>
          <c:h val="0.2309033245844269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図：合流位置</a:t>
            </a:r>
            <a:r>
              <a:rPr lang="en-US" altLang="ja-JP"/>
              <a:t>200m</a:t>
            </a:r>
            <a:r>
              <a:rPr lang="ja-JP" altLang="en-US"/>
              <a:t>（</a:t>
            </a:r>
            <a:r>
              <a:rPr lang="en-US" altLang="ja-JP"/>
              <a:t>seed0</a:t>
            </a:r>
            <a:r>
              <a:rPr lang="ja-JP" altLang="en-US"/>
              <a:t>）</a:t>
            </a:r>
          </a:p>
        </c:rich>
      </c:tx>
      <c:layout>
        <c:manualLayout>
          <c:xMode val="edge"/>
          <c:yMode val="edge"/>
          <c:x val="0.25232633420822398"/>
          <c:y val="0.8611111111111111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9.991426071741033E-2"/>
          <c:y val="6.6736293379994163E-2"/>
          <c:w val="0.86041907261592299"/>
          <c:h val="0.63199803149606293"/>
        </c:manualLayout>
      </c:layout>
      <c:scatterChart>
        <c:scatterStyle val="lineMarker"/>
        <c:varyColors val="0"/>
        <c:ser>
          <c:idx val="0"/>
          <c:order val="0"/>
          <c:tx>
            <c:strRef>
              <c:f>seed0!$H$3</c:f>
              <c:strCache>
                <c:ptCount val="1"/>
                <c:pt idx="0">
                  <c:v>vehicle0</c:v>
                </c:pt>
              </c:strCache>
            </c:strRef>
          </c:tx>
          <c:spPr>
            <a:ln w="19050" cap="rnd">
              <a:solidFill>
                <a:srgbClr val="FF8B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8B00"/>
              </a:solidFill>
              <a:ln w="9525">
                <a:solidFill>
                  <a:srgbClr val="FF8B00"/>
                </a:solidFill>
              </a:ln>
              <a:effectLst/>
            </c:spPr>
          </c:marker>
          <c:xVal>
            <c:numRef>
              <c:f>seed0!$G$4:$G$14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xVal>
          <c:yVal>
            <c:numRef>
              <c:f>seed0!$H$4:$H$14</c:f>
              <c:numCache>
                <c:formatCode>General</c:formatCode>
                <c:ptCount val="11"/>
                <c:pt idx="0">
                  <c:v>12.629300000000001</c:v>
                </c:pt>
                <c:pt idx="1">
                  <c:v>12.4085</c:v>
                </c:pt>
                <c:pt idx="2">
                  <c:v>10.789899999999999</c:v>
                </c:pt>
                <c:pt idx="3">
                  <c:v>10.6576</c:v>
                </c:pt>
                <c:pt idx="4">
                  <c:v>9.0151599999999998</c:v>
                </c:pt>
                <c:pt idx="5">
                  <c:v>11.2463</c:v>
                </c:pt>
                <c:pt idx="6">
                  <c:v>9.8382299999999994</c:v>
                </c:pt>
                <c:pt idx="7">
                  <c:v>8.1286900000000006</c:v>
                </c:pt>
                <c:pt idx="8">
                  <c:v>8.1286900000000006</c:v>
                </c:pt>
                <c:pt idx="9">
                  <c:v>8.1286900000000006</c:v>
                </c:pt>
                <c:pt idx="10">
                  <c:v>8.1286900000000006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D89-D948-A4E3-8038CAF4CC50}"/>
            </c:ext>
          </c:extLst>
        </c:ser>
        <c:ser>
          <c:idx val="1"/>
          <c:order val="1"/>
          <c:tx>
            <c:strRef>
              <c:f>seed0!$I$3</c:f>
              <c:strCache>
                <c:ptCount val="1"/>
                <c:pt idx="0">
                  <c:v>vehicle1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seed0!$G$4:$G$14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xVal>
          <c:yVal>
            <c:numRef>
              <c:f>seed0!$I$4:$I$14</c:f>
              <c:numCache>
                <c:formatCode>General</c:formatCode>
                <c:ptCount val="11"/>
                <c:pt idx="0">
                  <c:v>12.6388</c:v>
                </c:pt>
                <c:pt idx="1">
                  <c:v>12.976900000000001</c:v>
                </c:pt>
                <c:pt idx="2">
                  <c:v>15.3452</c:v>
                </c:pt>
                <c:pt idx="3">
                  <c:v>15.2767</c:v>
                </c:pt>
                <c:pt idx="4">
                  <c:v>16.503599999999999</c:v>
                </c:pt>
                <c:pt idx="5">
                  <c:v>16.383700000000001</c:v>
                </c:pt>
                <c:pt idx="6">
                  <c:v>16.537500000000001</c:v>
                </c:pt>
                <c:pt idx="7">
                  <c:v>16.670000000000002</c:v>
                </c:pt>
                <c:pt idx="8">
                  <c:v>16.670000000000002</c:v>
                </c:pt>
                <c:pt idx="9">
                  <c:v>16.670000000000002</c:v>
                </c:pt>
                <c:pt idx="10">
                  <c:v>16.670000000000002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D89-D948-A4E3-8038CAF4CC50}"/>
            </c:ext>
          </c:extLst>
        </c:ser>
        <c:ser>
          <c:idx val="2"/>
          <c:order val="2"/>
          <c:tx>
            <c:strRef>
              <c:f>seed0!$J$3</c:f>
              <c:strCache>
                <c:ptCount val="1"/>
                <c:pt idx="0">
                  <c:v>all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seed0!$G$4:$G$14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xVal>
          <c:yVal>
            <c:numRef>
              <c:f>seed0!$J$4:$J$14</c:f>
              <c:numCache>
                <c:formatCode>General</c:formatCode>
                <c:ptCount val="11"/>
                <c:pt idx="0">
                  <c:v>12.634</c:v>
                </c:pt>
                <c:pt idx="1">
                  <c:v>12.687099999999999</c:v>
                </c:pt>
                <c:pt idx="2">
                  <c:v>12.838200000000001</c:v>
                </c:pt>
                <c:pt idx="3">
                  <c:v>12.7019</c:v>
                </c:pt>
                <c:pt idx="4">
                  <c:v>12.0733</c:v>
                </c:pt>
                <c:pt idx="5">
                  <c:v>13.478999999999999</c:v>
                </c:pt>
                <c:pt idx="6">
                  <c:v>12.6257</c:v>
                </c:pt>
                <c:pt idx="7">
                  <c:v>11.488099999999999</c:v>
                </c:pt>
                <c:pt idx="8">
                  <c:v>11.488099999999999</c:v>
                </c:pt>
                <c:pt idx="9">
                  <c:v>11.488099999999999</c:v>
                </c:pt>
                <c:pt idx="10">
                  <c:v>11.488099999999999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D89-D948-A4E3-8038CAF4CC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4291920"/>
        <c:axId val="1988778479"/>
      </c:scatterChart>
      <c:valAx>
        <c:axId val="334291920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α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988778479"/>
        <c:crosses val="autoZero"/>
        <c:crossBetween val="midCat"/>
      </c:valAx>
      <c:valAx>
        <c:axId val="1988778479"/>
        <c:scaling>
          <c:orientation val="minMax"/>
          <c:min val="6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average_speed</a:t>
                </a:r>
                <a:r>
                  <a:rPr lang="en-US" altLang="ja-JP" baseline="0"/>
                  <a:t> [m/s]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34291920"/>
        <c:crosses val="autoZero"/>
        <c:crossBetween val="midCat"/>
      </c:valAx>
      <c:spPr>
        <a:noFill/>
        <a:ln>
          <a:solidFill>
            <a:schemeClr val="bg1">
              <a:lumMod val="7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10676596675415573"/>
          <c:y val="0.47280037911927675"/>
          <c:w val="0.19480118110236219"/>
          <c:h val="0.1984959171770195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 sz="1100"/>
              <a:t>図：合流速度の変化に対する平均速度の変化（</a:t>
            </a:r>
            <a:r>
              <a:rPr lang="en-US" altLang="ja-JP" sz="1100"/>
              <a:t>seed0</a:t>
            </a:r>
            <a:r>
              <a:rPr lang="ja-JP" altLang="en-US" sz="1100"/>
              <a:t>）</a:t>
            </a:r>
          </a:p>
        </c:rich>
      </c:tx>
      <c:layout>
        <c:manualLayout>
          <c:xMode val="edge"/>
          <c:yMode val="edge"/>
          <c:x val="0.13527077865266843"/>
          <c:y val="0.865740740740740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14445603674540683"/>
          <c:y val="8.0555555555555547E-2"/>
          <c:w val="0.81865507436570428"/>
          <c:h val="0.63574803149606307"/>
        </c:manualLayout>
      </c:layout>
      <c:scatterChart>
        <c:scatterStyle val="lineMarker"/>
        <c:varyColors val="0"/>
        <c:ser>
          <c:idx val="0"/>
          <c:order val="0"/>
          <c:tx>
            <c:strRef>
              <c:f>seed0!$M$3</c:f>
              <c:strCache>
                <c:ptCount val="1"/>
                <c:pt idx="0">
                  <c:v>merge100</c:v>
                </c:pt>
              </c:strCache>
            </c:strRef>
          </c:tx>
          <c:spPr>
            <a:ln w="19050" cap="rnd">
              <a:solidFill>
                <a:srgbClr val="7030A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7030A0"/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seed0!$L$4:$L$14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xVal>
          <c:yVal>
            <c:numRef>
              <c:f>seed0!$M$4:$M$14</c:f>
              <c:numCache>
                <c:formatCode>General</c:formatCode>
                <c:ptCount val="11"/>
                <c:pt idx="0">
                  <c:v>14.1426</c:v>
                </c:pt>
                <c:pt idx="1">
                  <c:v>14.5174</c:v>
                </c:pt>
                <c:pt idx="2">
                  <c:v>14.354699999999999</c:v>
                </c:pt>
                <c:pt idx="3">
                  <c:v>13.7532</c:v>
                </c:pt>
                <c:pt idx="4">
                  <c:v>13.66</c:v>
                </c:pt>
                <c:pt idx="5">
                  <c:v>13.659700000000001</c:v>
                </c:pt>
                <c:pt idx="6">
                  <c:v>13.659700000000001</c:v>
                </c:pt>
                <c:pt idx="7">
                  <c:v>13.659700000000001</c:v>
                </c:pt>
                <c:pt idx="8">
                  <c:v>13.659700000000001</c:v>
                </c:pt>
                <c:pt idx="9">
                  <c:v>13.659700000000001</c:v>
                </c:pt>
                <c:pt idx="10">
                  <c:v>13.659700000000001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903-6B4D-9DE6-4A3E629AAC34}"/>
            </c:ext>
          </c:extLst>
        </c:ser>
        <c:ser>
          <c:idx val="1"/>
          <c:order val="1"/>
          <c:tx>
            <c:strRef>
              <c:f>seed0!$N$3</c:f>
              <c:strCache>
                <c:ptCount val="1"/>
                <c:pt idx="0">
                  <c:v>merge200</c:v>
                </c:pt>
              </c:strCache>
            </c:strRef>
          </c:tx>
          <c:spPr>
            <a:ln w="19050" cap="rnd">
              <a:solidFill>
                <a:srgbClr val="92D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92D050"/>
              </a:solidFill>
              <a:ln w="9525">
                <a:solidFill>
                  <a:srgbClr val="92D050"/>
                </a:solidFill>
              </a:ln>
              <a:effectLst/>
            </c:spPr>
          </c:marker>
          <c:xVal>
            <c:numRef>
              <c:f>seed0!$L$4:$L$14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xVal>
          <c:yVal>
            <c:numRef>
              <c:f>seed0!$N$4:$N$14</c:f>
              <c:numCache>
                <c:formatCode>General</c:formatCode>
                <c:ptCount val="11"/>
                <c:pt idx="0">
                  <c:v>12.634</c:v>
                </c:pt>
                <c:pt idx="1">
                  <c:v>12.687099999999999</c:v>
                </c:pt>
                <c:pt idx="2">
                  <c:v>12.838200000000001</c:v>
                </c:pt>
                <c:pt idx="3">
                  <c:v>12.7019</c:v>
                </c:pt>
                <c:pt idx="4">
                  <c:v>12.0733</c:v>
                </c:pt>
                <c:pt idx="5">
                  <c:v>13.478999999999999</c:v>
                </c:pt>
                <c:pt idx="6">
                  <c:v>12.6257</c:v>
                </c:pt>
                <c:pt idx="7">
                  <c:v>11.488099999999999</c:v>
                </c:pt>
                <c:pt idx="8">
                  <c:v>11.488099999999999</c:v>
                </c:pt>
                <c:pt idx="9">
                  <c:v>11.488099999999999</c:v>
                </c:pt>
                <c:pt idx="10">
                  <c:v>11.488099999999999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903-6B4D-9DE6-4A3E629AAC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0828831"/>
        <c:axId val="2147223647"/>
      </c:scatterChart>
      <c:valAx>
        <c:axId val="2020828831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α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147223647"/>
        <c:crosses val="autoZero"/>
        <c:crossBetween val="midCat"/>
      </c:valAx>
      <c:valAx>
        <c:axId val="2147223647"/>
        <c:scaling>
          <c:orientation val="minMax"/>
          <c:min val="11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average_speed</a:t>
                </a:r>
                <a:r>
                  <a:rPr lang="en-US" altLang="ja-JP" baseline="0"/>
                  <a:t> [m/s]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020828831"/>
        <c:crosses val="autoZero"/>
        <c:crossBetween val="midCat"/>
      </c:valAx>
      <c:spPr>
        <a:noFill/>
        <a:ln>
          <a:solidFill>
            <a:schemeClr val="bg1">
              <a:lumMod val="7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15691688538932635"/>
          <c:y val="0.52835593467483222"/>
          <c:w val="0.18858902012248474"/>
          <c:h val="0.14756999125109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158750</xdr:colOff>
      <xdr:row>21</xdr:row>
      <xdr:rowOff>19050</xdr:rowOff>
    </xdr:from>
    <xdr:to>
      <xdr:col>6</xdr:col>
      <xdr:colOff>425450</xdr:colOff>
      <xdr:row>31</xdr:row>
      <xdr:rowOff>222250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B1343ED5-1DB7-7CBC-828B-3387278161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571500</xdr:colOff>
      <xdr:row>19</xdr:row>
      <xdr:rowOff>57150</xdr:rowOff>
    </xdr:from>
    <xdr:to>
      <xdr:col>5</xdr:col>
      <xdr:colOff>838200</xdr:colOff>
      <xdr:row>30</xdr:row>
      <xdr:rowOff>6350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C0FA6BB1-7740-B290-5AAD-533DB44C4F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19050</xdr:colOff>
      <xdr:row>26</xdr:row>
      <xdr:rowOff>19050</xdr:rowOff>
    </xdr:from>
    <xdr:to>
      <xdr:col>10</xdr:col>
      <xdr:colOff>285750</xdr:colOff>
      <xdr:row>36</xdr:row>
      <xdr:rowOff>222250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C97E0D17-D006-9BD1-58A5-73BBD90DA9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882650</xdr:colOff>
      <xdr:row>17</xdr:row>
      <xdr:rowOff>234950</xdr:rowOff>
    </xdr:from>
    <xdr:to>
      <xdr:col>5</xdr:col>
      <xdr:colOff>692150</xdr:colOff>
      <xdr:row>28</xdr:row>
      <xdr:rowOff>184150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EA7EF0EC-A0E0-DC7E-2DAE-CA9078AB17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57150</xdr:colOff>
      <xdr:row>17</xdr:row>
      <xdr:rowOff>222250</xdr:rowOff>
    </xdr:from>
    <xdr:to>
      <xdr:col>10</xdr:col>
      <xdr:colOff>819150</xdr:colOff>
      <xdr:row>28</xdr:row>
      <xdr:rowOff>171450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AB1B9F1E-6933-EF9B-D74E-1C7D5E9205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31750</xdr:colOff>
      <xdr:row>17</xdr:row>
      <xdr:rowOff>146050</xdr:rowOff>
    </xdr:from>
    <xdr:to>
      <xdr:col>15</xdr:col>
      <xdr:colOff>793750</xdr:colOff>
      <xdr:row>28</xdr:row>
      <xdr:rowOff>95250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463CEF6F-FDD5-2BA3-54DB-1B55179553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53A60-28D1-4044-87E1-CF31C56EDBB0}">
  <dimension ref="B2:O21"/>
  <sheetViews>
    <sheetView topLeftCell="A3" workbookViewId="0">
      <selection activeCell="H27" sqref="H27"/>
    </sheetView>
  </sheetViews>
  <sheetFormatPr baseColWidth="10" defaultRowHeight="20"/>
  <cols>
    <col min="3" max="5" width="12.5703125" customWidth="1"/>
    <col min="7" max="9" width="12.7109375" customWidth="1"/>
    <col min="11" max="13" width="12.7109375" customWidth="1"/>
  </cols>
  <sheetData>
    <row r="2" spans="2:15">
      <c r="B2" s="1"/>
      <c r="C2" s="5" t="s">
        <v>0</v>
      </c>
      <c r="D2" s="5"/>
      <c r="E2" s="5"/>
      <c r="F2" s="1"/>
      <c r="G2" s="5" t="s">
        <v>1</v>
      </c>
      <c r="H2" s="5"/>
      <c r="I2" s="5"/>
      <c r="J2" s="1"/>
      <c r="K2" s="5" t="s">
        <v>2</v>
      </c>
      <c r="L2" s="5"/>
      <c r="M2" s="5"/>
    </row>
    <row r="3" spans="2:15">
      <c r="B3" s="1" t="s">
        <v>3</v>
      </c>
      <c r="C3" s="1" t="s">
        <v>4</v>
      </c>
      <c r="D3" s="1" t="s">
        <v>5</v>
      </c>
      <c r="E3" s="1" t="s">
        <v>6</v>
      </c>
      <c r="F3" s="1" t="s">
        <v>3</v>
      </c>
      <c r="G3" s="1" t="s">
        <v>7</v>
      </c>
      <c r="H3" s="1" t="s">
        <v>8</v>
      </c>
      <c r="I3" s="1" t="s">
        <v>6</v>
      </c>
      <c r="J3" s="1" t="s">
        <v>3</v>
      </c>
      <c r="K3" s="1" t="s">
        <v>7</v>
      </c>
      <c r="L3" s="1" t="s">
        <v>8</v>
      </c>
      <c r="M3" s="1" t="s">
        <v>6</v>
      </c>
    </row>
    <row r="4" spans="2:15">
      <c r="B4" s="1">
        <v>0</v>
      </c>
      <c r="C4" s="1">
        <v>12.2179</v>
      </c>
      <c r="D4" s="1">
        <v>14.316800000000001</v>
      </c>
      <c r="E4" s="1">
        <v>13.157999999999999</v>
      </c>
      <c r="F4" s="1">
        <v>0</v>
      </c>
      <c r="G4" s="1">
        <v>10.5953</v>
      </c>
      <c r="H4" s="1">
        <v>14.771599999999999</v>
      </c>
      <c r="I4" s="1">
        <f>E4</f>
        <v>13.157999999999999</v>
      </c>
      <c r="J4" s="1">
        <v>0</v>
      </c>
      <c r="K4" s="1">
        <f>G4</f>
        <v>10.5953</v>
      </c>
      <c r="L4" s="3">
        <v>13.7044</v>
      </c>
      <c r="M4" s="3">
        <v>14.182399999999999</v>
      </c>
    </row>
    <row r="5" spans="2:15">
      <c r="B5" s="2">
        <v>0.1</v>
      </c>
      <c r="C5" s="1">
        <v>12.160600000000001</v>
      </c>
      <c r="D5" s="1">
        <v>14.789300000000001</v>
      </c>
      <c r="E5" s="1">
        <v>13.337999999999999</v>
      </c>
      <c r="F5" s="1">
        <v>0.1</v>
      </c>
      <c r="G5" s="1">
        <v>10.6014</v>
      </c>
      <c r="H5" s="1">
        <v>15.102499999999999</v>
      </c>
      <c r="I5" s="1">
        <f t="shared" ref="I5:I14" si="0">E5</f>
        <v>13.337999999999999</v>
      </c>
      <c r="J5" s="1">
        <v>0.1</v>
      </c>
      <c r="K5" s="1">
        <f t="shared" ref="K5:K14" si="1">G5</f>
        <v>10.6014</v>
      </c>
      <c r="L5" s="3">
        <v>14.470599999999999</v>
      </c>
      <c r="M5" s="3">
        <v>14.582100000000001</v>
      </c>
      <c r="O5" s="4" t="s">
        <v>18</v>
      </c>
    </row>
    <row r="6" spans="2:15">
      <c r="B6" s="1">
        <v>0.2</v>
      </c>
      <c r="C6" s="1">
        <v>11.652100000000001</v>
      </c>
      <c r="D6" s="1">
        <v>14.8506</v>
      </c>
      <c r="E6" s="1">
        <v>13.0923</v>
      </c>
      <c r="F6" s="1">
        <v>0.2</v>
      </c>
      <c r="G6" s="1">
        <v>10.5571</v>
      </c>
      <c r="H6" s="1">
        <v>14.8721</v>
      </c>
      <c r="I6" s="1">
        <f t="shared" si="0"/>
        <v>13.0923</v>
      </c>
      <c r="J6" s="1">
        <v>0.2</v>
      </c>
      <c r="K6" s="1">
        <f t="shared" si="1"/>
        <v>10.5571</v>
      </c>
      <c r="L6" s="3">
        <v>15.166399999999999</v>
      </c>
      <c r="M6" s="3">
        <v>14.8979</v>
      </c>
      <c r="O6" s="3" t="s">
        <v>19</v>
      </c>
    </row>
    <row r="7" spans="2:15">
      <c r="B7" s="1">
        <v>0.3</v>
      </c>
      <c r="C7" s="1">
        <v>11.526400000000001</v>
      </c>
      <c r="D7" s="1">
        <v>16.0991</v>
      </c>
      <c r="E7" s="1">
        <v>13.522399999999999</v>
      </c>
      <c r="F7" s="1">
        <v>0.3</v>
      </c>
      <c r="G7" s="1">
        <v>9.7558900000000008</v>
      </c>
      <c r="H7" s="1">
        <v>16.197199999999999</v>
      </c>
      <c r="I7" s="1">
        <f t="shared" si="0"/>
        <v>13.522399999999999</v>
      </c>
      <c r="J7" s="1">
        <v>0.3</v>
      </c>
      <c r="K7" s="1">
        <f t="shared" si="1"/>
        <v>9.7558900000000008</v>
      </c>
      <c r="L7" s="3">
        <v>15.812799999999999</v>
      </c>
      <c r="M7" s="3">
        <v>15.2933</v>
      </c>
    </row>
    <row r="8" spans="2:15">
      <c r="B8" s="1">
        <v>0.4</v>
      </c>
      <c r="C8" s="1">
        <v>11.107900000000001</v>
      </c>
      <c r="D8" s="1">
        <v>16.581499999999998</v>
      </c>
      <c r="E8" s="1">
        <v>13.4648</v>
      </c>
      <c r="F8" s="1">
        <v>0.4</v>
      </c>
      <c r="G8" s="1">
        <v>9.3354900000000001</v>
      </c>
      <c r="H8" s="1">
        <v>16.578499999999998</v>
      </c>
      <c r="I8" s="1">
        <f t="shared" si="0"/>
        <v>13.4648</v>
      </c>
      <c r="J8" s="1">
        <v>0.4</v>
      </c>
      <c r="K8" s="1">
        <f t="shared" si="1"/>
        <v>9.3354900000000001</v>
      </c>
      <c r="L8" s="3">
        <v>16.4742</v>
      </c>
      <c r="M8" s="3">
        <v>15.7196</v>
      </c>
    </row>
    <row r="9" spans="2:15">
      <c r="B9" s="1">
        <v>0.5</v>
      </c>
      <c r="C9" s="1">
        <v>11.107900000000001</v>
      </c>
      <c r="D9" s="1">
        <v>16.581499999999998</v>
      </c>
      <c r="E9" s="1">
        <v>13.4648</v>
      </c>
      <c r="F9" s="1">
        <v>0.5</v>
      </c>
      <c r="G9" s="1">
        <v>9.3354900000000001</v>
      </c>
      <c r="H9" s="1">
        <v>16.578499999999998</v>
      </c>
      <c r="I9" s="1">
        <f t="shared" si="0"/>
        <v>13.4648</v>
      </c>
      <c r="J9" s="1">
        <v>0.5</v>
      </c>
      <c r="K9" s="1">
        <f t="shared" si="1"/>
        <v>9.3354900000000001</v>
      </c>
      <c r="L9" s="1">
        <v>16.546399999999998</v>
      </c>
      <c r="M9" s="1">
        <v>12.9085</v>
      </c>
    </row>
    <row r="10" spans="2:15">
      <c r="B10" s="1">
        <v>0.6</v>
      </c>
      <c r="C10" s="1">
        <v>11.0855</v>
      </c>
      <c r="D10" s="1">
        <v>16.619299999999999</v>
      </c>
      <c r="E10" s="1">
        <v>13.468299999999999</v>
      </c>
      <c r="F10" s="1">
        <v>0.6</v>
      </c>
      <c r="G10" s="1">
        <v>9.3342899999999993</v>
      </c>
      <c r="H10" s="1">
        <v>16.6037</v>
      </c>
      <c r="I10" s="1">
        <f t="shared" si="0"/>
        <v>13.468299999999999</v>
      </c>
      <c r="J10" s="1">
        <v>0.6</v>
      </c>
      <c r="K10" s="1">
        <f t="shared" si="1"/>
        <v>9.3342899999999993</v>
      </c>
      <c r="L10" s="1">
        <v>16.580400000000001</v>
      </c>
      <c r="M10" s="1">
        <v>12.912699999999999</v>
      </c>
    </row>
    <row r="11" spans="2:15">
      <c r="B11" s="1">
        <v>0.7</v>
      </c>
      <c r="C11" s="1">
        <v>10.9337</v>
      </c>
      <c r="D11" s="1">
        <v>16.670000000000002</v>
      </c>
      <c r="E11" s="1">
        <v>13.403700000000001</v>
      </c>
      <c r="F11" s="1">
        <v>0.7</v>
      </c>
      <c r="G11" s="1">
        <v>9.3024199999999997</v>
      </c>
      <c r="H11" s="1">
        <v>16.649999999999999</v>
      </c>
      <c r="I11" s="1">
        <f t="shared" si="0"/>
        <v>13.403700000000001</v>
      </c>
      <c r="J11" s="1">
        <v>0.7</v>
      </c>
      <c r="K11" s="1">
        <f t="shared" si="1"/>
        <v>9.3024199999999997</v>
      </c>
      <c r="L11" s="1">
        <v>16.642800000000001</v>
      </c>
      <c r="M11" s="1">
        <v>12.8369</v>
      </c>
    </row>
    <row r="12" spans="2:15">
      <c r="B12" s="1">
        <v>0.8</v>
      </c>
      <c r="C12" s="1">
        <v>10.9337</v>
      </c>
      <c r="D12" s="1">
        <v>16.670000000000002</v>
      </c>
      <c r="E12" s="1">
        <v>13.403700000000001</v>
      </c>
      <c r="F12" s="1">
        <v>0.8</v>
      </c>
      <c r="G12" s="1">
        <v>9.3024199999999997</v>
      </c>
      <c r="H12" s="1">
        <v>16.649999999999999</v>
      </c>
      <c r="I12" s="1">
        <f t="shared" si="0"/>
        <v>13.403700000000001</v>
      </c>
      <c r="J12" s="1">
        <v>0.8</v>
      </c>
      <c r="K12" s="1">
        <f t="shared" si="1"/>
        <v>9.3024199999999997</v>
      </c>
      <c r="L12" s="1">
        <v>16.642800000000001</v>
      </c>
      <c r="M12" s="1">
        <v>12.8369</v>
      </c>
    </row>
    <row r="13" spans="2:15">
      <c r="B13" s="1">
        <v>0.9</v>
      </c>
      <c r="C13" s="1">
        <v>10.9337</v>
      </c>
      <c r="D13" s="1">
        <v>16.670000000000002</v>
      </c>
      <c r="E13" s="1">
        <v>13.403700000000001</v>
      </c>
      <c r="F13" s="1">
        <v>0.9</v>
      </c>
      <c r="G13" s="1">
        <v>9.3024199999999997</v>
      </c>
      <c r="H13" s="1">
        <v>16.649999999999999</v>
      </c>
      <c r="I13" s="1">
        <f t="shared" si="0"/>
        <v>13.403700000000001</v>
      </c>
      <c r="J13" s="1">
        <v>0.9</v>
      </c>
      <c r="K13" s="1">
        <f t="shared" si="1"/>
        <v>9.3024199999999997</v>
      </c>
      <c r="L13" s="1">
        <v>16.642800000000001</v>
      </c>
      <c r="M13" s="1">
        <v>12.8369</v>
      </c>
    </row>
    <row r="14" spans="2:15">
      <c r="B14" s="1">
        <v>1</v>
      </c>
      <c r="C14" s="1">
        <v>10.9337</v>
      </c>
      <c r="D14" s="1">
        <v>16.670000000000002</v>
      </c>
      <c r="E14" s="1">
        <v>13.403700000000001</v>
      </c>
      <c r="F14" s="1">
        <v>1</v>
      </c>
      <c r="G14" s="1">
        <v>9.3024199999999997</v>
      </c>
      <c r="H14" s="1">
        <v>16.649999999999999</v>
      </c>
      <c r="I14" s="1">
        <f t="shared" si="0"/>
        <v>13.403700000000001</v>
      </c>
      <c r="J14" s="1">
        <v>1</v>
      </c>
      <c r="K14" s="1">
        <f t="shared" si="1"/>
        <v>9.3024199999999997</v>
      </c>
      <c r="L14" s="1">
        <v>16.642800000000001</v>
      </c>
      <c r="M14" s="1">
        <v>12.8369</v>
      </c>
    </row>
    <row r="15" spans="2:15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</row>
    <row r="16" spans="2:15"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</row>
    <row r="17" spans="2:13">
      <c r="B17" s="1"/>
      <c r="C17" s="1" t="s">
        <v>9</v>
      </c>
      <c r="D17" s="1" t="s">
        <v>10</v>
      </c>
      <c r="E17" s="1"/>
      <c r="F17" s="1"/>
      <c r="G17" s="1"/>
      <c r="H17" s="1"/>
      <c r="I17" s="1"/>
      <c r="J17" s="1"/>
      <c r="K17" s="1"/>
      <c r="L17" s="1"/>
      <c r="M17" s="1"/>
    </row>
    <row r="18" spans="2:13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</row>
    <row r="19" spans="2:13"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</row>
    <row r="20" spans="2:13">
      <c r="B20" s="1"/>
      <c r="C20" s="1" t="s">
        <v>11</v>
      </c>
      <c r="D20" s="1" t="s">
        <v>12</v>
      </c>
      <c r="E20" s="1" t="s">
        <v>13</v>
      </c>
      <c r="F20" s="1"/>
      <c r="G20" s="1" t="s">
        <v>14</v>
      </c>
      <c r="H20" s="1" t="s">
        <v>15</v>
      </c>
      <c r="I20" s="1" t="s">
        <v>13</v>
      </c>
      <c r="J20" s="1"/>
      <c r="K20" s="1" t="s">
        <v>16</v>
      </c>
      <c r="L20" s="1" t="s">
        <v>17</v>
      </c>
      <c r="M20" s="1"/>
    </row>
    <row r="21" spans="2:13">
      <c r="B21" s="1"/>
      <c r="C21" s="1">
        <v>-600</v>
      </c>
      <c r="D21" s="1"/>
      <c r="E21" s="1">
        <v>-600</v>
      </c>
      <c r="F21" s="1"/>
      <c r="G21" s="1">
        <v>-600</v>
      </c>
      <c r="H21" s="1"/>
      <c r="I21" s="1">
        <v>-600</v>
      </c>
      <c r="J21" s="1"/>
      <c r="K21" s="1"/>
      <c r="L21" s="1"/>
      <c r="M21" s="1"/>
    </row>
  </sheetData>
  <mergeCells count="3">
    <mergeCell ref="C2:E2"/>
    <mergeCell ref="G2:I2"/>
    <mergeCell ref="K2:M2"/>
  </mergeCells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B6C4D-DB7E-6A46-BE48-8C78997DF25C}">
  <dimension ref="B2:P37"/>
  <sheetViews>
    <sheetView topLeftCell="B5" workbookViewId="0">
      <selection activeCell="G23" sqref="G23"/>
    </sheetView>
  </sheetViews>
  <sheetFormatPr baseColWidth="10" defaultRowHeight="20"/>
  <cols>
    <col min="3" max="5" width="12.5703125" customWidth="1"/>
    <col min="7" max="9" width="12.5703125" customWidth="1"/>
    <col min="11" max="13" width="12.85546875" customWidth="1"/>
  </cols>
  <sheetData>
    <row r="2" spans="2:16">
      <c r="B2" s="1"/>
      <c r="C2" s="5" t="s">
        <v>0</v>
      </c>
      <c r="D2" s="5"/>
      <c r="E2" s="5"/>
      <c r="F2" s="1"/>
      <c r="G2" s="5" t="s">
        <v>1</v>
      </c>
      <c r="H2" s="5"/>
      <c r="I2" s="5"/>
      <c r="J2" s="1"/>
      <c r="K2" s="5" t="s">
        <v>2</v>
      </c>
      <c r="L2" s="5"/>
      <c r="M2" s="5"/>
    </row>
    <row r="3" spans="2:16">
      <c r="B3" s="1" t="s">
        <v>3</v>
      </c>
      <c r="C3" s="1" t="s">
        <v>4</v>
      </c>
      <c r="D3" s="1" t="s">
        <v>5</v>
      </c>
      <c r="E3" s="1" t="s">
        <v>6</v>
      </c>
      <c r="F3" s="1" t="s">
        <v>3</v>
      </c>
      <c r="G3" s="1" t="s">
        <v>7</v>
      </c>
      <c r="H3" s="1" t="s">
        <v>8</v>
      </c>
      <c r="I3" s="1" t="s">
        <v>6</v>
      </c>
      <c r="J3" s="1" t="s">
        <v>3</v>
      </c>
      <c r="K3" s="1" t="s">
        <v>7</v>
      </c>
      <c r="L3" s="1" t="s">
        <v>8</v>
      </c>
      <c r="M3" s="1" t="s">
        <v>6</v>
      </c>
    </row>
    <row r="4" spans="2:16">
      <c r="B4" s="1">
        <v>0</v>
      </c>
      <c r="C4" s="1">
        <v>11.5436</v>
      </c>
      <c r="D4" s="1">
        <v>14.1593</v>
      </c>
      <c r="E4" s="1">
        <v>12.737</v>
      </c>
      <c r="F4" s="1">
        <v>0</v>
      </c>
      <c r="G4" s="1">
        <v>11.412599999999999</v>
      </c>
      <c r="H4" s="1">
        <v>13.821</v>
      </c>
      <c r="I4" s="1">
        <f>E4</f>
        <v>12.737</v>
      </c>
      <c r="J4" s="1">
        <v>0</v>
      </c>
      <c r="K4" s="1">
        <f>G4</f>
        <v>11.412599999999999</v>
      </c>
      <c r="L4" s="3">
        <v>16.107199999999999</v>
      </c>
      <c r="M4" s="3">
        <v>14.721299999999999</v>
      </c>
    </row>
    <row r="5" spans="2:16">
      <c r="B5" s="1">
        <v>0.1</v>
      </c>
      <c r="C5" s="1">
        <v>11.536</v>
      </c>
      <c r="D5" s="1">
        <v>14.0358</v>
      </c>
      <c r="E5" s="1">
        <v>12.6974</v>
      </c>
      <c r="F5" s="1">
        <v>0.1</v>
      </c>
      <c r="G5" s="1">
        <v>11.2356</v>
      </c>
      <c r="H5" s="1">
        <v>13.9047</v>
      </c>
      <c r="I5" s="1">
        <f t="shared" ref="I5:I14" si="0">E5</f>
        <v>12.6974</v>
      </c>
      <c r="J5" s="1">
        <v>0.1</v>
      </c>
      <c r="K5" s="1">
        <f t="shared" ref="K5:K14" si="1">G5</f>
        <v>11.2356</v>
      </c>
      <c r="L5" s="3">
        <v>15.5334</v>
      </c>
      <c r="M5" s="3">
        <v>14.476699999999999</v>
      </c>
    </row>
    <row r="6" spans="2:16">
      <c r="B6" s="1">
        <v>0.2</v>
      </c>
      <c r="C6" s="1">
        <v>11.371499999999999</v>
      </c>
      <c r="D6" s="1">
        <v>15.750299999999999</v>
      </c>
      <c r="E6" s="1">
        <v>13.308199999999999</v>
      </c>
      <c r="F6" s="1">
        <v>0.2</v>
      </c>
      <c r="G6" s="1">
        <v>10.5983</v>
      </c>
      <c r="H6" s="1">
        <v>15.757</v>
      </c>
      <c r="I6" s="1">
        <f t="shared" si="0"/>
        <v>13.308199999999999</v>
      </c>
      <c r="J6" s="1">
        <v>0.2</v>
      </c>
      <c r="K6" s="1">
        <f t="shared" si="1"/>
        <v>10.5983</v>
      </c>
      <c r="L6" s="3">
        <v>16.382300000000001</v>
      </c>
      <c r="M6" s="3">
        <v>14.7249</v>
      </c>
    </row>
    <row r="7" spans="2:16">
      <c r="B7" s="1">
        <v>0.3</v>
      </c>
      <c r="C7" s="1">
        <v>10.048400000000001</v>
      </c>
      <c r="D7" s="1">
        <v>16.531500000000001</v>
      </c>
      <c r="E7" s="1">
        <v>12.825799999999999</v>
      </c>
      <c r="F7" s="1">
        <v>0.3</v>
      </c>
      <c r="G7" s="1">
        <v>9.5267599999999995</v>
      </c>
      <c r="H7" s="1">
        <v>16.427199999999999</v>
      </c>
      <c r="I7" s="1">
        <f t="shared" si="0"/>
        <v>12.825799999999999</v>
      </c>
      <c r="J7" s="1">
        <v>0.3</v>
      </c>
      <c r="K7" s="1">
        <f t="shared" si="1"/>
        <v>9.5267599999999995</v>
      </c>
      <c r="L7" s="3">
        <v>16.655899999999999</v>
      </c>
      <c r="M7" s="3">
        <v>14.874499999999999</v>
      </c>
    </row>
    <row r="8" spans="2:16">
      <c r="B8" s="1">
        <v>0.4</v>
      </c>
      <c r="C8" s="1">
        <v>10.048400000000001</v>
      </c>
      <c r="D8" s="1">
        <v>16.531500000000001</v>
      </c>
      <c r="E8" s="1">
        <v>12.825799999999999</v>
      </c>
      <c r="F8" s="1">
        <v>0.4</v>
      </c>
      <c r="G8" s="1">
        <v>9.5267599999999995</v>
      </c>
      <c r="H8" s="1">
        <v>16.427199999999999</v>
      </c>
      <c r="I8" s="1">
        <f t="shared" si="0"/>
        <v>12.825799999999999</v>
      </c>
      <c r="J8" s="1">
        <v>0.4</v>
      </c>
      <c r="K8" s="1">
        <f t="shared" si="1"/>
        <v>9.5267599999999995</v>
      </c>
      <c r="L8" s="3">
        <v>16.655899999999999</v>
      </c>
      <c r="M8" s="3">
        <v>14.874499999999999</v>
      </c>
    </row>
    <row r="9" spans="2:16">
      <c r="B9" s="1">
        <v>0.5</v>
      </c>
      <c r="C9" s="1">
        <v>10.048400000000001</v>
      </c>
      <c r="D9" s="1">
        <v>16.531500000000001</v>
      </c>
      <c r="E9" s="1">
        <v>12.825799999999999</v>
      </c>
      <c r="F9" s="1">
        <v>0.5</v>
      </c>
      <c r="G9" s="1">
        <v>9.5267599999999995</v>
      </c>
      <c r="H9" s="1">
        <v>16.427199999999999</v>
      </c>
      <c r="I9" s="1">
        <f t="shared" si="0"/>
        <v>12.825799999999999</v>
      </c>
      <c r="J9" s="1">
        <v>0.5</v>
      </c>
      <c r="K9" s="1">
        <f t="shared" si="1"/>
        <v>9.5267599999999995</v>
      </c>
      <c r="L9" s="3">
        <v>16.655899999999999</v>
      </c>
      <c r="M9" s="3">
        <v>14.874499999999999</v>
      </c>
    </row>
    <row r="10" spans="2:16">
      <c r="B10" s="1">
        <v>0.6</v>
      </c>
      <c r="C10" s="1">
        <v>8.8981899999999996</v>
      </c>
      <c r="D10" s="1">
        <v>16.5777</v>
      </c>
      <c r="E10" s="1">
        <v>12.0359</v>
      </c>
      <c r="F10" s="1">
        <v>0.6</v>
      </c>
      <c r="G10" s="1">
        <v>8.5495300000000007</v>
      </c>
      <c r="H10" s="1">
        <v>16.167000000000002</v>
      </c>
      <c r="I10" s="1">
        <f t="shared" si="0"/>
        <v>12.0359</v>
      </c>
      <c r="J10" s="1">
        <v>0.6</v>
      </c>
      <c r="K10" s="1">
        <f t="shared" si="1"/>
        <v>8.5495300000000007</v>
      </c>
      <c r="L10" s="1">
        <v>16.4023</v>
      </c>
      <c r="M10" s="1">
        <v>11.511900000000001</v>
      </c>
    </row>
    <row r="11" spans="2:16">
      <c r="B11" s="1">
        <v>0.7</v>
      </c>
      <c r="C11" s="1">
        <v>8.8981899999999996</v>
      </c>
      <c r="D11" s="1">
        <v>16.5777</v>
      </c>
      <c r="E11" s="1">
        <v>12.0359</v>
      </c>
      <c r="F11" s="1">
        <v>0.7</v>
      </c>
      <c r="G11" s="1">
        <v>8.5495300000000007</v>
      </c>
      <c r="H11" s="1">
        <v>16.167000000000002</v>
      </c>
      <c r="I11" s="1">
        <f t="shared" si="0"/>
        <v>12.0359</v>
      </c>
      <c r="J11" s="1">
        <v>0.7</v>
      </c>
      <c r="K11" s="1">
        <f t="shared" si="1"/>
        <v>8.5495300000000007</v>
      </c>
      <c r="L11" s="1">
        <v>16.4023</v>
      </c>
      <c r="M11" s="1">
        <v>11.511900000000001</v>
      </c>
    </row>
    <row r="12" spans="2:16">
      <c r="B12" s="1">
        <v>0.8</v>
      </c>
      <c r="C12" s="1">
        <v>8.8981899999999996</v>
      </c>
      <c r="D12" s="1">
        <v>16.5777</v>
      </c>
      <c r="E12" s="1">
        <v>12.0359</v>
      </c>
      <c r="F12" s="1">
        <v>0.8</v>
      </c>
      <c r="G12" s="1">
        <v>8.5495300000000007</v>
      </c>
      <c r="H12" s="1">
        <v>16.167000000000002</v>
      </c>
      <c r="I12" s="1">
        <f t="shared" si="0"/>
        <v>12.0359</v>
      </c>
      <c r="J12" s="1">
        <v>0.8</v>
      </c>
      <c r="K12" s="1">
        <f t="shared" si="1"/>
        <v>8.5495300000000007</v>
      </c>
      <c r="L12" s="1">
        <v>16.4023</v>
      </c>
      <c r="M12" s="1">
        <v>11.511900000000001</v>
      </c>
      <c r="O12" s="1">
        <v>16.6663</v>
      </c>
      <c r="P12" s="1">
        <v>14.557700000000001</v>
      </c>
    </row>
    <row r="13" spans="2:16">
      <c r="B13" s="1">
        <v>0.9</v>
      </c>
      <c r="C13" s="1">
        <v>8.8981899999999996</v>
      </c>
      <c r="D13" s="1">
        <v>16.5777</v>
      </c>
      <c r="E13" s="1">
        <v>12.0359</v>
      </c>
      <c r="F13" s="1">
        <v>0.9</v>
      </c>
      <c r="G13" s="1">
        <v>8.5495300000000007</v>
      </c>
      <c r="H13" s="1">
        <v>16.167000000000002</v>
      </c>
      <c r="I13" s="1">
        <f t="shared" si="0"/>
        <v>12.0359</v>
      </c>
      <c r="J13" s="1">
        <v>0.9</v>
      </c>
      <c r="K13" s="1">
        <f t="shared" si="1"/>
        <v>8.5495300000000007</v>
      </c>
      <c r="L13" s="1">
        <v>16.4023</v>
      </c>
      <c r="M13" s="1">
        <v>11.511900000000001</v>
      </c>
    </row>
    <row r="14" spans="2:16">
      <c r="B14" s="1">
        <v>1</v>
      </c>
      <c r="C14" s="1">
        <v>8.8981899999999996</v>
      </c>
      <c r="D14" s="1">
        <v>16.5777</v>
      </c>
      <c r="E14" s="1">
        <v>12.0359</v>
      </c>
      <c r="F14" s="1">
        <v>1</v>
      </c>
      <c r="G14" s="1">
        <v>8.5495300000000007</v>
      </c>
      <c r="H14" s="1">
        <v>16.167000000000002</v>
      </c>
      <c r="I14" s="1">
        <f t="shared" si="0"/>
        <v>12.0359</v>
      </c>
      <c r="J14" s="1">
        <v>1</v>
      </c>
      <c r="K14" s="1">
        <f t="shared" si="1"/>
        <v>8.5495300000000007</v>
      </c>
      <c r="L14" s="1">
        <v>16.4023</v>
      </c>
      <c r="M14" s="1">
        <v>11.511900000000001</v>
      </c>
    </row>
    <row r="15" spans="2:16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</row>
    <row r="16" spans="2:16"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</row>
    <row r="17" spans="2:13">
      <c r="B17" s="1"/>
      <c r="C17" s="1" t="s">
        <v>9</v>
      </c>
      <c r="D17" s="1" t="s">
        <v>10</v>
      </c>
      <c r="E17" s="1"/>
      <c r="F17" s="1"/>
      <c r="G17" s="1"/>
      <c r="H17" s="1"/>
      <c r="I17" s="1"/>
      <c r="J17" s="1"/>
      <c r="K17" s="1"/>
      <c r="L17" s="1"/>
      <c r="M17" s="1"/>
    </row>
    <row r="18" spans="2:13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</row>
    <row r="19" spans="2:13"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</row>
    <row r="20" spans="2:13">
      <c r="B20" s="1"/>
      <c r="C20" s="1" t="s">
        <v>11</v>
      </c>
      <c r="D20" s="1" t="s">
        <v>12</v>
      </c>
      <c r="E20" s="1" t="s">
        <v>13</v>
      </c>
      <c r="F20" s="1"/>
      <c r="G20" s="1" t="s">
        <v>14</v>
      </c>
      <c r="H20" s="1" t="s">
        <v>15</v>
      </c>
      <c r="I20" s="1" t="s">
        <v>13</v>
      </c>
      <c r="J20" s="1"/>
      <c r="K20" s="1" t="s">
        <v>16</v>
      </c>
      <c r="L20" s="1" t="s">
        <v>17</v>
      </c>
      <c r="M20" s="1"/>
    </row>
    <row r="21" spans="2:13">
      <c r="B21" s="1"/>
      <c r="C21" s="1">
        <v>-600</v>
      </c>
      <c r="D21" s="1"/>
      <c r="E21" s="1">
        <v>-600</v>
      </c>
      <c r="F21" s="1"/>
      <c r="G21" s="1">
        <v>-600</v>
      </c>
      <c r="H21" s="1"/>
      <c r="I21" s="1">
        <v>-600</v>
      </c>
      <c r="J21" s="1"/>
      <c r="K21" s="1"/>
      <c r="L21" s="1"/>
      <c r="M21" s="1"/>
    </row>
    <row r="26" spans="2:13">
      <c r="J26" t="s">
        <v>20</v>
      </c>
      <c r="K26" t="s">
        <v>21</v>
      </c>
      <c r="L26" t="s">
        <v>22</v>
      </c>
    </row>
    <row r="27" spans="2:13">
      <c r="J27">
        <v>0</v>
      </c>
      <c r="K27" s="1">
        <v>13.157999999999999</v>
      </c>
      <c r="L27" s="1">
        <v>12.737</v>
      </c>
    </row>
    <row r="28" spans="2:13">
      <c r="J28">
        <v>0.1</v>
      </c>
      <c r="K28" s="1">
        <v>13.337999999999999</v>
      </c>
      <c r="L28" s="1">
        <v>12.6974</v>
      </c>
    </row>
    <row r="29" spans="2:13">
      <c r="J29">
        <v>0.2</v>
      </c>
      <c r="K29" s="1">
        <v>13.0923</v>
      </c>
      <c r="L29" s="1">
        <v>13.308199999999999</v>
      </c>
    </row>
    <row r="30" spans="2:13">
      <c r="J30">
        <v>0.3</v>
      </c>
      <c r="K30" s="1">
        <v>13.522399999999999</v>
      </c>
      <c r="L30" s="1">
        <v>12.825799999999999</v>
      </c>
    </row>
    <row r="31" spans="2:13">
      <c r="J31">
        <v>0.4</v>
      </c>
      <c r="K31" s="1">
        <v>13.4648</v>
      </c>
      <c r="L31" s="1">
        <v>12.825799999999999</v>
      </c>
    </row>
    <row r="32" spans="2:13">
      <c r="J32">
        <v>0.5</v>
      </c>
      <c r="K32" s="1">
        <v>13.4648</v>
      </c>
      <c r="L32" s="1">
        <v>12.825799999999999</v>
      </c>
    </row>
    <row r="33" spans="10:12">
      <c r="J33">
        <v>0.6</v>
      </c>
      <c r="K33" s="1">
        <v>13.468299999999999</v>
      </c>
      <c r="L33" s="1">
        <v>12.0359</v>
      </c>
    </row>
    <row r="34" spans="10:12">
      <c r="J34">
        <v>0.7</v>
      </c>
      <c r="K34" s="1">
        <v>13.403700000000001</v>
      </c>
      <c r="L34" s="1">
        <v>12.0359</v>
      </c>
    </row>
    <row r="35" spans="10:12">
      <c r="J35">
        <v>0.8</v>
      </c>
      <c r="K35" s="1">
        <v>13.403700000000001</v>
      </c>
      <c r="L35" s="1">
        <v>12.0359</v>
      </c>
    </row>
    <row r="36" spans="10:12">
      <c r="J36">
        <v>0.9</v>
      </c>
      <c r="K36" s="1">
        <v>13.403700000000001</v>
      </c>
      <c r="L36" s="1">
        <v>12.0359</v>
      </c>
    </row>
    <row r="37" spans="10:12">
      <c r="J37">
        <v>1</v>
      </c>
      <c r="K37" s="1">
        <v>13.403700000000001</v>
      </c>
      <c r="L37" s="1">
        <v>12.0359</v>
      </c>
    </row>
  </sheetData>
  <mergeCells count="3">
    <mergeCell ref="C2:E2"/>
    <mergeCell ref="G2:I2"/>
    <mergeCell ref="K2:M2"/>
  </mergeCells>
  <phoneticPr fontId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E7B52-F6F4-9B4D-9A3A-9B918291D2D3}">
  <dimension ref="B2:W17"/>
  <sheetViews>
    <sheetView tabSelected="1" workbookViewId="0">
      <selection activeCell="B3" sqref="B3:E14"/>
    </sheetView>
  </sheetViews>
  <sheetFormatPr baseColWidth="10" defaultRowHeight="20"/>
  <sheetData>
    <row r="2" spans="2:23">
      <c r="B2" s="1"/>
      <c r="C2" s="5" t="s">
        <v>0</v>
      </c>
      <c r="D2" s="5"/>
      <c r="E2" s="5"/>
      <c r="G2" s="1"/>
      <c r="H2" s="5" t="s">
        <v>0</v>
      </c>
      <c r="I2" s="5"/>
      <c r="J2" s="5"/>
    </row>
    <row r="3" spans="2:23">
      <c r="B3" s="1" t="s">
        <v>20</v>
      </c>
      <c r="C3" s="1" t="s">
        <v>4</v>
      </c>
      <c r="D3" s="1" t="s">
        <v>5</v>
      </c>
      <c r="E3" s="1" t="s">
        <v>6</v>
      </c>
      <c r="G3" s="1" t="s">
        <v>3</v>
      </c>
      <c r="H3" s="1" t="s">
        <v>4</v>
      </c>
      <c r="I3" s="1" t="s">
        <v>5</v>
      </c>
      <c r="J3" s="1" t="s">
        <v>6</v>
      </c>
      <c r="L3" t="s">
        <v>20</v>
      </c>
      <c r="M3" t="s">
        <v>21</v>
      </c>
      <c r="N3" t="s">
        <v>22</v>
      </c>
    </row>
    <row r="4" spans="2:23">
      <c r="B4" s="1">
        <v>0</v>
      </c>
      <c r="C4" s="1">
        <v>13.371600000000001</v>
      </c>
      <c r="D4" s="1">
        <v>15.0291</v>
      </c>
      <c r="E4" s="1">
        <v>14.1426</v>
      </c>
      <c r="G4" s="1">
        <v>0</v>
      </c>
      <c r="H4" s="1">
        <v>12.629300000000001</v>
      </c>
      <c r="I4" s="1">
        <v>12.6388</v>
      </c>
      <c r="J4" s="1">
        <v>12.634</v>
      </c>
      <c r="L4" s="1">
        <v>0</v>
      </c>
      <c r="M4" s="1">
        <v>14.1426</v>
      </c>
      <c r="N4" s="1">
        <v>12.634</v>
      </c>
    </row>
    <row r="5" spans="2:23">
      <c r="B5" s="2">
        <v>0.1</v>
      </c>
      <c r="C5" s="1">
        <v>13.7654</v>
      </c>
      <c r="D5" s="1">
        <v>15.3637</v>
      </c>
      <c r="E5" s="1">
        <v>14.5174</v>
      </c>
      <c r="G5" s="2">
        <v>0.1</v>
      </c>
      <c r="H5" s="1">
        <v>12.4085</v>
      </c>
      <c r="I5" s="1">
        <v>12.976900000000001</v>
      </c>
      <c r="J5" s="1">
        <v>12.687099999999999</v>
      </c>
      <c r="L5" s="1">
        <v>0.1</v>
      </c>
      <c r="M5" s="1">
        <v>14.5174</v>
      </c>
      <c r="N5" s="1">
        <v>12.687099999999999</v>
      </c>
    </row>
    <row r="6" spans="2:23">
      <c r="B6" s="1">
        <v>0.2</v>
      </c>
      <c r="C6" s="1">
        <v>12.925000000000001</v>
      </c>
      <c r="D6" s="1">
        <v>16.002199999999998</v>
      </c>
      <c r="E6" s="1">
        <v>14.354699999999999</v>
      </c>
      <c r="G6" s="1">
        <v>0.2</v>
      </c>
      <c r="H6" s="1">
        <v>10.789899999999999</v>
      </c>
      <c r="I6" s="1">
        <v>15.3452</v>
      </c>
      <c r="J6" s="1">
        <v>12.838200000000001</v>
      </c>
      <c r="L6" s="1">
        <v>0.2</v>
      </c>
      <c r="M6" s="1">
        <v>14.354699999999999</v>
      </c>
      <c r="N6" s="1">
        <v>12.838200000000001</v>
      </c>
    </row>
    <row r="7" spans="2:23">
      <c r="B7" s="1">
        <v>0.3</v>
      </c>
      <c r="C7" s="1">
        <v>12.051500000000001</v>
      </c>
      <c r="D7" s="1">
        <v>15.7593</v>
      </c>
      <c r="E7" s="1">
        <v>13.7532</v>
      </c>
      <c r="G7" s="1">
        <v>0.3</v>
      </c>
      <c r="H7" s="1">
        <v>10.6576</v>
      </c>
      <c r="I7" s="1">
        <v>15.2767</v>
      </c>
      <c r="J7" s="1">
        <v>12.7019</v>
      </c>
      <c r="L7" s="1">
        <v>0.3</v>
      </c>
      <c r="M7" s="1">
        <v>13.7532</v>
      </c>
      <c r="N7" s="1">
        <v>12.7019</v>
      </c>
      <c r="U7" s="1"/>
      <c r="V7" s="1"/>
      <c r="W7" s="1"/>
    </row>
    <row r="8" spans="2:23">
      <c r="B8" s="1">
        <v>0.4</v>
      </c>
      <c r="C8" s="1">
        <v>11.384499999999999</v>
      </c>
      <c r="D8" s="1">
        <v>16.665700000000001</v>
      </c>
      <c r="E8" s="1">
        <v>13.66</v>
      </c>
      <c r="G8" s="1">
        <v>0.4</v>
      </c>
      <c r="H8" s="1">
        <v>9.0151599999999998</v>
      </c>
      <c r="I8" s="1">
        <v>16.503599999999999</v>
      </c>
      <c r="J8" s="1">
        <v>12.0733</v>
      </c>
      <c r="L8" s="1">
        <v>0.4</v>
      </c>
      <c r="M8" s="1">
        <v>13.66</v>
      </c>
      <c r="N8" s="1">
        <v>12.0733</v>
      </c>
      <c r="U8" s="1"/>
      <c r="V8" s="1"/>
    </row>
    <row r="9" spans="2:23">
      <c r="B9" s="1">
        <v>0.5</v>
      </c>
      <c r="C9" s="1">
        <v>11.382099999999999</v>
      </c>
      <c r="D9" s="1">
        <v>16.670000000000002</v>
      </c>
      <c r="E9" s="1">
        <v>13.659700000000001</v>
      </c>
      <c r="G9" s="1">
        <v>0.5</v>
      </c>
      <c r="H9" s="1">
        <v>11.2463</v>
      </c>
      <c r="I9" s="1">
        <v>16.383700000000001</v>
      </c>
      <c r="J9" s="1">
        <v>13.478999999999999</v>
      </c>
      <c r="L9" s="1">
        <v>0.5</v>
      </c>
      <c r="M9" s="1">
        <v>13.659700000000001</v>
      </c>
      <c r="N9" s="1">
        <v>13.478999999999999</v>
      </c>
      <c r="U9" s="1"/>
      <c r="V9" s="1"/>
      <c r="W9" s="1"/>
    </row>
    <row r="10" spans="2:23">
      <c r="B10" s="1">
        <v>0.6</v>
      </c>
      <c r="C10" s="1">
        <v>11.382099999999999</v>
      </c>
      <c r="D10" s="1">
        <v>16.670000000000002</v>
      </c>
      <c r="E10" s="1">
        <v>13.659700000000001</v>
      </c>
      <c r="G10" s="1">
        <v>0.6</v>
      </c>
      <c r="H10" s="1">
        <v>9.8382299999999994</v>
      </c>
      <c r="I10" s="1">
        <v>16.537500000000001</v>
      </c>
      <c r="J10" s="1">
        <v>12.6257</v>
      </c>
      <c r="L10" s="1">
        <v>0.6</v>
      </c>
      <c r="M10" s="1">
        <v>13.659700000000001</v>
      </c>
      <c r="N10" s="1">
        <v>12.6257</v>
      </c>
      <c r="U10" s="1"/>
      <c r="V10" s="1"/>
      <c r="W10" s="1"/>
    </row>
    <row r="11" spans="2:23">
      <c r="B11" s="1">
        <v>0.7</v>
      </c>
      <c r="C11" s="1">
        <v>11.382099999999999</v>
      </c>
      <c r="D11" s="1">
        <v>16.670000000000002</v>
      </c>
      <c r="E11" s="1">
        <v>13.659700000000001</v>
      </c>
      <c r="G11" s="1">
        <v>0.7</v>
      </c>
      <c r="H11" s="1">
        <v>8.1286900000000006</v>
      </c>
      <c r="I11" s="1">
        <v>16.670000000000002</v>
      </c>
      <c r="J11" s="1">
        <v>11.488099999999999</v>
      </c>
      <c r="L11" s="1">
        <v>0.7</v>
      </c>
      <c r="M11" s="1">
        <v>13.659700000000001</v>
      </c>
      <c r="N11" s="1">
        <v>11.488099999999999</v>
      </c>
      <c r="U11" s="1"/>
      <c r="V11" s="1"/>
      <c r="W11" s="1"/>
    </row>
    <row r="12" spans="2:23">
      <c r="B12" s="1">
        <v>0.8</v>
      </c>
      <c r="C12" s="1">
        <v>11.382099999999999</v>
      </c>
      <c r="D12" s="1">
        <v>16.670000000000002</v>
      </c>
      <c r="E12" s="1">
        <v>13.659700000000001</v>
      </c>
      <c r="G12" s="1">
        <v>0.8</v>
      </c>
      <c r="H12" s="1">
        <v>8.1286900000000006</v>
      </c>
      <c r="I12" s="1">
        <v>16.670000000000002</v>
      </c>
      <c r="J12" s="1">
        <v>11.488099999999999</v>
      </c>
      <c r="L12" s="1">
        <v>0.8</v>
      </c>
      <c r="M12" s="1">
        <v>13.659700000000001</v>
      </c>
      <c r="N12" s="1">
        <v>11.488099999999999</v>
      </c>
      <c r="U12" s="1"/>
      <c r="V12" s="1"/>
      <c r="W12" s="1"/>
    </row>
    <row r="13" spans="2:23">
      <c r="B13" s="1">
        <v>0.9</v>
      </c>
      <c r="C13" s="1">
        <v>11.382099999999999</v>
      </c>
      <c r="D13" s="1">
        <v>16.670000000000002</v>
      </c>
      <c r="E13" s="1">
        <v>13.659700000000001</v>
      </c>
      <c r="G13" s="1">
        <v>0.9</v>
      </c>
      <c r="H13" s="1">
        <v>8.1286900000000006</v>
      </c>
      <c r="I13" s="1">
        <v>16.670000000000002</v>
      </c>
      <c r="J13" s="1">
        <v>11.488099999999999</v>
      </c>
      <c r="L13" s="1">
        <v>0.9</v>
      </c>
      <c r="M13" s="1">
        <v>13.659700000000001</v>
      </c>
      <c r="N13" s="1">
        <v>11.488099999999999</v>
      </c>
      <c r="U13" s="1"/>
      <c r="V13" s="1"/>
      <c r="W13" s="1"/>
    </row>
    <row r="14" spans="2:23">
      <c r="B14" s="1">
        <v>1</v>
      </c>
      <c r="C14" s="1">
        <v>11.382099999999999</v>
      </c>
      <c r="D14" s="1">
        <v>16.670000000000002</v>
      </c>
      <c r="E14" s="1">
        <v>13.659700000000001</v>
      </c>
      <c r="G14" s="1">
        <v>1</v>
      </c>
      <c r="H14" s="1">
        <v>8.1286900000000006</v>
      </c>
      <c r="I14" s="1">
        <v>16.670000000000002</v>
      </c>
      <c r="J14" s="1">
        <v>11.488099999999999</v>
      </c>
      <c r="L14" s="1">
        <v>1</v>
      </c>
      <c r="M14" s="1">
        <v>13.659700000000001</v>
      </c>
      <c r="N14" s="1">
        <v>11.488099999999999</v>
      </c>
      <c r="U14" s="1"/>
      <c r="V14" s="1"/>
      <c r="W14" s="1"/>
    </row>
    <row r="17" spans="4:9">
      <c r="D17" t="s">
        <v>23</v>
      </c>
      <c r="I17" t="s">
        <v>24</v>
      </c>
    </row>
  </sheetData>
  <mergeCells count="2">
    <mergeCell ref="C2:E2"/>
    <mergeCell ref="H2:J2"/>
  </mergeCells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合流100</vt:lpstr>
      <vt:lpstr>合流200</vt:lpstr>
      <vt:lpstr>seed0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山下 裕太郎</dc:creator>
  <cp:lastModifiedBy>山下 裕太郎</cp:lastModifiedBy>
  <dcterms:created xsi:type="dcterms:W3CDTF">2023-11-21T05:04:57Z</dcterms:created>
  <dcterms:modified xsi:type="dcterms:W3CDTF">2023-12-08T05:19:23Z</dcterms:modified>
</cp:coreProperties>
</file>