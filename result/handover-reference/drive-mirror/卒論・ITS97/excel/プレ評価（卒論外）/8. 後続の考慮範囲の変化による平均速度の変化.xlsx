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B9D38A5F-E4F8-A945-A4A6-564627F3E8C4}" xr6:coauthVersionLast="47" xr6:coauthVersionMax="47" xr10:uidLastSave="{00000000-0000-0000-0000-000000000000}"/>
  <bookViews>
    <workbookView xWindow="0" yWindow="0" windowWidth="28800" windowHeight="18000" firstSheet="1" activeTab="15" xr2:uid="{CAC5BBBE-A6B5-E140-8FBE-C9DC53CD08A6}"/>
  </bookViews>
  <sheets>
    <sheet name="seed1" sheetId="1" r:id="rId1"/>
    <sheet name="seed2" sheetId="2" r:id="rId2"/>
    <sheet name="seed3" sheetId="3" r:id="rId3"/>
    <sheet name="seed4" sheetId="4" r:id="rId4"/>
    <sheet name="seed5" sheetId="5" r:id="rId5"/>
    <sheet name="average1-5" sheetId="6" r:id="rId6"/>
    <sheet name="seed7" sheetId="7" r:id="rId7"/>
    <sheet name="seed8" sheetId="8" r:id="rId8"/>
    <sheet name="seed9" sheetId="9" r:id="rId9"/>
    <sheet name="seed10" sheetId="10" r:id="rId10"/>
    <sheet name="average1-10" sheetId="11" r:id="rId11"/>
    <sheet name="seed11" sheetId="12" r:id="rId12"/>
    <sheet name="seed12" sheetId="13" r:id="rId13"/>
    <sheet name="seed13" sheetId="14" r:id="rId14"/>
    <sheet name="seed14" sheetId="15" r:id="rId15"/>
    <sheet name="seed15" sheetId="16" r:id="rId16"/>
    <sheet name="average1-15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7" l="1"/>
  <c r="D5" i="17"/>
  <c r="E5" i="17"/>
  <c r="C6" i="17"/>
  <c r="D6" i="17"/>
  <c r="E6" i="17"/>
  <c r="C7" i="17"/>
  <c r="D7" i="17"/>
  <c r="E7" i="17"/>
  <c r="C8" i="17"/>
  <c r="D8" i="17"/>
  <c r="E8" i="17"/>
  <c r="C9" i="17"/>
  <c r="D9" i="17"/>
  <c r="E9" i="17"/>
  <c r="C10" i="17"/>
  <c r="D10" i="17"/>
  <c r="E10" i="17"/>
  <c r="C11" i="17"/>
  <c r="D11" i="17"/>
  <c r="E11" i="17"/>
  <c r="C12" i="17"/>
  <c r="D12" i="17"/>
  <c r="E12" i="17"/>
  <c r="C13" i="17"/>
  <c r="D13" i="17"/>
  <c r="E13" i="17"/>
  <c r="C14" i="17"/>
  <c r="D14" i="17"/>
  <c r="E14" i="17"/>
  <c r="D4" i="17"/>
  <c r="E4" i="17"/>
  <c r="C4" i="17"/>
  <c r="H21" i="11"/>
  <c r="I21" i="11"/>
  <c r="J21" i="11"/>
  <c r="H22" i="11"/>
  <c r="I22" i="11"/>
  <c r="J22" i="11"/>
  <c r="H23" i="11"/>
  <c r="I23" i="11"/>
  <c r="J23" i="11"/>
  <c r="H24" i="11"/>
  <c r="I24" i="11"/>
  <c r="J24" i="11"/>
  <c r="H25" i="11"/>
  <c r="I25" i="11"/>
  <c r="J25" i="11"/>
  <c r="H26" i="11"/>
  <c r="I26" i="11"/>
  <c r="J26" i="11"/>
  <c r="H27" i="11"/>
  <c r="I27" i="11"/>
  <c r="J27" i="11"/>
  <c r="H28" i="11"/>
  <c r="I28" i="11"/>
  <c r="J28" i="11"/>
  <c r="H29" i="11"/>
  <c r="I29" i="11"/>
  <c r="J29" i="11"/>
  <c r="H30" i="11"/>
  <c r="I30" i="11"/>
  <c r="J30" i="11"/>
  <c r="I20" i="11"/>
  <c r="J20" i="11"/>
  <c r="C21" i="11"/>
  <c r="D21" i="11"/>
  <c r="E21" i="11"/>
  <c r="C22" i="11"/>
  <c r="D22" i="11"/>
  <c r="E22" i="11"/>
  <c r="C23" i="11"/>
  <c r="D23" i="11"/>
  <c r="E23" i="11"/>
  <c r="C24" i="11"/>
  <c r="D24" i="11"/>
  <c r="E24" i="11"/>
  <c r="C25" i="11"/>
  <c r="D25" i="11"/>
  <c r="E25" i="11"/>
  <c r="C26" i="11"/>
  <c r="D26" i="11"/>
  <c r="E26" i="11"/>
  <c r="C27" i="11"/>
  <c r="D27" i="11"/>
  <c r="E27" i="11"/>
  <c r="C28" i="11"/>
  <c r="D28" i="11"/>
  <c r="E28" i="11"/>
  <c r="C29" i="11"/>
  <c r="D29" i="11"/>
  <c r="E29" i="11"/>
  <c r="C30" i="11"/>
  <c r="D30" i="11"/>
  <c r="E30" i="11"/>
  <c r="D20" i="11"/>
  <c r="E20" i="11"/>
  <c r="C5" i="11"/>
  <c r="D5" i="11"/>
  <c r="E5" i="11"/>
  <c r="C6" i="11"/>
  <c r="D6" i="11"/>
  <c r="E6" i="11"/>
  <c r="C7" i="11"/>
  <c r="D7" i="11"/>
  <c r="E7" i="11"/>
  <c r="C8" i="11"/>
  <c r="D8" i="11"/>
  <c r="E8" i="11"/>
  <c r="C9" i="11"/>
  <c r="D9" i="11"/>
  <c r="E9" i="11"/>
  <c r="C10" i="11"/>
  <c r="D10" i="11"/>
  <c r="E10" i="11"/>
  <c r="C11" i="11"/>
  <c r="D11" i="11"/>
  <c r="E11" i="11"/>
  <c r="C12" i="11"/>
  <c r="D12" i="11"/>
  <c r="E12" i="11"/>
  <c r="C13" i="11"/>
  <c r="D13" i="11"/>
  <c r="E13" i="11"/>
  <c r="C14" i="11"/>
  <c r="D14" i="11"/>
  <c r="E14" i="11"/>
  <c r="D4" i="11"/>
  <c r="E4" i="11"/>
  <c r="C20" i="11"/>
  <c r="H20" i="11"/>
  <c r="C4" i="11"/>
  <c r="H21" i="6"/>
  <c r="I21" i="6"/>
  <c r="J21" i="6"/>
  <c r="H22" i="6"/>
  <c r="I22" i="6"/>
  <c r="J22" i="6"/>
  <c r="H23" i="6"/>
  <c r="I23" i="6"/>
  <c r="J23" i="6"/>
  <c r="H24" i="6"/>
  <c r="I24" i="6"/>
  <c r="J24" i="6"/>
  <c r="H25" i="6"/>
  <c r="I25" i="6"/>
  <c r="J25" i="6"/>
  <c r="H26" i="6"/>
  <c r="I26" i="6"/>
  <c r="J26" i="6"/>
  <c r="H27" i="6"/>
  <c r="I27" i="6"/>
  <c r="J27" i="6"/>
  <c r="H28" i="6"/>
  <c r="I28" i="6"/>
  <c r="J28" i="6"/>
  <c r="H29" i="6"/>
  <c r="I29" i="6"/>
  <c r="J29" i="6"/>
  <c r="H30" i="6"/>
  <c r="I30" i="6"/>
  <c r="J30" i="6"/>
  <c r="I20" i="6"/>
  <c r="J20" i="6"/>
  <c r="H5" i="6"/>
  <c r="I5" i="6"/>
  <c r="J5" i="6"/>
  <c r="H6" i="6"/>
  <c r="I6" i="6"/>
  <c r="J6" i="6"/>
  <c r="H7" i="6"/>
  <c r="I7" i="6"/>
  <c r="J7" i="6"/>
  <c r="H8" i="6"/>
  <c r="I8" i="6"/>
  <c r="J8" i="6"/>
  <c r="H9" i="6"/>
  <c r="I9" i="6"/>
  <c r="J9" i="6"/>
  <c r="H10" i="6"/>
  <c r="I10" i="6"/>
  <c r="J10" i="6"/>
  <c r="H11" i="6"/>
  <c r="I11" i="6"/>
  <c r="J11" i="6"/>
  <c r="H12" i="6"/>
  <c r="I12" i="6"/>
  <c r="J12" i="6"/>
  <c r="H13" i="6"/>
  <c r="I13" i="6"/>
  <c r="J13" i="6"/>
  <c r="H14" i="6"/>
  <c r="I14" i="6"/>
  <c r="J14" i="6"/>
  <c r="I4" i="6"/>
  <c r="J4" i="6"/>
  <c r="C21" i="6"/>
  <c r="D21" i="6"/>
  <c r="E21" i="6"/>
  <c r="C22" i="6"/>
  <c r="D22" i="6"/>
  <c r="E22" i="6"/>
  <c r="C23" i="6"/>
  <c r="D23" i="6"/>
  <c r="E23" i="6"/>
  <c r="C24" i="6"/>
  <c r="D24" i="6"/>
  <c r="E24" i="6"/>
  <c r="C25" i="6"/>
  <c r="D25" i="6"/>
  <c r="E25" i="6"/>
  <c r="C26" i="6"/>
  <c r="D26" i="6"/>
  <c r="E26" i="6"/>
  <c r="C27" i="6"/>
  <c r="D27" i="6"/>
  <c r="E27" i="6"/>
  <c r="C28" i="6"/>
  <c r="D28" i="6"/>
  <c r="E28" i="6"/>
  <c r="C29" i="6"/>
  <c r="D29" i="6"/>
  <c r="E29" i="6"/>
  <c r="C30" i="6"/>
  <c r="D30" i="6"/>
  <c r="E30" i="6"/>
  <c r="D20" i="6"/>
  <c r="E20" i="6"/>
  <c r="C5" i="6"/>
  <c r="D5" i="6"/>
  <c r="E5" i="6"/>
  <c r="C6" i="6"/>
  <c r="D6" i="6"/>
  <c r="E6" i="6"/>
  <c r="C7" i="6"/>
  <c r="D7" i="6"/>
  <c r="E7" i="6"/>
  <c r="C8" i="6"/>
  <c r="D8" i="6"/>
  <c r="E8" i="6"/>
  <c r="C9" i="6"/>
  <c r="D9" i="6"/>
  <c r="E9" i="6"/>
  <c r="C10" i="6"/>
  <c r="D10" i="6"/>
  <c r="E10" i="6"/>
  <c r="C11" i="6"/>
  <c r="D11" i="6"/>
  <c r="E11" i="6"/>
  <c r="C12" i="6"/>
  <c r="D12" i="6"/>
  <c r="E12" i="6"/>
  <c r="C13" i="6"/>
  <c r="D13" i="6"/>
  <c r="E13" i="6"/>
  <c r="C14" i="6"/>
  <c r="D14" i="6"/>
  <c r="E14" i="6"/>
  <c r="D4" i="6"/>
  <c r="E4" i="6"/>
  <c r="H4" i="6"/>
  <c r="H20" i="6"/>
  <c r="C20" i="6"/>
  <c r="C4" i="6"/>
</calcChain>
</file>

<file path=xl/sharedStrings.xml><?xml version="1.0" encoding="utf-8"?>
<sst xmlns="http://schemas.openxmlformats.org/spreadsheetml/2006/main" count="340" uniqueCount="18">
  <si>
    <t>α</t>
  </si>
  <si>
    <t>vehicle0</t>
  </si>
  <si>
    <t>vehicle1</t>
  </si>
  <si>
    <t>all</t>
  </si>
  <si>
    <t>合流200m手前（後続全て）</t>
  </si>
  <si>
    <t>合流200m手前（後続全て）</t>
    <rPh sb="9" eb="12">
      <t>コウゾク</t>
    </rPh>
    <phoneticPr fontId="1"/>
  </si>
  <si>
    <t>1000/1000</t>
  </si>
  <si>
    <t>1000/1000</t>
    <phoneticPr fontId="1"/>
  </si>
  <si>
    <t>750/750</t>
  </si>
  <si>
    <t>750/750</t>
    <phoneticPr fontId="1"/>
  </si>
  <si>
    <t>合流200m手前（後続全て）</t>
    <rPh sb="9" eb="11">
      <t>コウゾク</t>
    </rPh>
    <rPh sb="11" eb="12">
      <t xml:space="preserve">スベテ </t>
    </rPh>
    <phoneticPr fontId="1"/>
  </si>
  <si>
    <t>excel7</t>
    <phoneticPr fontId="1"/>
  </si>
  <si>
    <t>1250/750</t>
    <phoneticPr fontId="1"/>
  </si>
  <si>
    <t>750/1250</t>
    <phoneticPr fontId="1"/>
  </si>
  <si>
    <t>hpc</t>
    <phoneticPr fontId="1"/>
  </si>
  <si>
    <t>mac</t>
    <phoneticPr fontId="1"/>
  </si>
  <si>
    <t>合流200m手前（後続全て）</t>
    <rPh sb="11" eb="12">
      <t>スベテ</t>
    </rPh>
    <phoneticPr fontId="1"/>
  </si>
  <si>
    <t>veh18低速</t>
    <rPh sb="5" eb="7">
      <t>テイソク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</si>
</sst>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'average1-15'!$C$2</c:f>
              <c:strCache>
                <c:ptCount val="1"/>
                <c:pt idx="0">
                  <c:v>合流200m手前（後続全て）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'average1-15'!$B$3:$B$14</c:f>
              <c:strCache>
                <c:ptCount val="12"/>
                <c:pt idx="0">
                  <c:v>α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strCache>
            </c:strRef>
          </c:xVal>
          <c:yVal>
            <c:numRef>
              <c:f>'average1-15'!$C$3:$C$14</c:f>
              <c:numCache>
                <c:formatCode>General</c:formatCode>
                <c:ptCount val="12"/>
                <c:pt idx="0">
                  <c:v>0</c:v>
                </c:pt>
                <c:pt idx="1">
                  <c:v>14.015700000000001</c:v>
                </c:pt>
                <c:pt idx="2">
                  <c:v>14.015700000000001</c:v>
                </c:pt>
                <c:pt idx="3">
                  <c:v>13.922499999999999</c:v>
                </c:pt>
                <c:pt idx="4">
                  <c:v>13.922700000000001</c:v>
                </c:pt>
                <c:pt idx="5">
                  <c:v>13.8475</c:v>
                </c:pt>
                <c:pt idx="6">
                  <c:v>13.9183</c:v>
                </c:pt>
                <c:pt idx="7">
                  <c:v>13.605600000000001</c:v>
                </c:pt>
                <c:pt idx="8">
                  <c:v>13.0661</c:v>
                </c:pt>
                <c:pt idx="9">
                  <c:v>11.898400000000001</c:v>
                </c:pt>
                <c:pt idx="10">
                  <c:v>11.4376</c:v>
                </c:pt>
                <c:pt idx="11">
                  <c:v>11.440799999999999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E-244B-AE7E-74A9215EE5D9}"/>
            </c:ext>
          </c:extLst>
        </c:ser>
        <c:ser>
          <c:idx val="1"/>
          <c:order val="1"/>
          <c:tx>
            <c:strRef>
              <c:f>'average1-15'!$D$2</c:f>
              <c:strCache>
                <c:ptCount val="1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'average1-15'!$B$3:$B$14</c:f>
              <c:strCache>
                <c:ptCount val="12"/>
                <c:pt idx="0">
                  <c:v>α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strCache>
            </c:strRef>
          </c:xVal>
          <c:yVal>
            <c:numRef>
              <c:f>'average1-15'!$D$3:$D$14</c:f>
              <c:numCache>
                <c:formatCode>General</c:formatCode>
                <c:ptCount val="12"/>
                <c:pt idx="0">
                  <c:v>0</c:v>
                </c:pt>
                <c:pt idx="1">
                  <c:v>13.616300000000001</c:v>
                </c:pt>
                <c:pt idx="2">
                  <c:v>13.616300000000001</c:v>
                </c:pt>
                <c:pt idx="3">
                  <c:v>13.763299999999999</c:v>
                </c:pt>
                <c:pt idx="4">
                  <c:v>13.957599999999999</c:v>
                </c:pt>
                <c:pt idx="5">
                  <c:v>14.3627</c:v>
                </c:pt>
                <c:pt idx="6">
                  <c:v>14.879</c:v>
                </c:pt>
                <c:pt idx="7">
                  <c:v>15.3901</c:v>
                </c:pt>
                <c:pt idx="8">
                  <c:v>16.2639</c:v>
                </c:pt>
                <c:pt idx="9">
                  <c:v>16.591999999999999</c:v>
                </c:pt>
                <c:pt idx="10">
                  <c:v>16.669699999999999</c:v>
                </c:pt>
                <c:pt idx="11">
                  <c:v>16.670000000000002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6E-244B-AE7E-74A9215EE5D9}"/>
            </c:ext>
          </c:extLst>
        </c:ser>
        <c:ser>
          <c:idx val="2"/>
          <c:order val="2"/>
          <c:tx>
            <c:strRef>
              <c:f>'average1-15'!$E$2</c:f>
              <c:strCache>
                <c:ptCount val="1"/>
                <c:pt idx="0">
                  <c:v>1000/1000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'average1-15'!$B$3:$B$14</c:f>
              <c:strCache>
                <c:ptCount val="12"/>
                <c:pt idx="0">
                  <c:v>α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0.5</c:v>
                </c:pt>
                <c:pt idx="7">
                  <c:v>0.6</c:v>
                </c:pt>
                <c:pt idx="8">
                  <c:v>0.7</c:v>
                </c:pt>
                <c:pt idx="9">
                  <c:v>0.8</c:v>
                </c:pt>
                <c:pt idx="10">
                  <c:v>0.9</c:v>
                </c:pt>
                <c:pt idx="11">
                  <c:v>1</c:v>
                </c:pt>
              </c:strCache>
            </c:strRef>
          </c:xVal>
          <c:yVal>
            <c:numRef>
              <c:f>'average1-15'!$E$3:$E$14</c:f>
              <c:numCache>
                <c:formatCode>General</c:formatCode>
                <c:ptCount val="12"/>
                <c:pt idx="0">
                  <c:v>0</c:v>
                </c:pt>
                <c:pt idx="1">
                  <c:v>13.819699999999999</c:v>
                </c:pt>
                <c:pt idx="2">
                  <c:v>13.819699999999999</c:v>
                </c:pt>
                <c:pt idx="3">
                  <c:v>13.846500000000001</c:v>
                </c:pt>
                <c:pt idx="4">
                  <c:v>13.9397</c:v>
                </c:pt>
                <c:pt idx="5">
                  <c:v>14.088699999999999</c:v>
                </c:pt>
                <c:pt idx="6">
                  <c:v>14.375500000000001</c:v>
                </c:pt>
                <c:pt idx="7">
                  <c:v>14.4377</c:v>
                </c:pt>
                <c:pt idx="8">
                  <c:v>14.504799999999999</c:v>
                </c:pt>
                <c:pt idx="9">
                  <c:v>13.9382</c:v>
                </c:pt>
                <c:pt idx="10">
                  <c:v>13.693</c:v>
                </c:pt>
                <c:pt idx="11">
                  <c:v>13.694900000000001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6E-244B-AE7E-74A9215EE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882767"/>
        <c:axId val="195776335"/>
      </c:scatterChart>
      <c:valAx>
        <c:axId val="19588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776335"/>
        <c:crosses val="autoZero"/>
        <c:crossBetween val="midCat"/>
      </c:valAx>
      <c:valAx>
        <c:axId val="19577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88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11</xdr:row>
      <xdr:rowOff>6350</xdr:rowOff>
    </xdr:from>
    <xdr:to>
      <xdr:col>11</xdr:col>
      <xdr:colOff>787400</xdr:colOff>
      <xdr:row>21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2EF3A8C-063C-DF09-A66F-5CD6F4151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6D35-9FD8-F142-B7E3-8237F792386D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5</v>
      </c>
      <c r="D2" s="1"/>
      <c r="E2" s="1" t="s">
        <v>7</v>
      </c>
      <c r="G2" s="1"/>
      <c r="H2" s="1" t="s">
        <v>5</v>
      </c>
      <c r="I2" s="1"/>
      <c r="J2" s="1" t="s">
        <v>9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14.7242</v>
      </c>
      <c r="D4">
        <v>13.223699999999999</v>
      </c>
      <c r="E4">
        <v>13.982799999999999</v>
      </c>
      <c r="G4" s="1">
        <v>0</v>
      </c>
      <c r="H4">
        <v>16.427099999999999</v>
      </c>
      <c r="I4">
        <v>16.601099999999999</v>
      </c>
      <c r="J4">
        <v>16.508299999999998</v>
      </c>
    </row>
    <row r="5" spans="2:10">
      <c r="B5" s="1">
        <v>0.1</v>
      </c>
      <c r="C5">
        <v>14.7242</v>
      </c>
      <c r="D5">
        <v>13.223699999999999</v>
      </c>
      <c r="E5">
        <v>13.982799999999999</v>
      </c>
      <c r="G5" s="1">
        <v>0.1</v>
      </c>
      <c r="H5">
        <v>16.427099999999999</v>
      </c>
      <c r="I5">
        <v>16.601099999999999</v>
      </c>
      <c r="J5">
        <v>16.508299999999998</v>
      </c>
    </row>
    <row r="6" spans="2:10">
      <c r="B6" s="1">
        <v>0.2</v>
      </c>
      <c r="C6">
        <v>14.7242</v>
      </c>
      <c r="D6">
        <v>13.223699999999999</v>
      </c>
      <c r="E6">
        <v>13.982799999999999</v>
      </c>
      <c r="G6" s="1">
        <v>0.2</v>
      </c>
      <c r="H6">
        <v>16.427099999999999</v>
      </c>
      <c r="I6">
        <v>16.601099999999999</v>
      </c>
      <c r="J6">
        <v>16.508299999999998</v>
      </c>
    </row>
    <row r="7" spans="2:10">
      <c r="B7" s="1">
        <v>0.3</v>
      </c>
      <c r="C7">
        <v>14.7233</v>
      </c>
      <c r="D7">
        <v>13.226900000000001</v>
      </c>
      <c r="E7">
        <v>13.984</v>
      </c>
      <c r="G7" s="1">
        <v>0.3</v>
      </c>
      <c r="H7">
        <v>16.427099999999999</v>
      </c>
      <c r="I7">
        <v>16.601099999999999</v>
      </c>
      <c r="J7">
        <v>16.508299999999998</v>
      </c>
    </row>
    <row r="8" spans="2:10">
      <c r="B8" s="1">
        <v>0.4</v>
      </c>
      <c r="C8">
        <v>14.7233</v>
      </c>
      <c r="D8">
        <v>13.226900000000001</v>
      </c>
      <c r="E8">
        <v>13.984</v>
      </c>
      <c r="G8" s="1">
        <v>0.4</v>
      </c>
      <c r="H8">
        <v>16.427099999999999</v>
      </c>
      <c r="I8">
        <v>16.601099999999999</v>
      </c>
      <c r="J8">
        <v>16.508299999999998</v>
      </c>
    </row>
    <row r="9" spans="2:10">
      <c r="B9" s="1">
        <v>0.5</v>
      </c>
      <c r="C9">
        <v>14.4061</v>
      </c>
      <c r="D9">
        <v>13.6768</v>
      </c>
      <c r="E9">
        <v>14.0458</v>
      </c>
      <c r="G9" s="1">
        <v>0.5</v>
      </c>
      <c r="H9">
        <v>16.427099999999999</v>
      </c>
      <c r="I9">
        <v>16.601099999999999</v>
      </c>
      <c r="J9">
        <v>16.508299999999998</v>
      </c>
    </row>
    <row r="10" spans="2:10">
      <c r="B10" s="1">
        <v>0.6</v>
      </c>
      <c r="C10">
        <v>14.234999999999999</v>
      </c>
      <c r="D10">
        <v>15.173</v>
      </c>
      <c r="E10">
        <v>14.6927</v>
      </c>
      <c r="G10" s="1">
        <v>0.6</v>
      </c>
      <c r="H10">
        <v>16.427099999999999</v>
      </c>
      <c r="I10">
        <v>16.601099999999999</v>
      </c>
      <c r="J10">
        <v>16.508299999999998</v>
      </c>
    </row>
    <row r="11" spans="2:10">
      <c r="B11" s="1">
        <v>0.7</v>
      </c>
      <c r="C11">
        <v>13.384399999999999</v>
      </c>
      <c r="D11">
        <v>16.252700000000001</v>
      </c>
      <c r="E11">
        <v>14.7117</v>
      </c>
      <c r="G11" s="1">
        <v>0.7</v>
      </c>
      <c r="H11">
        <v>16.388999999999999</v>
      </c>
      <c r="I11">
        <v>16.670000000000002</v>
      </c>
      <c r="J11">
        <v>16.520199999999999</v>
      </c>
    </row>
    <row r="12" spans="2:10">
      <c r="B12" s="1">
        <v>0.8</v>
      </c>
      <c r="C12">
        <v>10.9337</v>
      </c>
      <c r="D12">
        <v>16.670000000000002</v>
      </c>
      <c r="E12">
        <v>13.403700000000001</v>
      </c>
      <c r="G12" s="1">
        <v>0.8</v>
      </c>
      <c r="H12">
        <v>16.388999999999999</v>
      </c>
      <c r="I12">
        <v>16.670000000000002</v>
      </c>
      <c r="J12">
        <v>16.520199999999999</v>
      </c>
    </row>
    <row r="13" spans="2:10">
      <c r="B13" s="1">
        <v>0.9</v>
      </c>
      <c r="C13">
        <v>10.9337</v>
      </c>
      <c r="D13">
        <v>16.670000000000002</v>
      </c>
      <c r="E13">
        <v>13.403700000000001</v>
      </c>
      <c r="G13" s="1">
        <v>0.9</v>
      </c>
      <c r="H13">
        <v>16.388999999999999</v>
      </c>
      <c r="I13">
        <v>16.670000000000002</v>
      </c>
      <c r="J13">
        <v>16.520199999999999</v>
      </c>
    </row>
    <row r="14" spans="2:10">
      <c r="B14" s="1">
        <v>1</v>
      </c>
      <c r="C14">
        <v>10.9337</v>
      </c>
      <c r="D14">
        <v>16.670000000000002</v>
      </c>
      <c r="E14">
        <v>13.403700000000001</v>
      </c>
      <c r="G14" s="1">
        <v>1</v>
      </c>
      <c r="H14">
        <v>16.388999999999999</v>
      </c>
      <c r="I14">
        <v>16.670000000000002</v>
      </c>
      <c r="J14">
        <v>16.520199999999999</v>
      </c>
    </row>
    <row r="16" spans="2:10">
      <c r="D16" t="s">
        <v>11</v>
      </c>
      <c r="I16" t="s">
        <v>14</v>
      </c>
    </row>
    <row r="18" spans="2:10">
      <c r="B18" s="1"/>
      <c r="C18" s="1" t="s">
        <v>5</v>
      </c>
      <c r="D18" s="1"/>
      <c r="E18" s="1" t="s">
        <v>12</v>
      </c>
      <c r="G18" s="1"/>
      <c r="H18" s="1" t="s">
        <v>5</v>
      </c>
      <c r="I18" s="1"/>
      <c r="J18" s="1" t="s">
        <v>13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11.6867</v>
      </c>
      <c r="D20">
        <v>12.677099999999999</v>
      </c>
      <c r="E20">
        <v>12.049099999999999</v>
      </c>
      <c r="G20" s="1">
        <v>0</v>
      </c>
      <c r="H20">
        <v>14.898199999999999</v>
      </c>
      <c r="I20">
        <v>13.2539</v>
      </c>
      <c r="J20">
        <v>13.863300000000001</v>
      </c>
    </row>
    <row r="21" spans="2:10">
      <c r="B21" s="1">
        <v>0.1</v>
      </c>
      <c r="C21">
        <v>11.6867</v>
      </c>
      <c r="D21">
        <v>12.677099999999999</v>
      </c>
      <c r="E21">
        <v>12.049099999999999</v>
      </c>
      <c r="G21" s="1">
        <v>0.1</v>
      </c>
      <c r="H21">
        <v>14.898199999999999</v>
      </c>
      <c r="I21">
        <v>13.2539</v>
      </c>
      <c r="J21">
        <v>13.863300000000001</v>
      </c>
    </row>
    <row r="22" spans="2:10">
      <c r="B22" s="1">
        <v>0.2</v>
      </c>
      <c r="C22">
        <v>11.6867</v>
      </c>
      <c r="D22">
        <v>12.677099999999999</v>
      </c>
      <c r="E22">
        <v>12.049099999999999</v>
      </c>
      <c r="G22" s="1">
        <v>0.2</v>
      </c>
      <c r="H22">
        <v>14.898199999999999</v>
      </c>
      <c r="I22">
        <v>13.2539</v>
      </c>
      <c r="J22">
        <v>13.863300000000001</v>
      </c>
    </row>
    <row r="23" spans="2:10">
      <c r="B23" s="1">
        <v>0.3</v>
      </c>
      <c r="C23">
        <v>11.6867</v>
      </c>
      <c r="D23">
        <v>12.677099999999999</v>
      </c>
      <c r="E23">
        <v>12.049099999999999</v>
      </c>
      <c r="G23" s="1">
        <v>0.3</v>
      </c>
      <c r="H23">
        <v>14.309799999999999</v>
      </c>
      <c r="I23">
        <v>14.560600000000001</v>
      </c>
      <c r="J23">
        <v>14.467700000000001</v>
      </c>
    </row>
    <row r="24" spans="2:10">
      <c r="B24" s="1">
        <v>0.4</v>
      </c>
      <c r="C24">
        <v>11.6867</v>
      </c>
      <c r="D24">
        <v>12.677099999999999</v>
      </c>
      <c r="E24">
        <v>12.049099999999999</v>
      </c>
      <c r="G24" s="1">
        <v>0.4</v>
      </c>
      <c r="H24">
        <v>11.001200000000001</v>
      </c>
      <c r="I24">
        <v>14.8833</v>
      </c>
      <c r="J24">
        <v>13.260199999999999</v>
      </c>
    </row>
    <row r="25" spans="2:10">
      <c r="B25" s="1">
        <v>0.5</v>
      </c>
      <c r="C25">
        <v>12.315099999999999</v>
      </c>
      <c r="D25">
        <v>15.3535</v>
      </c>
      <c r="E25">
        <v>13.3705</v>
      </c>
      <c r="G25" s="1">
        <v>0.5</v>
      </c>
      <c r="H25">
        <v>11.8361</v>
      </c>
      <c r="I25">
        <v>16.247599999999998</v>
      </c>
      <c r="J25">
        <v>14.408799999999999</v>
      </c>
    </row>
    <row r="26" spans="2:10">
      <c r="B26" s="1">
        <v>0.6</v>
      </c>
      <c r="C26">
        <v>12.424200000000001</v>
      </c>
      <c r="D26">
        <v>14.526899999999999</v>
      </c>
      <c r="E26">
        <v>13.182600000000001</v>
      </c>
      <c r="G26" s="1">
        <v>0.6</v>
      </c>
      <c r="H26">
        <v>11.655200000000001</v>
      </c>
      <c r="I26">
        <v>16.1479</v>
      </c>
      <c r="J26">
        <v>14.270200000000001</v>
      </c>
    </row>
    <row r="27" spans="2:10">
      <c r="B27" s="1">
        <v>0.7</v>
      </c>
      <c r="C27">
        <v>11.4368</v>
      </c>
      <c r="D27">
        <v>14.500500000000001</v>
      </c>
      <c r="E27">
        <v>12.539899999999999</v>
      </c>
      <c r="G27" s="1">
        <v>0.7</v>
      </c>
      <c r="H27">
        <v>10.761699999999999</v>
      </c>
      <c r="I27">
        <v>16.457999999999998</v>
      </c>
      <c r="J27">
        <v>14.024800000000001</v>
      </c>
    </row>
    <row r="28" spans="2:10">
      <c r="B28" s="1">
        <v>0.8</v>
      </c>
      <c r="C28">
        <v>11.648099999999999</v>
      </c>
      <c r="D28">
        <v>16.496200000000002</v>
      </c>
      <c r="E28">
        <v>13.283899999999999</v>
      </c>
      <c r="G28" s="1">
        <v>0.8</v>
      </c>
      <c r="H28">
        <v>9.7993000000000006</v>
      </c>
      <c r="I28">
        <v>16.670000000000002</v>
      </c>
      <c r="J28">
        <v>13.648400000000001</v>
      </c>
    </row>
    <row r="29" spans="2:10">
      <c r="B29" s="1">
        <v>0.9</v>
      </c>
      <c r="C29">
        <v>11.5212</v>
      </c>
      <c r="D29">
        <v>16.670000000000002</v>
      </c>
      <c r="E29">
        <v>13.2372</v>
      </c>
      <c r="G29" s="1">
        <v>0.9</v>
      </c>
      <c r="H29">
        <v>9.7993000000000006</v>
      </c>
      <c r="I29">
        <v>16.670000000000002</v>
      </c>
      <c r="J29">
        <v>13.648400000000001</v>
      </c>
    </row>
    <row r="30" spans="2:10">
      <c r="B30" s="1">
        <v>1</v>
      </c>
      <c r="C30">
        <v>11.5212</v>
      </c>
      <c r="D30">
        <v>16.670000000000002</v>
      </c>
      <c r="E30">
        <v>13.2372</v>
      </c>
      <c r="G30" s="1">
        <v>1</v>
      </c>
      <c r="H30">
        <v>9.7993000000000006</v>
      </c>
      <c r="I30">
        <v>16.670000000000002</v>
      </c>
      <c r="J30">
        <v>13.648400000000001</v>
      </c>
    </row>
    <row r="32" spans="2:10">
      <c r="D32" t="s">
        <v>15</v>
      </c>
      <c r="I32" t="s">
        <v>14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19DE-A470-1F4D-A20A-22436483B63D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5</v>
      </c>
      <c r="D2" s="1"/>
      <c r="E2" s="1" t="s">
        <v>7</v>
      </c>
      <c r="G2" s="1"/>
      <c r="H2" s="1" t="s">
        <v>5</v>
      </c>
      <c r="I2" s="1"/>
      <c r="J2" s="1" t="s">
        <v>9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15.4711</v>
      </c>
      <c r="D4">
        <v>14.8276</v>
      </c>
      <c r="E4">
        <v>15.141999999999999</v>
      </c>
      <c r="G4" s="1">
        <v>0</v>
      </c>
      <c r="H4">
        <v>16.200299999999999</v>
      </c>
      <c r="I4">
        <v>16.5611</v>
      </c>
      <c r="J4">
        <v>16.390999999999998</v>
      </c>
    </row>
    <row r="5" spans="2:10">
      <c r="B5" s="1">
        <v>0.1</v>
      </c>
      <c r="C5">
        <v>15.4711</v>
      </c>
      <c r="D5">
        <v>14.8276</v>
      </c>
      <c r="E5">
        <v>15.141999999999999</v>
      </c>
      <c r="G5" s="1">
        <v>0.1</v>
      </c>
      <c r="H5">
        <v>16.200299999999999</v>
      </c>
      <c r="I5">
        <v>16.5611</v>
      </c>
      <c r="J5">
        <v>16.390999999999998</v>
      </c>
    </row>
    <row r="6" spans="2:10">
      <c r="B6" s="1">
        <v>0.2</v>
      </c>
      <c r="C6">
        <v>15.374499999999999</v>
      </c>
      <c r="D6">
        <v>14.939299999999999</v>
      </c>
      <c r="E6">
        <v>15.151899999999999</v>
      </c>
      <c r="G6" s="1">
        <v>0.2</v>
      </c>
      <c r="H6">
        <v>16.200299999999999</v>
      </c>
      <c r="I6">
        <v>16.5611</v>
      </c>
      <c r="J6">
        <v>16.390999999999998</v>
      </c>
    </row>
    <row r="7" spans="2:10">
      <c r="B7" s="1">
        <v>0.3</v>
      </c>
      <c r="C7">
        <v>15.3003</v>
      </c>
      <c r="D7">
        <v>15.182700000000001</v>
      </c>
      <c r="E7">
        <v>15.2401</v>
      </c>
      <c r="G7" s="1">
        <v>0.3</v>
      </c>
      <c r="H7">
        <v>16.200299999999999</v>
      </c>
      <c r="I7">
        <v>16.5611</v>
      </c>
      <c r="J7">
        <v>16.390999999999998</v>
      </c>
    </row>
    <row r="8" spans="2:10">
      <c r="B8" s="1">
        <v>0.4</v>
      </c>
      <c r="C8">
        <v>15.2775</v>
      </c>
      <c r="D8">
        <v>15.2417</v>
      </c>
      <c r="E8">
        <v>15.2592</v>
      </c>
      <c r="G8" s="1">
        <v>0.4</v>
      </c>
      <c r="H8">
        <v>16.200299999999999</v>
      </c>
      <c r="I8">
        <v>16.5611</v>
      </c>
      <c r="J8">
        <v>16.390999999999998</v>
      </c>
    </row>
    <row r="9" spans="2:10">
      <c r="B9" s="1">
        <v>0.5</v>
      </c>
      <c r="C9">
        <v>15.2775</v>
      </c>
      <c r="D9">
        <v>15.2417</v>
      </c>
      <c r="E9">
        <v>15.2592</v>
      </c>
      <c r="G9" s="1">
        <v>0.5</v>
      </c>
      <c r="H9">
        <v>16.200299999999999</v>
      </c>
      <c r="I9">
        <v>16.5611</v>
      </c>
      <c r="J9">
        <v>16.390999999999998</v>
      </c>
    </row>
    <row r="10" spans="2:10">
      <c r="B10" s="1">
        <v>0.6</v>
      </c>
      <c r="C10">
        <v>14.256600000000001</v>
      </c>
      <c r="D10">
        <v>16.343299999999999</v>
      </c>
      <c r="E10">
        <v>15.277100000000001</v>
      </c>
      <c r="G10" s="1">
        <v>0.6</v>
      </c>
      <c r="H10">
        <v>16.200299999999999</v>
      </c>
      <c r="I10">
        <v>16.5611</v>
      </c>
      <c r="J10">
        <v>16.390999999999998</v>
      </c>
    </row>
    <row r="11" spans="2:10">
      <c r="B11" s="1">
        <v>0.7</v>
      </c>
      <c r="C11">
        <v>13.366300000000001</v>
      </c>
      <c r="D11">
        <v>16.456499999999998</v>
      </c>
      <c r="E11">
        <v>14.8537</v>
      </c>
      <c r="G11" s="1">
        <v>0.7</v>
      </c>
      <c r="H11">
        <v>16.200299999999999</v>
      </c>
      <c r="I11">
        <v>16.5611</v>
      </c>
      <c r="J11">
        <v>16.390999999999998</v>
      </c>
    </row>
    <row r="12" spans="2:10">
      <c r="B12" s="1">
        <v>0.8</v>
      </c>
      <c r="C12">
        <v>13.256500000000001</v>
      </c>
      <c r="D12">
        <v>16.670000000000002</v>
      </c>
      <c r="E12">
        <v>14.879200000000001</v>
      </c>
      <c r="G12" s="1">
        <v>0.8</v>
      </c>
      <c r="H12">
        <v>16.245100000000001</v>
      </c>
      <c r="I12">
        <v>16.563700000000001</v>
      </c>
      <c r="J12">
        <v>16.413399999999999</v>
      </c>
    </row>
    <row r="13" spans="2:10">
      <c r="B13" s="1">
        <v>0.9</v>
      </c>
      <c r="C13">
        <v>13.256500000000001</v>
      </c>
      <c r="D13">
        <v>16.670000000000002</v>
      </c>
      <c r="E13">
        <v>14.879200000000001</v>
      </c>
      <c r="G13" s="1">
        <v>0.9</v>
      </c>
      <c r="H13">
        <v>15.637</v>
      </c>
      <c r="I13">
        <v>16.670000000000002</v>
      </c>
      <c r="J13">
        <v>16.182600000000001</v>
      </c>
    </row>
    <row r="14" spans="2:10">
      <c r="B14" s="1">
        <v>1</v>
      </c>
      <c r="C14">
        <v>13.256500000000001</v>
      </c>
      <c r="D14">
        <v>16.670000000000002</v>
      </c>
      <c r="E14">
        <v>14.879200000000001</v>
      </c>
      <c r="G14" s="1">
        <v>1</v>
      </c>
      <c r="H14">
        <v>15.637</v>
      </c>
      <c r="I14">
        <v>16.670000000000002</v>
      </c>
      <c r="J14">
        <v>16.182600000000001</v>
      </c>
    </row>
    <row r="16" spans="2:10">
      <c r="D16" t="s">
        <v>11</v>
      </c>
      <c r="I16" t="s">
        <v>14</v>
      </c>
    </row>
    <row r="18" spans="2:10">
      <c r="B18" s="1"/>
      <c r="C18" s="1" t="s">
        <v>5</v>
      </c>
      <c r="D18" s="1"/>
      <c r="E18" s="1" t="s">
        <v>12</v>
      </c>
      <c r="G18" s="1"/>
      <c r="H18" s="1" t="s">
        <v>5</v>
      </c>
      <c r="I18" s="1"/>
      <c r="J18" s="1" t="s">
        <v>13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14.7948</v>
      </c>
      <c r="D20">
        <v>14.311500000000001</v>
      </c>
      <c r="E20">
        <v>14.617599999999999</v>
      </c>
      <c r="G20" s="1">
        <v>0</v>
      </c>
      <c r="H20">
        <v>14.7948</v>
      </c>
      <c r="I20">
        <v>14.311500000000001</v>
      </c>
      <c r="J20">
        <v>14.617599999999999</v>
      </c>
    </row>
    <row r="21" spans="2:10">
      <c r="B21" s="1">
        <v>0.1</v>
      </c>
      <c r="C21">
        <v>14.7948</v>
      </c>
      <c r="D21">
        <v>14.311500000000001</v>
      </c>
      <c r="E21">
        <v>14.617599999999999</v>
      </c>
      <c r="G21" s="1">
        <v>0.1</v>
      </c>
      <c r="H21">
        <v>13.6173</v>
      </c>
      <c r="I21">
        <v>13.476000000000001</v>
      </c>
      <c r="J21">
        <v>13.527200000000001</v>
      </c>
    </row>
    <row r="22" spans="2:10">
      <c r="B22" s="1">
        <v>0.2</v>
      </c>
      <c r="C22">
        <v>14.7811</v>
      </c>
      <c r="D22">
        <v>14.356999999999999</v>
      </c>
      <c r="E22">
        <v>14.625500000000001</v>
      </c>
      <c r="G22" s="1">
        <v>0.2</v>
      </c>
      <c r="H22">
        <v>14.7811</v>
      </c>
      <c r="I22">
        <v>14.356999999999999</v>
      </c>
      <c r="J22">
        <v>14.625500000000001</v>
      </c>
    </row>
    <row r="23" spans="2:10">
      <c r="B23" s="1">
        <v>0.3</v>
      </c>
      <c r="C23">
        <v>14.7811</v>
      </c>
      <c r="D23">
        <v>14.356999999999999</v>
      </c>
      <c r="E23">
        <v>14.625500000000001</v>
      </c>
      <c r="G23" s="1">
        <v>0.3</v>
      </c>
      <c r="H23">
        <v>13.021699999999999</v>
      </c>
      <c r="I23">
        <v>15.110300000000001</v>
      </c>
      <c r="J23">
        <v>14.313800000000001</v>
      </c>
    </row>
    <row r="24" spans="2:10">
      <c r="B24" s="1">
        <v>0.4</v>
      </c>
      <c r="C24">
        <v>14.7811</v>
      </c>
      <c r="D24">
        <v>14.356999999999999</v>
      </c>
      <c r="E24">
        <v>14.625500000000001</v>
      </c>
      <c r="G24" s="1">
        <v>0.4</v>
      </c>
      <c r="H24">
        <v>14.7811</v>
      </c>
      <c r="I24">
        <v>14.356999999999999</v>
      </c>
      <c r="J24">
        <v>14.625500000000001</v>
      </c>
    </row>
    <row r="25" spans="2:10">
      <c r="B25" s="1">
        <v>0.5</v>
      </c>
      <c r="C25">
        <v>14.7995</v>
      </c>
      <c r="D25">
        <v>15.2379</v>
      </c>
      <c r="E25">
        <v>14.9603</v>
      </c>
      <c r="G25" s="1">
        <v>0.5</v>
      </c>
      <c r="H25">
        <v>13.802300000000001</v>
      </c>
      <c r="I25">
        <v>16.465</v>
      </c>
      <c r="J25">
        <v>15.448399999999999</v>
      </c>
    </row>
    <row r="26" spans="2:10">
      <c r="B26" s="1">
        <v>0.6</v>
      </c>
      <c r="C26">
        <v>14.850199999999999</v>
      </c>
      <c r="D26">
        <v>14.904299999999999</v>
      </c>
      <c r="E26">
        <v>14.8705</v>
      </c>
      <c r="G26" s="1">
        <v>0.6</v>
      </c>
      <c r="H26">
        <v>14.850199999999999</v>
      </c>
      <c r="I26">
        <v>14.904299999999999</v>
      </c>
      <c r="J26">
        <v>14.8705</v>
      </c>
    </row>
    <row r="27" spans="2:10">
      <c r="B27" s="1">
        <v>0.7</v>
      </c>
      <c r="C27">
        <v>14.357900000000001</v>
      </c>
      <c r="D27">
        <v>16.135000000000002</v>
      </c>
      <c r="E27">
        <v>14.979200000000001</v>
      </c>
      <c r="G27" s="1">
        <v>0.7</v>
      </c>
      <c r="H27">
        <v>11.9473</v>
      </c>
      <c r="I27">
        <v>16.6675</v>
      </c>
      <c r="J27">
        <v>14.8064</v>
      </c>
    </row>
    <row r="28" spans="2:10">
      <c r="B28" s="1">
        <v>0.8</v>
      </c>
      <c r="C28">
        <v>14.364100000000001</v>
      </c>
      <c r="D28">
        <v>16.632200000000001</v>
      </c>
      <c r="E28">
        <v>15.1585</v>
      </c>
      <c r="G28" s="2">
        <v>0.8</v>
      </c>
      <c r="H28">
        <v>14.364100000000001</v>
      </c>
      <c r="I28">
        <v>16.632200000000001</v>
      </c>
      <c r="J28">
        <v>15.1585</v>
      </c>
    </row>
    <row r="29" spans="2:10">
      <c r="B29" s="1">
        <v>0.9</v>
      </c>
      <c r="C29">
        <v>13.186500000000001</v>
      </c>
      <c r="D29">
        <v>16.670000000000002</v>
      </c>
      <c r="E29">
        <v>14.3552</v>
      </c>
      <c r="G29" s="2">
        <v>0.9</v>
      </c>
      <c r="H29">
        <v>11.948700000000001</v>
      </c>
      <c r="I29">
        <v>16.670000000000002</v>
      </c>
      <c r="J29">
        <v>14.8081</v>
      </c>
    </row>
    <row r="30" spans="2:10">
      <c r="B30" s="1">
        <v>1</v>
      </c>
      <c r="C30">
        <v>13.186500000000001</v>
      </c>
      <c r="D30">
        <v>16.670000000000002</v>
      </c>
      <c r="E30">
        <v>14.3552</v>
      </c>
      <c r="G30" s="1">
        <v>1</v>
      </c>
      <c r="H30">
        <v>13.186400000000001</v>
      </c>
      <c r="I30">
        <v>16.670000000000002</v>
      </c>
      <c r="J30">
        <v>14.3552</v>
      </c>
    </row>
    <row r="32" spans="2:10">
      <c r="D32" t="s">
        <v>15</v>
      </c>
      <c r="I32" t="s">
        <v>14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9F48-4DD5-F547-9707-D11F4DC53B72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5</v>
      </c>
      <c r="D2" s="1"/>
      <c r="E2" s="1" t="s">
        <v>7</v>
      </c>
      <c r="G2" s="1"/>
      <c r="H2" s="1" t="s">
        <v>5</v>
      </c>
      <c r="I2" s="1"/>
      <c r="J2" s="1" t="s">
        <v>9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16.215699999999998</v>
      </c>
      <c r="D4">
        <v>16.145600000000002</v>
      </c>
      <c r="E4">
        <v>16.179099999999998</v>
      </c>
      <c r="G4" s="1">
        <v>0</v>
      </c>
      <c r="H4">
        <v>16.262899999999998</v>
      </c>
      <c r="I4">
        <v>16.543099999999999</v>
      </c>
      <c r="J4">
        <v>16.3919</v>
      </c>
    </row>
    <row r="5" spans="2:10">
      <c r="B5" s="1">
        <v>0.1</v>
      </c>
      <c r="C5">
        <v>16.215699999999998</v>
      </c>
      <c r="D5">
        <v>16.145600000000002</v>
      </c>
      <c r="E5">
        <v>16.179099999999998</v>
      </c>
      <c r="G5" s="1">
        <v>0.1</v>
      </c>
      <c r="H5">
        <v>16.262899999999998</v>
      </c>
      <c r="I5">
        <v>16.543099999999999</v>
      </c>
      <c r="J5">
        <v>16.3919</v>
      </c>
    </row>
    <row r="6" spans="2:10">
      <c r="B6" s="1">
        <v>0.2</v>
      </c>
      <c r="C6">
        <v>16.215699999999998</v>
      </c>
      <c r="D6">
        <v>16.145600000000002</v>
      </c>
      <c r="E6">
        <v>16.179099999999998</v>
      </c>
      <c r="G6" s="1">
        <v>0.2</v>
      </c>
      <c r="H6">
        <v>16.262899999999998</v>
      </c>
      <c r="I6">
        <v>16.543099999999999</v>
      </c>
      <c r="J6">
        <v>16.3919</v>
      </c>
    </row>
    <row r="7" spans="2:10">
      <c r="B7" s="1">
        <v>0.3</v>
      </c>
      <c r="C7">
        <v>16.215699999999998</v>
      </c>
      <c r="D7">
        <v>16.145600000000002</v>
      </c>
      <c r="E7">
        <v>16.179099999999998</v>
      </c>
      <c r="G7" s="1">
        <v>0.3</v>
      </c>
      <c r="H7">
        <v>16.262899999999998</v>
      </c>
      <c r="I7">
        <v>16.543099999999999</v>
      </c>
      <c r="J7">
        <v>16.3919</v>
      </c>
    </row>
    <row r="8" spans="2:10">
      <c r="B8" s="1">
        <v>0.4</v>
      </c>
      <c r="C8">
        <v>16.215699999999998</v>
      </c>
      <c r="D8">
        <v>16.145600000000002</v>
      </c>
      <c r="E8">
        <v>16.179099999999998</v>
      </c>
      <c r="G8" s="1">
        <v>0.4</v>
      </c>
      <c r="H8">
        <v>16.262899999999998</v>
      </c>
      <c r="I8">
        <v>16.543099999999999</v>
      </c>
      <c r="J8">
        <v>16.3919</v>
      </c>
    </row>
    <row r="9" spans="2:10">
      <c r="B9" s="1">
        <v>0.5</v>
      </c>
      <c r="C9">
        <v>16.215699999999998</v>
      </c>
      <c r="D9">
        <v>16.145600000000002</v>
      </c>
      <c r="E9">
        <v>16.179099999999998</v>
      </c>
      <c r="G9" s="1">
        <v>0.5</v>
      </c>
      <c r="H9">
        <v>16.262899999999998</v>
      </c>
      <c r="I9">
        <v>16.543099999999999</v>
      </c>
      <c r="J9">
        <v>16.3919</v>
      </c>
    </row>
    <row r="10" spans="2:10">
      <c r="B10" s="1">
        <v>0.6</v>
      </c>
      <c r="C10">
        <v>16.215699999999998</v>
      </c>
      <c r="D10">
        <v>16.145600000000002</v>
      </c>
      <c r="E10">
        <v>16.179099999999998</v>
      </c>
      <c r="G10" s="1">
        <v>0.6</v>
      </c>
      <c r="H10">
        <v>16.262899999999998</v>
      </c>
      <c r="I10">
        <v>16.543099999999999</v>
      </c>
      <c r="J10">
        <v>16.3919</v>
      </c>
    </row>
    <row r="11" spans="2:10">
      <c r="B11" s="1">
        <v>0.7</v>
      </c>
      <c r="C11">
        <v>16.020199999999999</v>
      </c>
      <c r="D11">
        <v>16.2394</v>
      </c>
      <c r="E11">
        <v>16.133600000000001</v>
      </c>
      <c r="G11" s="1">
        <v>0.7</v>
      </c>
      <c r="H11">
        <v>16.262899999999998</v>
      </c>
      <c r="I11">
        <v>16.543099999999999</v>
      </c>
      <c r="J11">
        <v>16.3919</v>
      </c>
    </row>
    <row r="12" spans="2:10">
      <c r="B12" s="1">
        <v>0.8</v>
      </c>
      <c r="C12">
        <v>14.7384</v>
      </c>
      <c r="D12">
        <v>16.606999999999999</v>
      </c>
      <c r="E12">
        <v>15.667899999999999</v>
      </c>
      <c r="G12" s="1">
        <v>0.8</v>
      </c>
      <c r="H12">
        <v>16.262899999999998</v>
      </c>
      <c r="I12">
        <v>16.543099999999999</v>
      </c>
      <c r="J12">
        <v>16.3919</v>
      </c>
    </row>
    <row r="13" spans="2:10">
      <c r="B13" s="1">
        <v>0.9</v>
      </c>
      <c r="C13">
        <v>13.0121</v>
      </c>
      <c r="D13">
        <v>16.670000000000002</v>
      </c>
      <c r="E13">
        <v>14.7402</v>
      </c>
      <c r="G13" s="1">
        <v>0.9</v>
      </c>
      <c r="H13">
        <v>16.0807</v>
      </c>
      <c r="I13">
        <v>16.670000000000002</v>
      </c>
      <c r="J13">
        <v>16.349299999999999</v>
      </c>
    </row>
    <row r="14" spans="2:10">
      <c r="B14" s="1">
        <v>1</v>
      </c>
      <c r="C14">
        <v>13.0121</v>
      </c>
      <c r="D14">
        <v>16.670000000000002</v>
      </c>
      <c r="E14">
        <v>14.7402</v>
      </c>
      <c r="G14" s="1">
        <v>1</v>
      </c>
      <c r="H14">
        <v>16.0807</v>
      </c>
      <c r="I14">
        <v>16.670000000000002</v>
      </c>
      <c r="J14">
        <v>16.349299999999999</v>
      </c>
    </row>
    <row r="16" spans="2:10">
      <c r="D16" t="s">
        <v>11</v>
      </c>
      <c r="I16" t="s">
        <v>15</v>
      </c>
    </row>
    <row r="18" spans="2:10">
      <c r="B18" s="1"/>
      <c r="C18" s="1" t="s">
        <v>5</v>
      </c>
      <c r="D18" s="1"/>
      <c r="E18" s="1" t="s">
        <v>12</v>
      </c>
      <c r="G18" s="1"/>
      <c r="H18" s="1" t="s">
        <v>5</v>
      </c>
      <c r="I18" s="1"/>
      <c r="J18" s="1" t="s">
        <v>13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15.5153</v>
      </c>
      <c r="D20">
        <v>15.879200000000001</v>
      </c>
      <c r="E20">
        <v>15.665699999999999</v>
      </c>
      <c r="G20" s="1">
        <v>0</v>
      </c>
      <c r="H20">
        <v>16.262899999999998</v>
      </c>
      <c r="I20">
        <v>16.605799999999999</v>
      </c>
      <c r="J20">
        <v>16.4803</v>
      </c>
    </row>
    <row r="21" spans="2:10">
      <c r="B21" s="1">
        <v>0.1</v>
      </c>
      <c r="C21">
        <v>15.5153</v>
      </c>
      <c r="D21">
        <v>15.879200000000001</v>
      </c>
      <c r="E21">
        <v>15.665699999999999</v>
      </c>
      <c r="G21" s="1">
        <v>0.1</v>
      </c>
      <c r="H21">
        <v>16.262899999999998</v>
      </c>
      <c r="I21">
        <v>16.605799999999999</v>
      </c>
      <c r="J21">
        <v>16.4803</v>
      </c>
    </row>
    <row r="22" spans="2:10">
      <c r="B22" s="1">
        <v>0.2</v>
      </c>
      <c r="C22">
        <v>15.5153</v>
      </c>
      <c r="D22">
        <v>15.879200000000001</v>
      </c>
      <c r="E22">
        <v>15.665699999999999</v>
      </c>
      <c r="G22" s="1">
        <v>0.2</v>
      </c>
      <c r="H22">
        <v>16.262899999999998</v>
      </c>
      <c r="I22">
        <v>16.605799999999999</v>
      </c>
      <c r="J22">
        <v>16.4803</v>
      </c>
    </row>
    <row r="23" spans="2:10">
      <c r="B23" s="1">
        <v>0.3</v>
      </c>
      <c r="C23">
        <v>15.5153</v>
      </c>
      <c r="D23">
        <v>15.879200000000001</v>
      </c>
      <c r="E23">
        <v>15.665699999999999</v>
      </c>
      <c r="G23" s="1">
        <v>0.3</v>
      </c>
      <c r="H23">
        <v>16.262899999999998</v>
      </c>
      <c r="I23">
        <v>16.605799999999999</v>
      </c>
      <c r="J23">
        <v>16.4803</v>
      </c>
    </row>
    <row r="24" spans="2:10">
      <c r="B24" s="1">
        <v>0.4</v>
      </c>
      <c r="C24">
        <v>15.5153</v>
      </c>
      <c r="D24">
        <v>15.879200000000001</v>
      </c>
      <c r="E24">
        <v>15.665699999999999</v>
      </c>
      <c r="G24" s="1">
        <v>0.4</v>
      </c>
      <c r="H24">
        <v>16.262899999999998</v>
      </c>
      <c r="I24">
        <v>16.605799999999999</v>
      </c>
      <c r="J24">
        <v>16.4803</v>
      </c>
    </row>
    <row r="25" spans="2:10">
      <c r="B25" s="1">
        <v>0.5</v>
      </c>
      <c r="C25">
        <v>15.5191</v>
      </c>
      <c r="D25">
        <v>15.9222</v>
      </c>
      <c r="E25">
        <v>15.685700000000001</v>
      </c>
      <c r="G25" s="1">
        <v>0.5</v>
      </c>
      <c r="H25">
        <v>16.262899999999998</v>
      </c>
      <c r="I25">
        <v>16.605799999999999</v>
      </c>
      <c r="J25">
        <v>16.4803</v>
      </c>
    </row>
    <row r="26" spans="2:10">
      <c r="B26" s="1">
        <v>0.6</v>
      </c>
      <c r="C26">
        <v>15.5191</v>
      </c>
      <c r="D26">
        <v>15.9222</v>
      </c>
      <c r="E26">
        <v>15.685700000000001</v>
      </c>
      <c r="G26" s="1">
        <v>0.6</v>
      </c>
      <c r="H26">
        <v>16.262899999999998</v>
      </c>
      <c r="I26">
        <v>16.605799999999999</v>
      </c>
      <c r="J26">
        <v>16.4803</v>
      </c>
    </row>
    <row r="27" spans="2:10">
      <c r="B27" s="1">
        <v>0.7</v>
      </c>
      <c r="C27">
        <v>15.47</v>
      </c>
      <c r="D27">
        <v>16.3004</v>
      </c>
      <c r="E27">
        <v>15.813700000000001</v>
      </c>
      <c r="G27" s="1">
        <v>0.7</v>
      </c>
      <c r="H27">
        <v>16.262899999999998</v>
      </c>
      <c r="I27">
        <v>16.605799999999999</v>
      </c>
      <c r="J27">
        <v>16.4803</v>
      </c>
    </row>
    <row r="28" spans="2:10">
      <c r="B28" s="1">
        <v>0.8</v>
      </c>
      <c r="C28">
        <v>13.242599999999999</v>
      </c>
      <c r="D28">
        <v>16.583500000000001</v>
      </c>
      <c r="E28">
        <v>14.532</v>
      </c>
      <c r="G28" s="1">
        <v>0.8</v>
      </c>
      <c r="H28">
        <v>16.262899999999998</v>
      </c>
      <c r="I28">
        <v>16.605799999999999</v>
      </c>
      <c r="J28">
        <v>16.4803</v>
      </c>
    </row>
    <row r="29" spans="2:10">
      <c r="B29" s="1">
        <v>0.9</v>
      </c>
      <c r="C29">
        <v>13.9001</v>
      </c>
      <c r="D29">
        <v>16.543399999999998</v>
      </c>
      <c r="E29">
        <v>14.9407</v>
      </c>
      <c r="G29" s="1">
        <v>0.9</v>
      </c>
      <c r="H29">
        <v>13.555099999999999</v>
      </c>
      <c r="I29">
        <v>16.670000000000002</v>
      </c>
      <c r="J29">
        <v>15.420299999999999</v>
      </c>
    </row>
    <row r="30" spans="2:10">
      <c r="B30" s="1">
        <v>1</v>
      </c>
      <c r="C30">
        <v>11.9283</v>
      </c>
      <c r="D30">
        <v>16.670000000000002</v>
      </c>
      <c r="E30">
        <v>13.6683</v>
      </c>
      <c r="G30" s="1">
        <v>1</v>
      </c>
      <c r="H30">
        <v>13.555099999999999</v>
      </c>
      <c r="I30">
        <v>16.670000000000002</v>
      </c>
      <c r="J30">
        <v>15.420299999999999</v>
      </c>
    </row>
    <row r="32" spans="2:10">
      <c r="D32" t="s">
        <v>15</v>
      </c>
      <c r="I32" t="s">
        <v>14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91F5-C869-AA46-9654-674E5C6B46F5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5</v>
      </c>
      <c r="D2" s="1"/>
      <c r="E2" s="1" t="s">
        <v>7</v>
      </c>
      <c r="G2" s="1"/>
      <c r="H2" s="1" t="s">
        <v>5</v>
      </c>
      <c r="I2" s="1"/>
      <c r="J2" s="1" t="s">
        <v>9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15.315300000000001</v>
      </c>
      <c r="D4">
        <v>15.6675</v>
      </c>
      <c r="E4">
        <v>15.4833</v>
      </c>
      <c r="G4" s="1">
        <v>0</v>
      </c>
      <c r="H4">
        <v>15.9991</v>
      </c>
      <c r="I4">
        <v>16.663799999999998</v>
      </c>
      <c r="J4">
        <v>16.3263</v>
      </c>
    </row>
    <row r="5" spans="2:10">
      <c r="B5" s="1">
        <v>0.1</v>
      </c>
      <c r="C5">
        <v>15.315300000000001</v>
      </c>
      <c r="D5">
        <v>15.6675</v>
      </c>
      <c r="E5">
        <v>15.4833</v>
      </c>
      <c r="G5" s="1">
        <v>0.1</v>
      </c>
      <c r="H5">
        <v>15.9991</v>
      </c>
      <c r="I5">
        <v>16.663799999999998</v>
      </c>
      <c r="J5">
        <v>16.3263</v>
      </c>
    </row>
    <row r="6" spans="2:10">
      <c r="B6" s="1">
        <v>0.2</v>
      </c>
      <c r="C6">
        <v>15.315300000000001</v>
      </c>
      <c r="D6">
        <v>15.6675</v>
      </c>
      <c r="E6">
        <v>15.4833</v>
      </c>
      <c r="G6" s="1">
        <v>0.2</v>
      </c>
      <c r="H6">
        <v>15.9991</v>
      </c>
      <c r="I6">
        <v>16.663799999999998</v>
      </c>
      <c r="J6">
        <v>16.3263</v>
      </c>
    </row>
    <row r="7" spans="2:10">
      <c r="B7" s="1">
        <v>0.3</v>
      </c>
      <c r="C7">
        <v>14.8079</v>
      </c>
      <c r="D7">
        <v>14.9924</v>
      </c>
      <c r="E7">
        <v>14.8969</v>
      </c>
      <c r="G7" s="1">
        <v>0.3</v>
      </c>
      <c r="H7">
        <v>15.9991</v>
      </c>
      <c r="I7">
        <v>16.663799999999998</v>
      </c>
      <c r="J7">
        <v>16.3263</v>
      </c>
    </row>
    <row r="8" spans="2:10">
      <c r="B8" s="1">
        <v>0.4</v>
      </c>
      <c r="C8">
        <v>14.8177</v>
      </c>
      <c r="D8">
        <v>15.0007</v>
      </c>
      <c r="E8">
        <v>14.906000000000001</v>
      </c>
      <c r="G8" s="1">
        <v>0.4</v>
      </c>
      <c r="H8">
        <v>15.986599999999999</v>
      </c>
      <c r="I8">
        <v>16.669</v>
      </c>
      <c r="J8">
        <v>16.322500000000002</v>
      </c>
    </row>
    <row r="9" spans="2:10">
      <c r="B9" s="1">
        <v>0.5</v>
      </c>
      <c r="C9">
        <v>14.859299999999999</v>
      </c>
      <c r="D9">
        <v>15.608599999999999</v>
      </c>
      <c r="E9">
        <v>15.220599999999999</v>
      </c>
      <c r="G9" s="1">
        <v>0.5</v>
      </c>
      <c r="H9">
        <v>15.986599999999999</v>
      </c>
      <c r="I9">
        <v>16.669</v>
      </c>
      <c r="J9">
        <v>16.322500000000002</v>
      </c>
    </row>
    <row r="10" spans="2:10">
      <c r="B10" s="1">
        <v>0.6</v>
      </c>
      <c r="C10">
        <v>14.969900000000001</v>
      </c>
      <c r="D10">
        <v>15.7224</v>
      </c>
      <c r="E10">
        <v>15.3323</v>
      </c>
      <c r="G10" s="1">
        <v>0.6</v>
      </c>
      <c r="H10">
        <v>15.9862</v>
      </c>
      <c r="I10">
        <v>16.670000000000002</v>
      </c>
      <c r="J10">
        <v>16.322800000000001</v>
      </c>
    </row>
    <row r="11" spans="2:10">
      <c r="B11" s="1">
        <v>0.7</v>
      </c>
      <c r="C11">
        <v>13.663500000000001</v>
      </c>
      <c r="D11">
        <v>16.327200000000001</v>
      </c>
      <c r="E11">
        <v>14.8651</v>
      </c>
      <c r="G11" s="1">
        <v>0.7</v>
      </c>
      <c r="H11">
        <v>15.9862</v>
      </c>
      <c r="I11">
        <v>16.670000000000002</v>
      </c>
      <c r="J11">
        <v>16.322800000000001</v>
      </c>
    </row>
    <row r="12" spans="2:10">
      <c r="B12" s="1">
        <v>0.8</v>
      </c>
      <c r="C12">
        <v>12.440799999999999</v>
      </c>
      <c r="D12">
        <v>16.670000000000002</v>
      </c>
      <c r="E12">
        <v>14.2773</v>
      </c>
      <c r="G12" s="1">
        <v>0.8</v>
      </c>
      <c r="H12">
        <v>15.8908</v>
      </c>
      <c r="I12">
        <v>16.670000000000002</v>
      </c>
      <c r="J12">
        <v>16.2728</v>
      </c>
    </row>
    <row r="13" spans="2:10">
      <c r="B13" s="1">
        <v>0.9</v>
      </c>
      <c r="C13">
        <v>12.440799999999999</v>
      </c>
      <c r="D13">
        <v>16.670000000000002</v>
      </c>
      <c r="E13">
        <v>14.2773</v>
      </c>
      <c r="G13" s="1">
        <v>0.9</v>
      </c>
      <c r="H13">
        <v>15.8908</v>
      </c>
      <c r="I13">
        <v>16.670000000000002</v>
      </c>
      <c r="J13">
        <v>16.2728</v>
      </c>
    </row>
    <row r="14" spans="2:10">
      <c r="B14" s="1">
        <v>1</v>
      </c>
      <c r="C14">
        <v>12.440799999999999</v>
      </c>
      <c r="D14">
        <v>16.670000000000002</v>
      </c>
      <c r="E14">
        <v>14.2773</v>
      </c>
      <c r="G14" s="1">
        <v>1</v>
      </c>
      <c r="H14">
        <v>15.8908</v>
      </c>
      <c r="I14">
        <v>16.670000000000002</v>
      </c>
      <c r="J14">
        <v>16.2728</v>
      </c>
    </row>
    <row r="16" spans="2:10">
      <c r="D16" t="s">
        <v>11</v>
      </c>
      <c r="I16" t="s">
        <v>15</v>
      </c>
    </row>
    <row r="18" spans="2:10">
      <c r="B18" s="1"/>
      <c r="C18" s="1" t="s">
        <v>5</v>
      </c>
      <c r="D18" s="1"/>
      <c r="E18" s="1" t="s">
        <v>12</v>
      </c>
      <c r="G18" s="1"/>
      <c r="H18" s="1" t="s">
        <v>5</v>
      </c>
      <c r="I18" s="1"/>
      <c r="J18" s="1" t="s">
        <v>13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13.756399999999999</v>
      </c>
      <c r="D20">
        <v>13.0596</v>
      </c>
      <c r="E20">
        <v>13.501799999999999</v>
      </c>
      <c r="G20" s="1">
        <v>0</v>
      </c>
      <c r="H20">
        <v>15.0533</v>
      </c>
      <c r="I20">
        <v>15.3276</v>
      </c>
      <c r="J20">
        <v>15.2181</v>
      </c>
    </row>
    <row r="21" spans="2:10">
      <c r="B21" s="1">
        <v>0.1</v>
      </c>
      <c r="C21">
        <v>13.756399999999999</v>
      </c>
      <c r="D21">
        <v>13.0596</v>
      </c>
      <c r="E21">
        <v>13.501799999999999</v>
      </c>
      <c r="G21" s="2">
        <v>0.1</v>
      </c>
      <c r="H21">
        <v>15.0533</v>
      </c>
      <c r="I21">
        <v>15.3276</v>
      </c>
      <c r="J21">
        <v>15.2181</v>
      </c>
    </row>
    <row r="22" spans="2:10">
      <c r="B22" s="1">
        <v>0.2</v>
      </c>
      <c r="C22">
        <v>13.756399999999999</v>
      </c>
      <c r="D22">
        <v>13.0596</v>
      </c>
      <c r="E22">
        <v>13.501799999999999</v>
      </c>
      <c r="G22" s="2">
        <v>0.2</v>
      </c>
      <c r="H22">
        <v>15.065099999999999</v>
      </c>
      <c r="I22">
        <v>16.042300000000001</v>
      </c>
      <c r="J22">
        <v>15.652200000000001</v>
      </c>
    </row>
    <row r="23" spans="2:10">
      <c r="B23" s="1">
        <v>0.3</v>
      </c>
      <c r="C23">
        <v>13.756399999999999</v>
      </c>
      <c r="D23">
        <v>13.0596</v>
      </c>
      <c r="E23">
        <v>13.501799999999999</v>
      </c>
      <c r="G23" s="1">
        <v>0.3</v>
      </c>
      <c r="H23">
        <v>15.065099999999999</v>
      </c>
      <c r="I23">
        <v>16.042300000000001</v>
      </c>
      <c r="J23">
        <v>15.652200000000001</v>
      </c>
    </row>
    <row r="24" spans="2:10">
      <c r="B24" s="1">
        <v>0.4</v>
      </c>
      <c r="C24">
        <v>13.746700000000001</v>
      </c>
      <c r="D24">
        <v>13.9</v>
      </c>
      <c r="E24">
        <v>13.8027</v>
      </c>
      <c r="G24" s="1">
        <v>0.4</v>
      </c>
      <c r="H24">
        <v>14.5185</v>
      </c>
      <c r="I24">
        <v>16.290700000000001</v>
      </c>
      <c r="J24">
        <v>15.5832</v>
      </c>
    </row>
    <row r="25" spans="2:10">
      <c r="B25" s="1">
        <v>0.5</v>
      </c>
      <c r="C25">
        <v>13.789099999999999</v>
      </c>
      <c r="D25">
        <v>13.9856</v>
      </c>
      <c r="E25">
        <v>13.860900000000001</v>
      </c>
      <c r="G25" s="1">
        <v>0.5</v>
      </c>
      <c r="H25">
        <v>14.5185</v>
      </c>
      <c r="I25">
        <v>16.290700000000001</v>
      </c>
      <c r="J25">
        <v>15.5832</v>
      </c>
    </row>
    <row r="26" spans="2:10">
      <c r="B26" s="1">
        <v>0.6</v>
      </c>
      <c r="C26">
        <v>12.4031</v>
      </c>
      <c r="D26">
        <v>15.0253</v>
      </c>
      <c r="E26">
        <v>13.289199999999999</v>
      </c>
      <c r="G26" s="1">
        <v>0.6</v>
      </c>
      <c r="H26">
        <v>14.865600000000001</v>
      </c>
      <c r="I26">
        <v>16.391400000000001</v>
      </c>
      <c r="J26">
        <v>15.782400000000001</v>
      </c>
    </row>
    <row r="27" spans="2:10">
      <c r="B27" s="1">
        <v>0.7</v>
      </c>
      <c r="C27">
        <v>13.112</v>
      </c>
      <c r="D27">
        <v>16.670000000000002</v>
      </c>
      <c r="E27">
        <v>14.238200000000001</v>
      </c>
      <c r="G27" s="1">
        <v>0.7</v>
      </c>
      <c r="H27">
        <v>14.0997</v>
      </c>
      <c r="I27">
        <v>16.456499999999998</v>
      </c>
      <c r="J27">
        <v>15.5</v>
      </c>
    </row>
    <row r="28" spans="2:10">
      <c r="B28" s="1">
        <v>0.8</v>
      </c>
      <c r="C28">
        <v>13.112</v>
      </c>
      <c r="D28">
        <v>16.670000000000002</v>
      </c>
      <c r="E28">
        <v>14.238200000000001</v>
      </c>
      <c r="G28" s="1">
        <v>0.8</v>
      </c>
      <c r="H28">
        <v>11.08</v>
      </c>
      <c r="I28">
        <v>16.651299999999999</v>
      </c>
      <c r="J28">
        <v>14.196400000000001</v>
      </c>
    </row>
    <row r="29" spans="2:10">
      <c r="B29" s="1">
        <v>0.9</v>
      </c>
      <c r="C29">
        <v>12.8371</v>
      </c>
      <c r="D29">
        <v>16.506599999999999</v>
      </c>
      <c r="E29">
        <v>14.006600000000001</v>
      </c>
      <c r="G29" s="1">
        <v>0.9</v>
      </c>
      <c r="H29">
        <v>11.08</v>
      </c>
      <c r="I29">
        <v>16.651299999999999</v>
      </c>
      <c r="J29">
        <v>14.196400000000001</v>
      </c>
    </row>
    <row r="30" spans="2:10">
      <c r="B30" s="1">
        <v>1</v>
      </c>
      <c r="C30">
        <v>13.112</v>
      </c>
      <c r="D30">
        <v>16.670000000000002</v>
      </c>
      <c r="E30">
        <v>14.238200000000001</v>
      </c>
      <c r="G30" s="1">
        <v>1</v>
      </c>
      <c r="H30">
        <v>11.08</v>
      </c>
      <c r="I30">
        <v>16.651299999999999</v>
      </c>
      <c r="J30">
        <v>14.196400000000001</v>
      </c>
    </row>
    <row r="32" spans="2:10">
      <c r="D32" t="s">
        <v>15</v>
      </c>
      <c r="I32" t="s">
        <v>14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9E79-77ED-2445-9291-9C810A02A20B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5</v>
      </c>
      <c r="D2" s="1"/>
      <c r="E2" s="1" t="s">
        <v>7</v>
      </c>
      <c r="G2" s="1"/>
      <c r="H2" s="1" t="s">
        <v>5</v>
      </c>
      <c r="I2" s="1"/>
      <c r="J2" s="1" t="s">
        <v>9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15.8561</v>
      </c>
      <c r="D4">
        <v>10.365500000000001</v>
      </c>
      <c r="E4">
        <v>13.1836</v>
      </c>
      <c r="G4" s="1">
        <v>0</v>
      </c>
      <c r="H4">
        <v>16.055399999999999</v>
      </c>
      <c r="I4">
        <v>16.1999</v>
      </c>
      <c r="J4">
        <v>16.128599999999999</v>
      </c>
    </row>
    <row r="5" spans="2:10">
      <c r="B5" s="1">
        <v>0.1</v>
      </c>
      <c r="C5">
        <v>15.8561</v>
      </c>
      <c r="D5">
        <v>10.365500000000001</v>
      </c>
      <c r="E5">
        <v>13.1836</v>
      </c>
      <c r="G5" s="1">
        <v>0.1</v>
      </c>
      <c r="H5">
        <v>16.055399999999999</v>
      </c>
      <c r="I5">
        <v>16.1999</v>
      </c>
      <c r="J5">
        <v>16.128599999999999</v>
      </c>
    </row>
    <row r="6" spans="2:10">
      <c r="B6" s="1">
        <v>0.2</v>
      </c>
      <c r="C6">
        <v>15.3171</v>
      </c>
      <c r="D6">
        <v>12.4634</v>
      </c>
      <c r="E6">
        <v>13.962899999999999</v>
      </c>
      <c r="G6" s="1">
        <v>0.2</v>
      </c>
      <c r="H6">
        <v>16.055399999999999</v>
      </c>
      <c r="I6">
        <v>16.1999</v>
      </c>
      <c r="J6">
        <v>16.128599999999999</v>
      </c>
    </row>
    <row r="7" spans="2:10">
      <c r="B7" s="1">
        <v>0.3</v>
      </c>
      <c r="C7">
        <v>15.209099999999999</v>
      </c>
      <c r="D7">
        <v>13.568</v>
      </c>
      <c r="E7">
        <v>14.4412</v>
      </c>
      <c r="G7" s="1">
        <v>0.3</v>
      </c>
      <c r="H7">
        <v>16.055399999999999</v>
      </c>
      <c r="I7">
        <v>16.1999</v>
      </c>
      <c r="J7">
        <v>16.128599999999999</v>
      </c>
    </row>
    <row r="8" spans="2:10">
      <c r="B8" s="1">
        <v>0.4</v>
      </c>
      <c r="C8">
        <v>14.3834</v>
      </c>
      <c r="D8">
        <v>14.6792</v>
      </c>
      <c r="E8">
        <v>14.5192</v>
      </c>
      <c r="G8" s="1">
        <v>0.4</v>
      </c>
      <c r="H8">
        <v>16.055399999999999</v>
      </c>
      <c r="I8">
        <v>16.1999</v>
      </c>
      <c r="J8">
        <v>16.128599999999999</v>
      </c>
    </row>
    <row r="9" spans="2:10">
      <c r="B9" s="1">
        <v>0.5</v>
      </c>
      <c r="C9">
        <v>15.3392</v>
      </c>
      <c r="D9">
        <v>14.959099999999999</v>
      </c>
      <c r="E9">
        <v>15.163600000000001</v>
      </c>
      <c r="G9" s="1">
        <v>0.5</v>
      </c>
      <c r="H9">
        <v>15.9284</v>
      </c>
      <c r="I9">
        <v>16.331199999999999</v>
      </c>
      <c r="J9">
        <v>16.132400000000001</v>
      </c>
    </row>
    <row r="10" spans="2:10">
      <c r="B10" s="1">
        <v>0.6</v>
      </c>
      <c r="C10">
        <v>14.9305</v>
      </c>
      <c r="D10">
        <v>15.9321</v>
      </c>
      <c r="E10">
        <v>15.3933</v>
      </c>
      <c r="G10" s="1">
        <v>0.6</v>
      </c>
      <c r="H10">
        <v>15.9284</v>
      </c>
      <c r="I10">
        <v>16.331199999999999</v>
      </c>
      <c r="J10">
        <v>16.132400000000001</v>
      </c>
    </row>
    <row r="11" spans="2:10">
      <c r="B11" s="1">
        <v>0.7</v>
      </c>
      <c r="C11">
        <v>14.842599999999999</v>
      </c>
      <c r="D11">
        <v>16.212700000000002</v>
      </c>
      <c r="E11">
        <v>15.4756</v>
      </c>
      <c r="G11" s="1">
        <v>0.7</v>
      </c>
      <c r="H11">
        <v>15.4673</v>
      </c>
      <c r="I11">
        <v>16.558599999999998</v>
      </c>
      <c r="J11">
        <v>16.015899999999998</v>
      </c>
    </row>
    <row r="12" spans="2:10">
      <c r="B12" s="1">
        <v>0.8</v>
      </c>
      <c r="C12">
        <v>14.160600000000001</v>
      </c>
      <c r="D12">
        <v>16.497299999999999</v>
      </c>
      <c r="E12">
        <v>15.2209</v>
      </c>
      <c r="G12" s="1">
        <v>0.8</v>
      </c>
      <c r="H12">
        <v>15.247</v>
      </c>
      <c r="I12">
        <v>16.602</v>
      </c>
      <c r="J12">
        <v>15.922599999999999</v>
      </c>
    </row>
    <row r="13" spans="2:10">
      <c r="B13" s="1">
        <v>0.9</v>
      </c>
      <c r="C13">
        <v>11.787599999999999</v>
      </c>
      <c r="D13">
        <v>16.670000000000002</v>
      </c>
      <c r="E13">
        <v>13.855600000000001</v>
      </c>
      <c r="G13" s="1">
        <v>0.9</v>
      </c>
      <c r="H13">
        <v>12.1295</v>
      </c>
      <c r="I13">
        <v>16.670000000000002</v>
      </c>
      <c r="J13">
        <v>14.2105</v>
      </c>
    </row>
    <row r="14" spans="2:10">
      <c r="B14" s="1">
        <v>1</v>
      </c>
      <c r="C14">
        <v>11.787599999999999</v>
      </c>
      <c r="D14">
        <v>16.670000000000002</v>
      </c>
      <c r="E14">
        <v>13.855600000000001</v>
      </c>
      <c r="G14" s="1">
        <v>1</v>
      </c>
      <c r="H14">
        <v>12.1295</v>
      </c>
      <c r="I14">
        <v>16.670000000000002</v>
      </c>
      <c r="J14">
        <v>14.2105</v>
      </c>
    </row>
    <row r="16" spans="2:10">
      <c r="D16" t="s">
        <v>11</v>
      </c>
      <c r="I16" t="s">
        <v>15</v>
      </c>
    </row>
    <row r="18" spans="2:10">
      <c r="B18" s="1"/>
      <c r="C18" s="1" t="s">
        <v>5</v>
      </c>
      <c r="D18" s="1"/>
      <c r="E18" s="1" t="s">
        <v>12</v>
      </c>
      <c r="G18" s="1"/>
      <c r="H18" s="1" t="s">
        <v>5</v>
      </c>
      <c r="I18" s="1"/>
      <c r="J18" s="1" t="s">
        <v>13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15.8263</v>
      </c>
      <c r="D20">
        <v>13.8079</v>
      </c>
      <c r="E20">
        <v>15.126099999999999</v>
      </c>
      <c r="G20" s="1">
        <v>0</v>
      </c>
      <c r="H20">
        <v>15.6479</v>
      </c>
      <c r="I20">
        <v>15.095599999999999</v>
      </c>
      <c r="J20">
        <v>15.307600000000001</v>
      </c>
    </row>
    <row r="21" spans="2:10">
      <c r="B21" s="1">
        <v>0.1</v>
      </c>
      <c r="C21">
        <v>15.8263</v>
      </c>
      <c r="D21">
        <v>13.8079</v>
      </c>
      <c r="E21">
        <v>15.126099999999999</v>
      </c>
      <c r="G21" s="1">
        <v>0.1</v>
      </c>
      <c r="H21">
        <v>15.6479</v>
      </c>
      <c r="I21">
        <v>15.095599999999999</v>
      </c>
      <c r="J21">
        <v>15.307600000000001</v>
      </c>
    </row>
    <row r="22" spans="2:10">
      <c r="B22" s="1">
        <v>0.2</v>
      </c>
      <c r="C22">
        <v>15.8225</v>
      </c>
      <c r="D22">
        <v>14.417199999999999</v>
      </c>
      <c r="E22">
        <v>15.335000000000001</v>
      </c>
      <c r="G22" s="1">
        <v>0.2</v>
      </c>
      <c r="H22">
        <v>15.625500000000001</v>
      </c>
      <c r="I22">
        <v>15.4742</v>
      </c>
      <c r="J22">
        <v>15.5322</v>
      </c>
    </row>
    <row r="23" spans="2:10">
      <c r="B23" s="1">
        <v>0.3</v>
      </c>
      <c r="C23">
        <v>15.7447</v>
      </c>
      <c r="D23">
        <v>14.7418</v>
      </c>
      <c r="E23">
        <v>15.396599999999999</v>
      </c>
      <c r="G23" s="1">
        <v>0.3</v>
      </c>
      <c r="H23">
        <v>15.6252</v>
      </c>
      <c r="I23">
        <v>15.631</v>
      </c>
      <c r="J23">
        <v>15.6288</v>
      </c>
    </row>
    <row r="24" spans="2:10">
      <c r="B24" s="1">
        <v>0.4</v>
      </c>
      <c r="C24">
        <v>15.823</v>
      </c>
      <c r="D24">
        <v>15.751200000000001</v>
      </c>
      <c r="E24">
        <v>15.7981</v>
      </c>
      <c r="G24" s="1">
        <v>0.4</v>
      </c>
      <c r="H24">
        <v>15.6252</v>
      </c>
      <c r="I24">
        <v>15.631</v>
      </c>
      <c r="J24">
        <v>15.6288</v>
      </c>
    </row>
    <row r="25" spans="2:10">
      <c r="B25" s="1">
        <v>0.5</v>
      </c>
      <c r="C25">
        <v>15.823</v>
      </c>
      <c r="D25">
        <v>15.751200000000001</v>
      </c>
      <c r="E25">
        <v>15.7981</v>
      </c>
      <c r="G25" s="1">
        <v>0.5</v>
      </c>
      <c r="H25">
        <v>15.6252</v>
      </c>
      <c r="I25">
        <v>15.631</v>
      </c>
      <c r="J25">
        <v>15.6288</v>
      </c>
    </row>
    <row r="26" spans="2:10">
      <c r="B26" s="1">
        <v>0.6</v>
      </c>
      <c r="C26">
        <v>15.823</v>
      </c>
      <c r="D26">
        <v>16.439599999999999</v>
      </c>
      <c r="E26">
        <v>16.036899999999999</v>
      </c>
      <c r="G26" s="1">
        <v>0.6</v>
      </c>
      <c r="H26">
        <v>15.178900000000001</v>
      </c>
      <c r="I26">
        <v>16.335899999999999</v>
      </c>
      <c r="J26">
        <v>15.8917</v>
      </c>
    </row>
    <row r="27" spans="2:10">
      <c r="B27" s="1">
        <v>0.7</v>
      </c>
      <c r="C27">
        <v>15.763299999999999</v>
      </c>
      <c r="D27">
        <v>16.392099999999999</v>
      </c>
      <c r="E27">
        <v>15.9815</v>
      </c>
      <c r="G27" s="1">
        <v>0.7</v>
      </c>
      <c r="H27">
        <v>12.984999999999999</v>
      </c>
      <c r="I27">
        <v>16.5124</v>
      </c>
      <c r="J27">
        <v>15.0868</v>
      </c>
    </row>
    <row r="28" spans="2:10">
      <c r="B28" s="1">
        <v>0.8</v>
      </c>
      <c r="C28">
        <v>15.7112</v>
      </c>
      <c r="D28">
        <v>16.581499999999998</v>
      </c>
      <c r="E28">
        <v>16.013100000000001</v>
      </c>
      <c r="G28" s="1">
        <v>0.8</v>
      </c>
      <c r="H28">
        <v>11.207599999999999</v>
      </c>
      <c r="I28">
        <v>16.670000000000002</v>
      </c>
      <c r="J28">
        <v>14.3238</v>
      </c>
    </row>
    <row r="29" spans="2:10">
      <c r="B29" s="1">
        <v>0.9</v>
      </c>
      <c r="C29">
        <v>14.138199999999999</v>
      </c>
      <c r="D29">
        <v>16.642399999999999</v>
      </c>
      <c r="E29">
        <v>14.9818</v>
      </c>
      <c r="G29" s="1">
        <v>0.9</v>
      </c>
      <c r="H29">
        <v>11.207599999999999</v>
      </c>
      <c r="I29">
        <v>16.670000000000002</v>
      </c>
      <c r="J29">
        <v>14.3238</v>
      </c>
    </row>
    <row r="30" spans="2:10">
      <c r="B30" s="1">
        <v>1</v>
      </c>
      <c r="C30">
        <v>14.138</v>
      </c>
      <c r="D30">
        <v>16.670000000000002</v>
      </c>
      <c r="E30">
        <v>14.991</v>
      </c>
      <c r="G30" s="1">
        <v>1</v>
      </c>
      <c r="H30">
        <v>11.207599999999999</v>
      </c>
      <c r="I30">
        <v>16.670000000000002</v>
      </c>
      <c r="J30">
        <v>14.3238</v>
      </c>
    </row>
    <row r="32" spans="2:10">
      <c r="D32" t="s">
        <v>15</v>
      </c>
      <c r="I32" t="s">
        <v>15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39C73-BCED-9744-8556-008E04DBB3E5}">
  <dimension ref="B2:J30"/>
  <sheetViews>
    <sheetView workbookViewId="0">
      <selection activeCell="I4" sqref="I4"/>
    </sheetView>
  </sheetViews>
  <sheetFormatPr baseColWidth="10" defaultRowHeight="20"/>
  <sheetData>
    <row r="2" spans="2:10">
      <c r="B2" s="1"/>
      <c r="C2" s="1" t="s">
        <v>5</v>
      </c>
      <c r="D2" s="1"/>
      <c r="E2" s="1" t="s">
        <v>7</v>
      </c>
      <c r="G2" s="1"/>
      <c r="H2" s="1" t="s">
        <v>5</v>
      </c>
      <c r="I2" s="1"/>
      <c r="J2" s="1" t="s">
        <v>9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f>ROUND(AVERAGE(seed1!C4,seed2!C4,seed3!C4,seed4!C4,seed5!C4),4)</f>
        <v>15.516500000000001</v>
      </c>
      <c r="D4">
        <f>ROUND(AVERAGE(seed1!D4,seed2!D4,seed3!D4,seed4!D4,seed5!D4),4)</f>
        <v>14.045999999999999</v>
      </c>
      <c r="E4">
        <f>ROUND(AVERAGE(seed1!E4,seed2!E4,seed3!E4,seed4!E4,seed5!E4),4)</f>
        <v>14.7942</v>
      </c>
      <c r="G4" s="1">
        <v>0</v>
      </c>
      <c r="H4">
        <f>ROUND(AVERAGE(seed1!H4,seed2!H4,seed3!H4,seed4!H4,seed5!H4),4)</f>
        <v>16.189</v>
      </c>
      <c r="I4">
        <f>ROUND(AVERAGE(seed1!I4,seed2!I4,seed3!I4,seed4!I4,seed5!I4),4)</f>
        <v>16.5138</v>
      </c>
      <c r="J4">
        <f>ROUND(AVERAGE(seed1!J4,seed2!J4,seed3!J4,seed4!J4,seed5!J4),4)</f>
        <v>16.3492</v>
      </c>
    </row>
    <row r="5" spans="2:10">
      <c r="B5" s="1">
        <v>0.1</v>
      </c>
      <c r="C5">
        <f>ROUND(AVERAGE(seed1!C5,seed2!C5,seed3!C5,seed4!C5,seed5!C5),4)</f>
        <v>15.516500000000001</v>
      </c>
      <c r="D5">
        <f>ROUND(AVERAGE(seed1!D5,seed2!D5,seed3!D5,seed4!D5,seed5!D5),4)</f>
        <v>14.045999999999999</v>
      </c>
      <c r="E5">
        <f>ROUND(AVERAGE(seed1!E5,seed2!E5,seed3!E5,seed4!E5,seed5!E5),4)</f>
        <v>14.7942</v>
      </c>
      <c r="G5" s="1">
        <v>0.1</v>
      </c>
      <c r="H5">
        <f>ROUND(AVERAGE(seed1!H5,seed2!H5,seed3!H5,seed4!H5,seed5!H5),4)</f>
        <v>16.189</v>
      </c>
      <c r="I5">
        <f>ROUND(AVERAGE(seed1!I5,seed2!I5,seed3!I5,seed4!I5,seed5!I5),4)</f>
        <v>16.5138</v>
      </c>
      <c r="J5">
        <f>ROUND(AVERAGE(seed1!J5,seed2!J5,seed3!J5,seed4!J5,seed5!J5),4)</f>
        <v>16.3492</v>
      </c>
    </row>
    <row r="6" spans="2:10">
      <c r="B6" s="1">
        <v>0.2</v>
      </c>
      <c r="C6">
        <f>ROUND(AVERAGE(seed1!C6,seed2!C6,seed3!C6,seed4!C6,seed5!C6),4)</f>
        <v>15.3894</v>
      </c>
      <c r="D6">
        <f>ROUND(AVERAGE(seed1!D6,seed2!D6,seed3!D6,seed4!D6,seed5!D6),4)</f>
        <v>14.4879</v>
      </c>
      <c r="E6">
        <f>ROUND(AVERAGE(seed1!E6,seed2!E6,seed3!E6,seed4!E6,seed5!E6),4)</f>
        <v>14.952</v>
      </c>
      <c r="G6" s="1">
        <v>0.2</v>
      </c>
      <c r="H6">
        <f>ROUND(AVERAGE(seed1!H6,seed2!H6,seed3!H6,seed4!H6,seed5!H6),4)</f>
        <v>16.189</v>
      </c>
      <c r="I6">
        <f>ROUND(AVERAGE(seed1!I6,seed2!I6,seed3!I6,seed4!I6,seed5!I6),4)</f>
        <v>16.5138</v>
      </c>
      <c r="J6">
        <f>ROUND(AVERAGE(seed1!J6,seed2!J6,seed3!J6,seed4!J6,seed5!J6),4)</f>
        <v>16.3492</v>
      </c>
    </row>
    <row r="7" spans="2:10">
      <c r="B7" s="1">
        <v>0.3</v>
      </c>
      <c r="C7">
        <f>ROUND(AVERAGE(seed1!C7,seed2!C7,seed3!C7,seed4!C7,seed5!C7),4)</f>
        <v>15.251300000000001</v>
      </c>
      <c r="D7">
        <f>ROUND(AVERAGE(seed1!D7,seed2!D7,seed3!D7,seed4!D7,seed5!D7),4)</f>
        <v>14.623100000000001</v>
      </c>
      <c r="E7">
        <f>ROUND(AVERAGE(seed1!E7,seed2!E7,seed3!E7,seed4!E7,seed5!E7),4)</f>
        <v>14.9483</v>
      </c>
      <c r="G7" s="1">
        <v>0.3</v>
      </c>
      <c r="H7">
        <f>ROUND(AVERAGE(seed1!H7,seed2!H7,seed3!H7,seed4!H7,seed5!H7),4)</f>
        <v>16.189</v>
      </c>
      <c r="I7">
        <f>ROUND(AVERAGE(seed1!I7,seed2!I7,seed3!I7,seed4!I7,seed5!I7),4)</f>
        <v>16.5138</v>
      </c>
      <c r="J7">
        <f>ROUND(AVERAGE(seed1!J7,seed2!J7,seed3!J7,seed4!J7,seed5!J7),4)</f>
        <v>16.3492</v>
      </c>
    </row>
    <row r="8" spans="2:10">
      <c r="B8" s="1">
        <v>0.4</v>
      </c>
      <c r="C8">
        <f>ROUND(AVERAGE(seed1!C8,seed2!C8,seed3!C8,seed4!C8,seed5!C8),4)</f>
        <v>15.083500000000001</v>
      </c>
      <c r="D8">
        <f>ROUND(AVERAGE(seed1!D8,seed2!D8,seed3!D8,seed4!D8,seed5!D8),4)</f>
        <v>14.8588</v>
      </c>
      <c r="E8">
        <f>ROUND(AVERAGE(seed1!E8,seed2!E8,seed3!E8,seed4!E8,seed5!E8),4)</f>
        <v>14.9695</v>
      </c>
      <c r="G8" s="1">
        <v>0.4</v>
      </c>
      <c r="H8">
        <f>ROUND(AVERAGE(seed1!H8,seed2!H8,seed3!H8,seed4!H8,seed5!H8),4)</f>
        <v>16.186499999999999</v>
      </c>
      <c r="I8">
        <f>ROUND(AVERAGE(seed1!I8,seed2!I8,seed3!I8,seed4!I8,seed5!I8),4)</f>
        <v>16.514800000000001</v>
      </c>
      <c r="J8">
        <f>ROUND(AVERAGE(seed1!J8,seed2!J8,seed3!J8,seed4!J8,seed5!J8),4)</f>
        <v>16.348500000000001</v>
      </c>
    </row>
    <row r="9" spans="2:10">
      <c r="B9" s="1">
        <v>0.5</v>
      </c>
      <c r="C9">
        <f>ROUND(AVERAGE(seed1!C9,seed2!C9,seed3!C9,seed4!C9,seed5!C9),4)</f>
        <v>15.2196</v>
      </c>
      <c r="D9">
        <f>ROUND(AVERAGE(seed1!D9,seed2!D9,seed3!D9,seed4!D9,seed5!D9),4)</f>
        <v>15.1264</v>
      </c>
      <c r="E9">
        <f>ROUND(AVERAGE(seed1!E9,seed2!E9,seed3!E9,seed4!E9,seed5!E9),4)</f>
        <v>15.1737</v>
      </c>
      <c r="G9" s="1">
        <v>0.5</v>
      </c>
      <c r="H9">
        <f>ROUND(AVERAGE(seed1!H9,seed2!H9,seed3!H9,seed4!H9,seed5!H9),4)</f>
        <v>16.161100000000001</v>
      </c>
      <c r="I9">
        <f>ROUND(AVERAGE(seed1!I9,seed2!I9,seed3!I9,seed4!I9,seed5!I9),4)</f>
        <v>16.5411</v>
      </c>
      <c r="J9">
        <f>ROUND(AVERAGE(seed1!J9,seed2!J9,seed3!J9,seed4!J9,seed5!J9),4)</f>
        <v>16.3492</v>
      </c>
    </row>
    <row r="10" spans="2:10">
      <c r="B10" s="1">
        <v>0.6</v>
      </c>
      <c r="C10">
        <f>ROUND(AVERAGE(seed1!C10,seed2!C10,seed3!C10,seed4!C10,seed5!C10),4)</f>
        <v>14.9215</v>
      </c>
      <c r="D10">
        <f>ROUND(AVERAGE(seed1!D10,seed2!D10,seed3!D10,seed4!D10,seed5!D10),4)</f>
        <v>15.863300000000001</v>
      </c>
      <c r="E10">
        <f>ROUND(AVERAGE(seed1!E10,seed2!E10,seed3!E10,seed4!E10,seed5!E10),4)</f>
        <v>15.3749</v>
      </c>
      <c r="G10" s="1">
        <v>0.6</v>
      </c>
      <c r="H10">
        <f>ROUND(AVERAGE(seed1!H10,seed2!H10,seed3!H10,seed4!H10,seed5!H10),4)</f>
        <v>16.161000000000001</v>
      </c>
      <c r="I10">
        <f>ROUND(AVERAGE(seed1!I10,seed2!I10,seed3!I10,seed4!I10,seed5!I10),4)</f>
        <v>16.5413</v>
      </c>
      <c r="J10">
        <f>ROUND(AVERAGE(seed1!J10,seed2!J10,seed3!J10,seed4!J10,seed5!J10),4)</f>
        <v>16.349299999999999</v>
      </c>
    </row>
    <row r="11" spans="2:10">
      <c r="B11" s="1">
        <v>0.7</v>
      </c>
      <c r="C11">
        <f>ROUND(AVERAGE(seed1!C11,seed2!C11,seed3!C11,seed4!C11,seed5!C11),4)</f>
        <v>14.2554</v>
      </c>
      <c r="D11">
        <f>ROUND(AVERAGE(seed1!D11,seed2!D11,seed3!D11,seed4!D11,seed5!D11),4)</f>
        <v>16.297699999999999</v>
      </c>
      <c r="E11">
        <f>ROUND(AVERAGE(seed1!E11,seed2!E11,seed3!E11,seed4!E11,seed5!E11),4)</f>
        <v>15.2079</v>
      </c>
      <c r="G11" s="1">
        <v>0.7</v>
      </c>
      <c r="H11">
        <f>ROUND(AVERAGE(seed1!H11,seed2!H11,seed3!H11,seed4!H11,seed5!H11),4)</f>
        <v>16.0611</v>
      </c>
      <c r="I11">
        <f>ROUND(AVERAGE(seed1!I11,seed2!I11,seed3!I11,seed4!I11,seed5!I11),4)</f>
        <v>16.6006</v>
      </c>
      <c r="J11">
        <f>ROUND(AVERAGE(seed1!J11,seed2!J11,seed3!J11,seed4!J11,seed5!J11),4)</f>
        <v>16.328399999999998</v>
      </c>
    </row>
    <row r="12" spans="2:10">
      <c r="B12" s="1">
        <v>0.8</v>
      </c>
      <c r="C12">
        <f>ROUND(AVERAGE(seed1!C12,seed2!C12,seed3!C12,seed4!C12,seed5!C12),4)</f>
        <v>13.106</v>
      </c>
      <c r="D12">
        <f>ROUND(AVERAGE(seed1!D12,seed2!D12,seed3!D12,seed4!D12,seed5!D12),4)</f>
        <v>16.622900000000001</v>
      </c>
      <c r="E12">
        <f>ROUND(AVERAGE(seed1!E12,seed2!E12,seed3!E12,seed4!E12,seed5!E12),4)</f>
        <v>14.6898</v>
      </c>
      <c r="G12" s="1">
        <v>0.8</v>
      </c>
      <c r="H12">
        <f>ROUND(AVERAGE(seed1!H12,seed2!H12,seed3!H12,seed4!H12,seed5!H12),4)</f>
        <v>16.007000000000001</v>
      </c>
      <c r="I12">
        <f>ROUND(AVERAGE(seed1!I12,seed2!I12,seed3!I12,seed4!I12,seed5!I12),4)</f>
        <v>16.6098</v>
      </c>
      <c r="J12">
        <f>ROUND(AVERAGE(seed1!J12,seed2!J12,seed3!J12,seed4!J12,seed5!J12),4)</f>
        <v>16.304200000000002</v>
      </c>
    </row>
    <row r="13" spans="2:10">
      <c r="B13" s="1">
        <v>0.9</v>
      </c>
      <c r="C13">
        <f>ROUND(AVERAGE(seed1!C13,seed2!C13,seed3!C13,seed4!C13,seed5!C13),4)</f>
        <v>12.286099999999999</v>
      </c>
      <c r="D13">
        <f>ROUND(AVERAGE(seed1!D13,seed2!D13,seed3!D13,seed4!D13,seed5!D13),4)</f>
        <v>16.670000000000002</v>
      </c>
      <c r="E13">
        <f>ROUND(AVERAGE(seed1!E13,seed2!E13,seed3!E13,seed4!E13,seed5!E13),4)</f>
        <v>14.231199999999999</v>
      </c>
      <c r="G13" s="1">
        <v>0.9</v>
      </c>
      <c r="H13">
        <f>ROUND(AVERAGE(seed1!H13,seed2!H13,seed3!H13,seed4!H13,seed5!H13),4)</f>
        <v>15.2254</v>
      </c>
      <c r="I13">
        <f>ROUND(AVERAGE(seed1!I13,seed2!I13,seed3!I13,seed4!I13,seed5!I13),4)</f>
        <v>16.670000000000002</v>
      </c>
      <c r="J13">
        <f>ROUND(AVERAGE(seed1!J13,seed2!J13,seed3!J13,seed4!J13,seed5!J13),4)</f>
        <v>15.9071</v>
      </c>
    </row>
    <row r="14" spans="2:10">
      <c r="B14" s="1">
        <v>1</v>
      </c>
      <c r="C14">
        <f>ROUND(AVERAGE(seed1!C14,seed2!C14,seed3!C14,seed4!C14,seed5!C14),4)</f>
        <v>12.286099999999999</v>
      </c>
      <c r="D14">
        <f>ROUND(AVERAGE(seed1!D14,seed2!D14,seed3!D14,seed4!D14,seed5!D14),4)</f>
        <v>16.670000000000002</v>
      </c>
      <c r="E14">
        <f>ROUND(AVERAGE(seed1!E14,seed2!E14,seed3!E14,seed4!E14,seed5!E14),4)</f>
        <v>14.231199999999999</v>
      </c>
      <c r="G14" s="1">
        <v>1</v>
      </c>
      <c r="H14">
        <f>ROUND(AVERAGE(seed1!H14,seed2!H14,seed3!H14,seed4!H14,seed5!H14),4)</f>
        <v>15.2254</v>
      </c>
      <c r="I14">
        <f>ROUND(AVERAGE(seed1!I14,seed2!I14,seed3!I14,seed4!I14,seed5!I14),4)</f>
        <v>16.670000000000002</v>
      </c>
      <c r="J14">
        <f>ROUND(AVERAGE(seed1!J14,seed2!J14,seed3!J14,seed4!J14,seed5!J14),4)</f>
        <v>15.9071</v>
      </c>
    </row>
    <row r="18" spans="2:10">
      <c r="B18" s="1"/>
      <c r="C18" s="1" t="s">
        <v>5</v>
      </c>
      <c r="D18" s="1"/>
      <c r="E18" s="1" t="s">
        <v>12</v>
      </c>
      <c r="G18" s="1"/>
      <c r="H18" s="1" t="s">
        <v>5</v>
      </c>
      <c r="I18" s="1"/>
      <c r="J18" s="1" t="s">
        <v>13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f>ROUND(AVERAGE(seed1!C20,seed2!C20,seed3!C20,seed4!C20,seed5!C20),4)</f>
        <v>14.315899999999999</v>
      </c>
      <c r="D20">
        <f>ROUND(AVERAGE(seed1!D20,seed2!D20,seed3!D20,seed4!D20,seed5!D20),4)</f>
        <v>13.947100000000001</v>
      </c>
      <c r="E20">
        <f>ROUND(AVERAGE(seed1!E20,seed2!E20,seed3!E20,seed4!E20,seed5!E20),4)</f>
        <v>14.1921</v>
      </c>
      <c r="G20" s="1">
        <v>0</v>
      </c>
      <c r="H20">
        <f>ROUND(AVERAGE(seed1!H20,seed2!H20,seed3!H20,seed4!H20,seed5!H20),4)</f>
        <v>15.3314</v>
      </c>
      <c r="I20">
        <f>ROUND(AVERAGE(seed1!I20,seed2!I20,seed3!I20,seed4!I20,seed5!I20),4)</f>
        <v>14.918900000000001</v>
      </c>
      <c r="J20">
        <f>ROUND(AVERAGE(seed1!J20,seed2!J20,seed3!J20,seed4!J20,seed5!J20),4)</f>
        <v>15.0974</v>
      </c>
    </row>
    <row r="21" spans="2:10">
      <c r="B21" s="1">
        <v>0.1</v>
      </c>
      <c r="C21">
        <f>ROUND(AVERAGE(seed1!C21,seed2!C21,seed3!C21,seed4!C21,seed5!C21),4)</f>
        <v>14.315899999999999</v>
      </c>
      <c r="D21">
        <f>ROUND(AVERAGE(seed1!D21,seed2!D21,seed3!D21,seed4!D21,seed5!D21),4)</f>
        <v>13.947100000000001</v>
      </c>
      <c r="E21">
        <f>ROUND(AVERAGE(seed1!E21,seed2!E21,seed3!E21,seed4!E21,seed5!E21),4)</f>
        <v>14.1921</v>
      </c>
      <c r="G21" s="1">
        <v>0.1</v>
      </c>
      <c r="H21">
        <f>ROUND(AVERAGE(seed1!H21,seed2!H21,seed3!H21,seed4!H21,seed5!H21),4)</f>
        <v>15.0959</v>
      </c>
      <c r="I21">
        <f>ROUND(AVERAGE(seed1!I21,seed2!I21,seed3!I21,seed4!I21,seed5!I21),4)</f>
        <v>14.751799999999999</v>
      </c>
      <c r="J21">
        <f>ROUND(AVERAGE(seed1!J21,seed2!J21,seed3!J21,seed4!J21,seed5!J21),4)</f>
        <v>14.879300000000001</v>
      </c>
    </row>
    <row r="22" spans="2:10">
      <c r="B22" s="1">
        <v>0.2</v>
      </c>
      <c r="C22">
        <f>ROUND(AVERAGE(seed1!C22,seed2!C22,seed3!C22,seed4!C22,seed5!C22),4)</f>
        <v>14.3124</v>
      </c>
      <c r="D22">
        <f>ROUND(AVERAGE(seed1!D22,seed2!D22,seed3!D22,seed4!D22,seed5!D22),4)</f>
        <v>14.077999999999999</v>
      </c>
      <c r="E22">
        <f>ROUND(AVERAGE(seed1!E22,seed2!E22,seed3!E22,seed4!E22,seed5!E22),4)</f>
        <v>14.2354</v>
      </c>
      <c r="G22" s="1">
        <v>0.2</v>
      </c>
      <c r="H22">
        <f>ROUND(AVERAGE(seed1!H22,seed2!H22,seed3!H22,seed4!H22,seed5!H22),4)</f>
        <v>15.326599999999999</v>
      </c>
      <c r="I22">
        <f>ROUND(AVERAGE(seed1!I22,seed2!I22,seed3!I22,seed4!I22,seed5!I22),4)</f>
        <v>15.146599999999999</v>
      </c>
      <c r="J22">
        <f>ROUND(AVERAGE(seed1!J22,seed2!J22,seed3!J22,seed4!J22,seed5!J22),4)</f>
        <v>15.230700000000001</v>
      </c>
    </row>
    <row r="23" spans="2:10">
      <c r="B23" s="1">
        <v>0.3</v>
      </c>
      <c r="C23">
        <f>ROUND(AVERAGE(seed1!C23,seed2!C23,seed3!C23,seed4!C23,seed5!C23),4)</f>
        <v>14.296799999999999</v>
      </c>
      <c r="D23">
        <f>ROUND(AVERAGE(seed1!D23,seed2!D23,seed3!D23,seed4!D23,seed5!D23),4)</f>
        <v>14.142899999999999</v>
      </c>
      <c r="E23">
        <f>ROUND(AVERAGE(seed1!E23,seed2!E23,seed3!E23,seed4!E23,seed5!E23),4)</f>
        <v>14.2477</v>
      </c>
      <c r="G23" s="1">
        <v>0.3</v>
      </c>
      <c r="H23">
        <f>ROUND(AVERAGE(seed1!H23,seed2!H23,seed3!H23,seed4!H23,seed5!H23),4)</f>
        <v>14.8569</v>
      </c>
      <c r="I23">
        <f>ROUND(AVERAGE(seed1!I23,seed2!I23,seed3!I23,seed4!I23,seed5!I23),4)</f>
        <v>15.59</v>
      </c>
      <c r="J23">
        <f>ROUND(AVERAGE(seed1!J23,seed2!J23,seed3!J23,seed4!J23,seed5!J23),4)</f>
        <v>15.3086</v>
      </c>
    </row>
    <row r="24" spans="2:10">
      <c r="B24" s="1">
        <v>0.4</v>
      </c>
      <c r="C24">
        <f>ROUND(AVERAGE(seed1!C24,seed2!C24,seed3!C24,seed4!C24,seed5!C24),4)</f>
        <v>14.310600000000001</v>
      </c>
      <c r="D24">
        <f>ROUND(AVERAGE(seed1!D24,seed2!D24,seed3!D24,seed4!D24,seed5!D24),4)</f>
        <v>14.5129</v>
      </c>
      <c r="E24">
        <f>ROUND(AVERAGE(seed1!E24,seed2!E24,seed3!E24,seed4!E24,seed5!E24),4)</f>
        <v>14.388199999999999</v>
      </c>
      <c r="G24" s="1">
        <v>0.4</v>
      </c>
      <c r="H24">
        <f>ROUND(AVERAGE(seed1!H24,seed2!H24,seed3!H24,seed4!H24,seed5!H24),4)</f>
        <v>14.437799999999999</v>
      </c>
      <c r="I24">
        <f>ROUND(AVERAGE(seed1!I24,seed2!I24,seed3!I24,seed4!I24,seed5!I24),4)</f>
        <v>15.553599999999999</v>
      </c>
      <c r="J24">
        <f>ROUND(AVERAGE(seed1!J24,seed2!J24,seed3!J24,seed4!J24,seed5!J24),4)</f>
        <v>15.115600000000001</v>
      </c>
    </row>
    <row r="25" spans="2:10">
      <c r="B25" s="1">
        <v>0.5</v>
      </c>
      <c r="C25">
        <f>ROUND(AVERAGE(seed1!C25,seed2!C25,seed3!C25,seed4!C25,seed5!C25),4)</f>
        <v>14.449199999999999</v>
      </c>
      <c r="D25">
        <f>ROUND(AVERAGE(seed1!D25,seed2!D25,seed3!D25,seed4!D25,seed5!D25),4)</f>
        <v>15.2501</v>
      </c>
      <c r="E25">
        <f>ROUND(AVERAGE(seed1!E25,seed2!E25,seed3!E25,seed4!E25,seed5!E25),4)</f>
        <v>14.735099999999999</v>
      </c>
      <c r="G25" s="1">
        <v>0.5</v>
      </c>
      <c r="H25">
        <f>ROUND(AVERAGE(seed1!H25,seed2!H25,seed3!H25,seed4!H25,seed5!H25),4)</f>
        <v>14.409000000000001</v>
      </c>
      <c r="I25">
        <f>ROUND(AVERAGE(seed1!I25,seed2!I25,seed3!I25,seed4!I25,seed5!I25),4)</f>
        <v>16.248000000000001</v>
      </c>
      <c r="J25">
        <f>ROUND(AVERAGE(seed1!J25,seed2!J25,seed3!J25,seed4!J25,seed5!J25),4)</f>
        <v>15.5099</v>
      </c>
    </row>
    <row r="26" spans="2:10">
      <c r="B26" s="1">
        <v>0.6</v>
      </c>
      <c r="C26">
        <f>ROUND(AVERAGE(seed1!C26,seed2!C26,seed3!C26,seed4!C26,seed5!C26),4)</f>
        <v>14.203900000000001</v>
      </c>
      <c r="D26">
        <f>ROUND(AVERAGE(seed1!D26,seed2!D26,seed3!D26,seed4!D26,seed5!D26),4)</f>
        <v>15.3637</v>
      </c>
      <c r="E26">
        <f>ROUND(AVERAGE(seed1!E26,seed2!E26,seed3!E26,seed4!E26,seed5!E26),4)</f>
        <v>14.613</v>
      </c>
      <c r="G26" s="1">
        <v>0.6</v>
      </c>
      <c r="H26">
        <f>ROUND(AVERAGE(seed1!H26,seed2!H26,seed3!H26,seed4!H26,seed5!H26),4)</f>
        <v>14.5626</v>
      </c>
      <c r="I26">
        <f>ROUND(AVERAGE(seed1!I26,seed2!I26,seed3!I26,seed4!I26,seed5!I26),4)</f>
        <v>16.077100000000002</v>
      </c>
      <c r="J26">
        <f>ROUND(AVERAGE(seed1!J26,seed2!J26,seed3!J26,seed4!J26,seed5!J26),4)</f>
        <v>15.459</v>
      </c>
    </row>
    <row r="27" spans="2:10">
      <c r="B27" s="1">
        <v>0.7</v>
      </c>
      <c r="C27">
        <f>ROUND(AVERAGE(seed1!C27,seed2!C27,seed3!C27,seed4!C27,seed5!C27),4)</f>
        <v>14.028</v>
      </c>
      <c r="D27">
        <f>ROUND(AVERAGE(seed1!D27,seed2!D27,seed3!D27,seed4!D27,seed5!D27),4)</f>
        <v>15.999599999999999</v>
      </c>
      <c r="E27">
        <f>ROUND(AVERAGE(seed1!E27,seed2!E27,seed3!E27,seed4!E27,seed5!E27),4)</f>
        <v>14.7105</v>
      </c>
      <c r="G27" s="1">
        <v>0.7</v>
      </c>
      <c r="H27">
        <f>ROUND(AVERAGE(seed1!H27,seed2!H27,seed3!H27,seed4!H27,seed5!H27),4)</f>
        <v>13.2113</v>
      </c>
      <c r="I27">
        <f>ROUND(AVERAGE(seed1!I27,seed2!I27,seed3!I27,seed4!I27,seed5!I27),4)</f>
        <v>16.54</v>
      </c>
      <c r="J27">
        <f>ROUND(AVERAGE(seed1!J27,seed2!J27,seed3!J27,seed4!J27,seed5!J27),4)</f>
        <v>15.1797</v>
      </c>
    </row>
    <row r="28" spans="2:10">
      <c r="B28" s="1">
        <v>0.8</v>
      </c>
      <c r="C28">
        <f>ROUND(AVERAGE(seed1!C28,seed2!C28,seed3!C28,seed4!C28,seed5!C28),4)</f>
        <v>13.615600000000001</v>
      </c>
      <c r="D28">
        <f>ROUND(AVERAGE(seed1!D28,seed2!D28,seed3!D28,seed4!D28,seed5!D28),4)</f>
        <v>16.592700000000001</v>
      </c>
      <c r="E28">
        <f>ROUND(AVERAGE(seed1!E28,seed2!E28,seed3!E28,seed4!E28,seed5!E28),4)</f>
        <v>14.645099999999999</v>
      </c>
      <c r="G28" s="1">
        <v>0.8</v>
      </c>
      <c r="H28">
        <f>ROUND(AVERAGE(seed1!H28,seed2!H28,seed3!H28,seed4!H28,seed5!H28),4)</f>
        <v>12.5428</v>
      </c>
      <c r="I28">
        <f>ROUND(AVERAGE(seed1!I28,seed2!I28,seed3!I28,seed4!I28,seed5!I28),4)</f>
        <v>16.645900000000001</v>
      </c>
      <c r="J28">
        <f>ROUND(AVERAGE(seed1!J28,seed2!J28,seed3!J28,seed4!J28,seed5!J28),4)</f>
        <v>14.7615</v>
      </c>
    </row>
    <row r="29" spans="2:10">
      <c r="B29" s="1">
        <v>0.9</v>
      </c>
      <c r="C29">
        <f>ROUND(AVERAGE(seed1!C29,seed2!C29,seed3!C29,seed4!C29,seed5!C29),4)</f>
        <v>13.1166</v>
      </c>
      <c r="D29">
        <f>ROUND(AVERAGE(seed1!D29,seed2!D29,seed3!D29,seed4!D29,seed5!D29),4)</f>
        <v>16.6065</v>
      </c>
      <c r="E29">
        <f>ROUND(AVERAGE(seed1!E29,seed2!E29,seed3!E29,seed4!E29,seed5!E29),4)</f>
        <v>14.3043</v>
      </c>
      <c r="G29" s="1">
        <v>0.9</v>
      </c>
      <c r="H29">
        <f>ROUND(AVERAGE(seed1!H29,seed2!H29,seed3!H29,seed4!H29,seed5!H29),4)</f>
        <v>11.5181</v>
      </c>
      <c r="I29">
        <f>ROUND(AVERAGE(seed1!I29,seed2!I29,seed3!I29,seed4!I29,seed5!I29),4)</f>
        <v>16.6663</v>
      </c>
      <c r="J29">
        <f>ROUND(AVERAGE(seed1!J29,seed2!J29,seed3!J29,seed4!J29,seed5!J29),4)</f>
        <v>14.4794</v>
      </c>
    </row>
    <row r="30" spans="2:10">
      <c r="B30" s="1">
        <v>1</v>
      </c>
      <c r="C30">
        <f>ROUND(AVERAGE(seed1!C30,seed2!C30,seed3!C30,seed4!C30,seed5!C30),4)</f>
        <v>12.777200000000001</v>
      </c>
      <c r="D30">
        <f>ROUND(AVERAGE(seed1!D30,seed2!D30,seed3!D30,seed4!D30,seed5!D30),4)</f>
        <v>16.670000000000002</v>
      </c>
      <c r="E30">
        <f>ROUND(AVERAGE(seed1!E30,seed2!E30,seed3!E30,seed4!E30,seed5!E30),4)</f>
        <v>14.098000000000001</v>
      </c>
      <c r="G30" s="1">
        <v>1</v>
      </c>
      <c r="H30">
        <f>ROUND(AVERAGE(seed1!H30,seed2!H30,seed3!H30,seed4!H30,seed5!H30),4)</f>
        <v>11.765700000000001</v>
      </c>
      <c r="I30">
        <f>ROUND(AVERAGE(seed1!I30,seed2!I30,seed3!I30,seed4!I30,seed5!I30),4)</f>
        <v>16.6663</v>
      </c>
      <c r="J30">
        <f>ROUND(AVERAGE(seed1!J30,seed2!J30,seed3!J30,seed4!J30,seed5!J30),4)</f>
        <v>14.3888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4696-E9B1-9145-BC5B-8F999AEF4DFF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10</v>
      </c>
      <c r="D2" s="1"/>
      <c r="E2" s="1" t="s">
        <v>7</v>
      </c>
      <c r="G2" s="1"/>
      <c r="H2" s="1" t="s">
        <v>5</v>
      </c>
      <c r="I2" s="1"/>
      <c r="J2" s="1" t="s">
        <v>9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>
        <v>13.608700000000001</v>
      </c>
      <c r="D4">
        <v>13.573</v>
      </c>
      <c r="E4">
        <v>13.5901</v>
      </c>
      <c r="G4" s="1">
        <v>0</v>
      </c>
    </row>
    <row r="5" spans="2:10">
      <c r="B5" s="1">
        <v>0.1</v>
      </c>
      <c r="C5">
        <v>13.608700000000001</v>
      </c>
      <c r="D5">
        <v>13.573</v>
      </c>
      <c r="E5">
        <v>13.5901</v>
      </c>
      <c r="G5" s="1">
        <v>0.1</v>
      </c>
    </row>
    <row r="6" spans="2:10">
      <c r="B6" s="1">
        <v>0.2</v>
      </c>
      <c r="C6">
        <v>13.608700000000001</v>
      </c>
      <c r="D6">
        <v>13.573</v>
      </c>
      <c r="E6">
        <v>13.5901</v>
      </c>
      <c r="G6" s="1">
        <v>0.2</v>
      </c>
    </row>
    <row r="7" spans="2:10">
      <c r="B7" s="1">
        <v>0.3</v>
      </c>
      <c r="C7">
        <v>13.608700000000001</v>
      </c>
      <c r="D7">
        <v>13.573</v>
      </c>
      <c r="E7">
        <v>13.5901</v>
      </c>
      <c r="G7" s="1">
        <v>0.3</v>
      </c>
    </row>
    <row r="8" spans="2:10">
      <c r="B8" s="1">
        <v>0.4</v>
      </c>
      <c r="C8">
        <v>12.8835</v>
      </c>
      <c r="D8">
        <v>14.7014</v>
      </c>
      <c r="E8">
        <v>13.7529</v>
      </c>
      <c r="G8" s="1">
        <v>0.4</v>
      </c>
    </row>
    <row r="9" spans="2:10">
      <c r="B9" s="1">
        <v>0.5</v>
      </c>
      <c r="C9">
        <v>12.7537</v>
      </c>
      <c r="D9">
        <v>15.5823</v>
      </c>
      <c r="E9">
        <v>14.091900000000001</v>
      </c>
      <c r="G9" s="1">
        <v>0.5</v>
      </c>
    </row>
    <row r="10" spans="2:10">
      <c r="B10" s="1">
        <v>0.6</v>
      </c>
      <c r="C10">
        <v>12.727499999999999</v>
      </c>
      <c r="D10">
        <v>15.6912</v>
      </c>
      <c r="E10">
        <v>14.129</v>
      </c>
      <c r="G10" s="1">
        <v>0.6</v>
      </c>
    </row>
    <row r="11" spans="2:10">
      <c r="B11" s="1">
        <v>0.7</v>
      </c>
      <c r="C11">
        <v>10.321999999999999</v>
      </c>
      <c r="D11">
        <v>16.370699999999999</v>
      </c>
      <c r="E11">
        <v>12.9557</v>
      </c>
      <c r="G11" s="1">
        <v>0.7</v>
      </c>
    </row>
    <row r="12" spans="2:10">
      <c r="B12" s="1">
        <v>0.8</v>
      </c>
      <c r="C12">
        <v>10.1142</v>
      </c>
      <c r="D12">
        <v>16.4953</v>
      </c>
      <c r="E12">
        <v>12.8833</v>
      </c>
      <c r="G12" s="1">
        <v>0.8</v>
      </c>
    </row>
    <row r="13" spans="2:10">
      <c r="B13" s="1">
        <v>0.9</v>
      </c>
      <c r="C13">
        <v>9.8783399999999997</v>
      </c>
      <c r="D13">
        <v>16.670000000000002</v>
      </c>
      <c r="E13">
        <v>12.8256</v>
      </c>
      <c r="G13" s="1">
        <v>0.9</v>
      </c>
    </row>
    <row r="14" spans="2:10">
      <c r="B14" s="1">
        <v>1</v>
      </c>
      <c r="C14">
        <v>9.8783399999999997</v>
      </c>
      <c r="D14">
        <v>16.670000000000002</v>
      </c>
      <c r="E14">
        <v>12.8256</v>
      </c>
      <c r="G14" s="1">
        <v>1</v>
      </c>
    </row>
    <row r="16" spans="2:10">
      <c r="D16" t="s">
        <v>11</v>
      </c>
    </row>
    <row r="18" spans="2:10">
      <c r="B18" s="1"/>
      <c r="C18" s="1" t="s">
        <v>5</v>
      </c>
      <c r="D18" s="1"/>
      <c r="E18" s="1" t="s">
        <v>12</v>
      </c>
      <c r="G18" s="1"/>
      <c r="H18" s="1" t="s">
        <v>5</v>
      </c>
      <c r="I18" s="1"/>
      <c r="J18" s="1" t="s">
        <v>13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12.5854</v>
      </c>
      <c r="D20">
        <v>12.7653</v>
      </c>
      <c r="E20">
        <v>12.6541</v>
      </c>
      <c r="G20" s="1">
        <v>0</v>
      </c>
      <c r="H20">
        <v>12.801500000000001</v>
      </c>
      <c r="I20">
        <v>11.7582</v>
      </c>
      <c r="J20">
        <v>12.1744</v>
      </c>
    </row>
    <row r="21" spans="2:10">
      <c r="B21" s="1">
        <v>0.1</v>
      </c>
      <c r="C21">
        <v>12.5854</v>
      </c>
      <c r="D21">
        <v>12.7653</v>
      </c>
      <c r="E21">
        <v>12.6541</v>
      </c>
      <c r="G21" s="1">
        <v>0.1</v>
      </c>
      <c r="H21">
        <v>12.885300000000001</v>
      </c>
      <c r="I21">
        <v>11.835800000000001</v>
      </c>
      <c r="J21">
        <v>12.252599999999999</v>
      </c>
    </row>
    <row r="22" spans="2:10">
      <c r="B22" s="1">
        <v>0.2</v>
      </c>
      <c r="C22">
        <v>12.5854</v>
      </c>
      <c r="D22">
        <v>12.7653</v>
      </c>
      <c r="E22">
        <v>12.6541</v>
      </c>
      <c r="G22" s="1">
        <v>0.2</v>
      </c>
      <c r="H22">
        <v>12.885300000000001</v>
      </c>
      <c r="I22">
        <v>11.835800000000001</v>
      </c>
      <c r="J22">
        <v>12.252599999999999</v>
      </c>
    </row>
    <row r="23" spans="2:10">
      <c r="B23" s="1">
        <v>0.3</v>
      </c>
      <c r="C23">
        <v>12.5854</v>
      </c>
      <c r="D23">
        <v>12.7653</v>
      </c>
      <c r="E23">
        <v>12.6541</v>
      </c>
      <c r="G23" s="1">
        <v>0.3</v>
      </c>
      <c r="H23">
        <v>12.4762</v>
      </c>
      <c r="I23">
        <v>13.585800000000001</v>
      </c>
      <c r="J23">
        <v>13.141500000000001</v>
      </c>
    </row>
    <row r="24" spans="2:10">
      <c r="B24" s="1">
        <v>0.4</v>
      </c>
      <c r="C24">
        <v>12.0974</v>
      </c>
      <c r="D24">
        <v>11.744400000000001</v>
      </c>
      <c r="E24">
        <v>11.962999999999999</v>
      </c>
      <c r="G24" s="1">
        <v>0.4</v>
      </c>
      <c r="H24">
        <v>12.638299999999999</v>
      </c>
      <c r="I24">
        <v>14.042899999999999</v>
      </c>
      <c r="J24">
        <v>13.475</v>
      </c>
    </row>
    <row r="25" spans="2:10">
      <c r="B25" s="1">
        <v>0.5</v>
      </c>
      <c r="C25">
        <v>11.495900000000001</v>
      </c>
      <c r="D25">
        <v>15.3592</v>
      </c>
      <c r="E25">
        <v>12.8338</v>
      </c>
      <c r="G25" s="1">
        <v>0.5</v>
      </c>
      <c r="H25">
        <v>13.760199999999999</v>
      </c>
      <c r="I25">
        <v>13.2818</v>
      </c>
      <c r="J25">
        <v>13.471299999999999</v>
      </c>
    </row>
    <row r="26" spans="2:10">
      <c r="B26" s="1">
        <v>0.6</v>
      </c>
      <c r="C26">
        <v>13.325799999999999</v>
      </c>
      <c r="D26">
        <v>16.359100000000002</v>
      </c>
      <c r="E26">
        <v>14.389099999999999</v>
      </c>
      <c r="G26" s="1">
        <v>0.6</v>
      </c>
      <c r="H26">
        <v>12.006</v>
      </c>
      <c r="I26">
        <v>15.748100000000001</v>
      </c>
      <c r="J26">
        <v>14.131600000000001</v>
      </c>
    </row>
    <row r="27" spans="2:10">
      <c r="B27" s="1">
        <v>0.7</v>
      </c>
      <c r="C27">
        <v>13.4956</v>
      </c>
      <c r="D27">
        <v>16.669599999999999</v>
      </c>
      <c r="E27">
        <v>14.6083</v>
      </c>
      <c r="G27" s="1">
        <v>0.7</v>
      </c>
      <c r="H27">
        <v>11.576499999999999</v>
      </c>
      <c r="I27">
        <v>16.387899999999998</v>
      </c>
      <c r="J27">
        <v>14.273199999999999</v>
      </c>
    </row>
    <row r="28" spans="2:10">
      <c r="B28" s="1">
        <v>0.8</v>
      </c>
      <c r="C28">
        <v>13.4961</v>
      </c>
      <c r="D28">
        <v>16.665400000000002</v>
      </c>
      <c r="E28">
        <v>14.6074</v>
      </c>
      <c r="G28" s="1">
        <v>0.8</v>
      </c>
      <c r="H28">
        <v>9.4037000000000006</v>
      </c>
      <c r="I28">
        <v>16.666899999999998</v>
      </c>
      <c r="J28">
        <v>13.236800000000001</v>
      </c>
    </row>
    <row r="29" spans="2:10">
      <c r="B29" s="1">
        <v>0.9</v>
      </c>
      <c r="C29">
        <v>13.459</v>
      </c>
      <c r="D29">
        <v>16.664999999999999</v>
      </c>
      <c r="E29">
        <v>14.5823</v>
      </c>
      <c r="G29" s="1">
        <v>0.9</v>
      </c>
      <c r="H29">
        <v>9.4191000000000003</v>
      </c>
      <c r="I29">
        <v>16.670000000000002</v>
      </c>
      <c r="J29">
        <v>13.2463</v>
      </c>
    </row>
    <row r="30" spans="2:10">
      <c r="B30" s="1">
        <v>1</v>
      </c>
      <c r="C30">
        <v>13.4961</v>
      </c>
      <c r="D30">
        <v>16.670000000000002</v>
      </c>
      <c r="E30">
        <v>14.608700000000001</v>
      </c>
      <c r="G30" s="1">
        <v>1</v>
      </c>
      <c r="H30">
        <v>9.4191000000000003</v>
      </c>
      <c r="I30">
        <v>16.670000000000002</v>
      </c>
      <c r="J30">
        <v>13.2463</v>
      </c>
    </row>
    <row r="32" spans="2:10">
      <c r="D32" t="s">
        <v>15</v>
      </c>
      <c r="E32" s="3"/>
      <c r="I32" t="s">
        <v>15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ED224-3303-004F-BC39-0BA012AF74D8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5</v>
      </c>
      <c r="D2" s="1"/>
      <c r="E2" s="1" t="s">
        <v>7</v>
      </c>
      <c r="G2" s="1"/>
      <c r="H2" s="1" t="s">
        <v>5</v>
      </c>
      <c r="I2" s="1"/>
      <c r="J2" s="1" t="s">
        <v>9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15.536099999999999</v>
      </c>
      <c r="D4" s="1">
        <v>15.7677</v>
      </c>
      <c r="E4" s="1">
        <v>15.652699999999999</v>
      </c>
      <c r="G4" s="1">
        <v>0</v>
      </c>
    </row>
    <row r="5" spans="2:10">
      <c r="B5" s="1">
        <v>0.1</v>
      </c>
      <c r="C5" s="1">
        <v>15.536099999999999</v>
      </c>
      <c r="D5" s="1">
        <v>15.7677</v>
      </c>
      <c r="E5" s="1">
        <v>15.652699999999999</v>
      </c>
      <c r="G5" s="1">
        <v>0.1</v>
      </c>
    </row>
    <row r="6" spans="2:10">
      <c r="B6" s="1">
        <v>0.2</v>
      </c>
      <c r="C6" s="1">
        <v>14.9596</v>
      </c>
      <c r="D6" s="1">
        <v>15.5626</v>
      </c>
      <c r="E6" s="1">
        <v>15.261100000000001</v>
      </c>
      <c r="G6" s="1">
        <v>0.2</v>
      </c>
    </row>
    <row r="7" spans="2:10">
      <c r="B7" s="1">
        <v>0.3</v>
      </c>
      <c r="C7" s="1">
        <v>14.690099999999999</v>
      </c>
      <c r="D7" s="1">
        <v>14.853999999999999</v>
      </c>
      <c r="E7" s="1">
        <v>14.7736</v>
      </c>
      <c r="G7" s="1">
        <v>0.3</v>
      </c>
    </row>
    <row r="8" spans="2:10">
      <c r="B8" s="1">
        <v>0.4</v>
      </c>
      <c r="C8" s="1">
        <v>15.6472</v>
      </c>
      <c r="D8" s="1">
        <v>16.288699999999999</v>
      </c>
      <c r="E8" s="1">
        <v>15.966100000000001</v>
      </c>
      <c r="G8" s="1">
        <v>0.4</v>
      </c>
    </row>
    <row r="9" spans="2:10">
      <c r="B9" s="1">
        <v>0.5</v>
      </c>
      <c r="C9" s="1">
        <v>15.6472</v>
      </c>
      <c r="D9" s="1">
        <v>16.288699999999999</v>
      </c>
      <c r="E9" s="1">
        <v>15.966100000000001</v>
      </c>
      <c r="G9" s="1">
        <v>0.5</v>
      </c>
    </row>
    <row r="10" spans="2:10">
      <c r="B10" s="1">
        <v>0.6</v>
      </c>
      <c r="C10" s="1">
        <v>15.6472</v>
      </c>
      <c r="D10" s="1">
        <v>16.288699999999999</v>
      </c>
      <c r="E10" s="1">
        <v>15.966100000000001</v>
      </c>
      <c r="G10" s="1">
        <v>0.6</v>
      </c>
    </row>
    <row r="11" spans="2:10">
      <c r="B11" s="1">
        <v>0.7</v>
      </c>
      <c r="C11" s="1">
        <v>12.995699999999999</v>
      </c>
      <c r="D11" s="1">
        <v>16.670000000000002</v>
      </c>
      <c r="E11" s="1">
        <v>14.7034</v>
      </c>
      <c r="G11" s="1">
        <v>0.7</v>
      </c>
    </row>
    <row r="12" spans="2:10">
      <c r="B12" s="1">
        <v>0.8</v>
      </c>
      <c r="C12" s="1">
        <v>12.995699999999999</v>
      </c>
      <c r="D12" s="1">
        <v>16.670000000000002</v>
      </c>
      <c r="E12" s="1">
        <v>14.7034</v>
      </c>
      <c r="G12" s="1">
        <v>0.8</v>
      </c>
    </row>
    <row r="13" spans="2:10">
      <c r="B13" s="1">
        <v>0.9</v>
      </c>
      <c r="C13" s="1">
        <v>12.9533</v>
      </c>
      <c r="D13" s="1">
        <v>16.666</v>
      </c>
      <c r="E13" s="1">
        <v>14.676600000000001</v>
      </c>
      <c r="G13" s="1">
        <v>0.9</v>
      </c>
    </row>
    <row r="14" spans="2:10">
      <c r="B14" s="1">
        <v>1</v>
      </c>
      <c r="C14" s="1">
        <v>13.0007</v>
      </c>
      <c r="D14" s="1">
        <v>16.670000000000002</v>
      </c>
      <c r="E14" s="1">
        <v>14.7058</v>
      </c>
      <c r="G14" s="1">
        <v>1</v>
      </c>
    </row>
    <row r="16" spans="2:10">
      <c r="D16" t="s">
        <v>11</v>
      </c>
    </row>
    <row r="18" spans="2:10">
      <c r="B18" s="1"/>
      <c r="C18" s="1" t="s">
        <v>5</v>
      </c>
      <c r="D18" s="1"/>
      <c r="E18" s="1" t="s">
        <v>12</v>
      </c>
      <c r="G18" s="1"/>
      <c r="H18" s="1" t="s">
        <v>5</v>
      </c>
      <c r="I18" s="1"/>
      <c r="J18" s="1" t="s">
        <v>13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14.6294</v>
      </c>
      <c r="D20">
        <v>15.922800000000001</v>
      </c>
      <c r="E20">
        <v>15.116</v>
      </c>
      <c r="G20" s="1">
        <v>0</v>
      </c>
      <c r="H20">
        <v>15.3193</v>
      </c>
      <c r="I20">
        <v>14.8627</v>
      </c>
      <c r="J20">
        <v>15.025399999999999</v>
      </c>
    </row>
    <row r="21" spans="2:10">
      <c r="B21" s="1">
        <v>0.1</v>
      </c>
      <c r="C21">
        <v>14.6294</v>
      </c>
      <c r="D21">
        <v>15.922800000000001</v>
      </c>
      <c r="E21">
        <v>15.116</v>
      </c>
      <c r="G21" s="1">
        <v>0.1</v>
      </c>
      <c r="H21">
        <v>15.3193</v>
      </c>
      <c r="I21">
        <v>14.8627</v>
      </c>
      <c r="J21">
        <v>15.025399999999999</v>
      </c>
    </row>
    <row r="22" spans="2:10">
      <c r="B22" s="1">
        <v>0.2</v>
      </c>
      <c r="C22">
        <v>13.576000000000001</v>
      </c>
      <c r="D22">
        <v>13.9673</v>
      </c>
      <c r="E22">
        <v>13.729200000000001</v>
      </c>
      <c r="G22" s="1">
        <v>0.2</v>
      </c>
      <c r="H22">
        <v>15.3193</v>
      </c>
      <c r="I22">
        <v>14.8627</v>
      </c>
      <c r="J22">
        <v>15.025399999999999</v>
      </c>
    </row>
    <row r="23" spans="2:10">
      <c r="B23" s="1">
        <v>0.3</v>
      </c>
      <c r="C23">
        <v>14.355600000000001</v>
      </c>
      <c r="D23">
        <v>16.601800000000001</v>
      </c>
      <c r="E23">
        <v>15.1751</v>
      </c>
      <c r="G23" s="1">
        <v>0.3</v>
      </c>
      <c r="H23">
        <v>12.764900000000001</v>
      </c>
      <c r="I23">
        <v>15.446199999999999</v>
      </c>
      <c r="J23">
        <v>14.401</v>
      </c>
    </row>
    <row r="24" spans="2:10">
      <c r="B24" s="1">
        <v>0.4</v>
      </c>
      <c r="C24">
        <v>14.802899999999999</v>
      </c>
      <c r="D24">
        <v>16.665900000000001</v>
      </c>
      <c r="E24">
        <v>15.4832</v>
      </c>
      <c r="G24" s="1">
        <v>0.4</v>
      </c>
      <c r="H24">
        <v>14.31</v>
      </c>
      <c r="I24">
        <v>15.354799999999999</v>
      </c>
      <c r="J24">
        <v>14.972200000000001</v>
      </c>
    </row>
    <row r="25" spans="2:10">
      <c r="B25" s="1">
        <v>0.5</v>
      </c>
      <c r="C25">
        <v>14.795299999999999</v>
      </c>
      <c r="D25">
        <v>16.665900000000001</v>
      </c>
      <c r="E25">
        <v>15.478400000000001</v>
      </c>
      <c r="G25" s="1">
        <v>0.5</v>
      </c>
      <c r="H25">
        <v>13.097300000000001</v>
      </c>
      <c r="I25">
        <v>15.8292</v>
      </c>
      <c r="J25">
        <v>14.7806</v>
      </c>
    </row>
    <row r="26" spans="2:10">
      <c r="B26" s="1">
        <v>0.6</v>
      </c>
      <c r="C26">
        <v>14.795299999999999</v>
      </c>
      <c r="D26">
        <v>16.665900000000001</v>
      </c>
      <c r="E26">
        <v>15.478400000000001</v>
      </c>
      <c r="G26" s="1">
        <v>0.6</v>
      </c>
      <c r="H26">
        <v>13.8736</v>
      </c>
      <c r="I26">
        <v>16.218299999999999</v>
      </c>
      <c r="J26">
        <v>15.307499999999999</v>
      </c>
    </row>
    <row r="27" spans="2:10">
      <c r="B27" s="1">
        <v>0.7</v>
      </c>
      <c r="C27">
        <v>14.8004</v>
      </c>
      <c r="D27">
        <v>16.667999999999999</v>
      </c>
      <c r="E27">
        <v>15.482200000000001</v>
      </c>
      <c r="G27" s="1">
        <v>0.7</v>
      </c>
      <c r="H27">
        <v>12.879</v>
      </c>
      <c r="I27">
        <v>16.562999999999999</v>
      </c>
      <c r="J27">
        <v>15.1251</v>
      </c>
    </row>
    <row r="28" spans="2:10">
      <c r="B28" s="1">
        <v>0.8</v>
      </c>
      <c r="C28">
        <v>14.736700000000001</v>
      </c>
      <c r="D28">
        <v>16.6676</v>
      </c>
      <c r="E28">
        <v>15.4414</v>
      </c>
      <c r="G28" s="1">
        <v>0.8</v>
      </c>
      <c r="H28">
        <v>13.0358</v>
      </c>
      <c r="I28">
        <v>16.670000000000002</v>
      </c>
      <c r="J28">
        <v>15.226000000000001</v>
      </c>
    </row>
    <row r="29" spans="2:10">
      <c r="B29" s="1">
        <v>0.9</v>
      </c>
      <c r="C29">
        <v>14.7529</v>
      </c>
      <c r="D29">
        <v>16.668600000000001</v>
      </c>
      <c r="E29">
        <v>15.4519</v>
      </c>
      <c r="G29" s="1">
        <v>0.9</v>
      </c>
      <c r="H29">
        <v>13.0358</v>
      </c>
      <c r="I29">
        <v>16.670000000000002</v>
      </c>
      <c r="J29">
        <v>15.226000000000001</v>
      </c>
    </row>
    <row r="30" spans="2:10">
      <c r="B30" s="1">
        <v>1</v>
      </c>
      <c r="C30">
        <v>14.7514</v>
      </c>
      <c r="D30">
        <v>16.670000000000002</v>
      </c>
      <c r="E30">
        <v>15.4513</v>
      </c>
      <c r="G30" s="1">
        <v>1</v>
      </c>
      <c r="H30">
        <v>13.0358</v>
      </c>
      <c r="I30">
        <v>16.670000000000002</v>
      </c>
      <c r="J30">
        <v>15.226000000000001</v>
      </c>
    </row>
    <row r="32" spans="2:10">
      <c r="D32" t="s">
        <v>14</v>
      </c>
      <c r="I32" t="s">
        <v>14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D008-03D2-7040-8B07-4A661A5B50D5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5</v>
      </c>
      <c r="D2" s="1"/>
      <c r="E2" s="1" t="s">
        <v>7</v>
      </c>
      <c r="G2" s="1"/>
      <c r="H2" s="1" t="s">
        <v>5</v>
      </c>
      <c r="I2" s="1"/>
      <c r="J2" s="1" t="s">
        <v>9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14.6021</v>
      </c>
      <c r="D4" s="1">
        <v>13.301</v>
      </c>
      <c r="E4" s="1">
        <v>13.9709</v>
      </c>
      <c r="G4" s="1">
        <v>0</v>
      </c>
    </row>
    <row r="5" spans="2:10">
      <c r="B5" s="1">
        <v>0.1</v>
      </c>
      <c r="C5" s="1">
        <v>14.6021</v>
      </c>
      <c r="D5" s="1">
        <v>13.301</v>
      </c>
      <c r="E5" s="1">
        <v>13.9709</v>
      </c>
      <c r="G5" s="1">
        <v>0.1</v>
      </c>
    </row>
    <row r="6" spans="2:10">
      <c r="B6" s="1">
        <v>0.2</v>
      </c>
      <c r="C6" s="1">
        <v>14.51</v>
      </c>
      <c r="D6" s="1">
        <v>13.353899999999999</v>
      </c>
      <c r="E6" s="1">
        <v>13.9498</v>
      </c>
      <c r="G6" s="1">
        <v>0.2</v>
      </c>
    </row>
    <row r="7" spans="2:10">
      <c r="B7" s="1">
        <v>0.3</v>
      </c>
      <c r="C7" s="1">
        <v>15.2058</v>
      </c>
      <c r="D7" s="1">
        <v>14.8733</v>
      </c>
      <c r="E7" s="1">
        <v>15.0465</v>
      </c>
      <c r="G7" s="1">
        <v>0.3</v>
      </c>
    </row>
    <row r="8" spans="2:10">
      <c r="B8" s="1">
        <v>0.4</v>
      </c>
      <c r="C8" s="1">
        <v>15.182499999999999</v>
      </c>
      <c r="D8" s="1">
        <v>14.9359</v>
      </c>
      <c r="E8" s="1">
        <v>15.064299999999999</v>
      </c>
      <c r="G8" s="1">
        <v>0.4</v>
      </c>
    </row>
    <row r="9" spans="2:10">
      <c r="B9" s="1">
        <v>0.5</v>
      </c>
      <c r="C9" s="1">
        <v>14.3581</v>
      </c>
      <c r="D9" s="1">
        <v>14.9521</v>
      </c>
      <c r="E9" s="1">
        <v>14.639699999999999</v>
      </c>
      <c r="G9" s="1">
        <v>0.5</v>
      </c>
    </row>
    <row r="10" spans="2:10">
      <c r="B10" s="1">
        <v>0.6</v>
      </c>
      <c r="C10" s="1">
        <v>14.457800000000001</v>
      </c>
      <c r="D10" s="1">
        <v>15.8551</v>
      </c>
      <c r="E10" s="1">
        <v>15.104900000000001</v>
      </c>
      <c r="G10" s="1">
        <v>0.6</v>
      </c>
    </row>
    <row r="11" spans="2:10">
      <c r="B11" s="1">
        <v>0.7</v>
      </c>
      <c r="C11" s="1">
        <v>13.273899999999999</v>
      </c>
      <c r="D11" s="1">
        <v>16.271699999999999</v>
      </c>
      <c r="E11" s="1">
        <v>14.5907</v>
      </c>
      <c r="G11" s="1">
        <v>0.7</v>
      </c>
    </row>
    <row r="12" spans="2:10">
      <c r="B12" s="1">
        <v>0.8</v>
      </c>
      <c r="C12" s="1">
        <v>12.7865</v>
      </c>
      <c r="D12" s="1">
        <v>16.561</v>
      </c>
      <c r="E12" s="1">
        <v>14.424799999999999</v>
      </c>
      <c r="G12" s="1">
        <v>0.8</v>
      </c>
    </row>
    <row r="13" spans="2:10">
      <c r="B13" s="1">
        <v>0.9</v>
      </c>
      <c r="C13" s="1">
        <v>12.041700000000001</v>
      </c>
      <c r="D13" s="1">
        <v>16.670000000000002</v>
      </c>
      <c r="E13" s="1">
        <v>13.9693</v>
      </c>
      <c r="G13" s="1">
        <v>0.9</v>
      </c>
    </row>
    <row r="14" spans="2:10">
      <c r="B14" s="1">
        <v>1</v>
      </c>
      <c r="C14" s="1">
        <v>12.041700000000001</v>
      </c>
      <c r="D14" s="1">
        <v>16.670000000000002</v>
      </c>
      <c r="E14" s="1">
        <v>13.9693</v>
      </c>
      <c r="G14" s="1">
        <v>1</v>
      </c>
    </row>
    <row r="16" spans="2:10">
      <c r="D16" t="s">
        <v>11</v>
      </c>
    </row>
    <row r="18" spans="2:10">
      <c r="B18" s="1"/>
      <c r="C18" s="1" t="s">
        <v>5</v>
      </c>
      <c r="D18" s="1"/>
      <c r="E18" s="1" t="s">
        <v>12</v>
      </c>
      <c r="G18" s="1"/>
      <c r="H18" s="1" t="s">
        <v>5</v>
      </c>
      <c r="I18" s="1"/>
      <c r="J18" s="1" t="s">
        <v>13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12.8964</v>
      </c>
      <c r="D20">
        <v>14.6671</v>
      </c>
      <c r="E20">
        <v>13.552099999999999</v>
      </c>
      <c r="G20" s="1">
        <v>0</v>
      </c>
      <c r="H20">
        <v>15.6593</v>
      </c>
      <c r="I20">
        <v>13.738799999999999</v>
      </c>
      <c r="J20">
        <v>14.4466</v>
      </c>
    </row>
    <row r="21" spans="2:10">
      <c r="B21" s="1">
        <v>0.1</v>
      </c>
      <c r="C21">
        <v>12.8964</v>
      </c>
      <c r="D21">
        <v>14.6671</v>
      </c>
      <c r="E21">
        <v>13.552099999999999</v>
      </c>
      <c r="G21" s="1">
        <v>0.1</v>
      </c>
      <c r="H21">
        <v>15.6593</v>
      </c>
      <c r="I21">
        <v>13.738799999999999</v>
      </c>
      <c r="J21">
        <v>14.4466</v>
      </c>
    </row>
    <row r="22" spans="2:10">
      <c r="B22" s="1">
        <v>0.2</v>
      </c>
      <c r="C22">
        <v>12.8964</v>
      </c>
      <c r="D22">
        <v>14.6671</v>
      </c>
      <c r="E22">
        <v>13.552099999999999</v>
      </c>
      <c r="G22" s="1">
        <v>0.2</v>
      </c>
      <c r="H22">
        <v>14.551</v>
      </c>
      <c r="I22">
        <v>13.6014</v>
      </c>
      <c r="J22">
        <v>13.956</v>
      </c>
    </row>
    <row r="23" spans="2:10">
      <c r="B23" s="2">
        <v>0.3</v>
      </c>
      <c r="C23">
        <v>12.8964</v>
      </c>
      <c r="D23">
        <v>14.6671</v>
      </c>
      <c r="E23">
        <v>13.552099999999999</v>
      </c>
      <c r="G23" s="1">
        <v>0.3</v>
      </c>
      <c r="H23">
        <v>14.551</v>
      </c>
      <c r="I23">
        <v>13.6014</v>
      </c>
      <c r="J23">
        <v>13.956</v>
      </c>
    </row>
    <row r="24" spans="2:10">
      <c r="B24" s="1">
        <v>0.4</v>
      </c>
      <c r="C24">
        <v>12.8964</v>
      </c>
      <c r="D24">
        <v>14.6671</v>
      </c>
      <c r="E24">
        <v>13.552099999999999</v>
      </c>
      <c r="G24" s="2">
        <v>0.4</v>
      </c>
      <c r="H24">
        <v>14.846</v>
      </c>
      <c r="I24">
        <v>16.0382</v>
      </c>
      <c r="J24">
        <v>15.556900000000001</v>
      </c>
    </row>
    <row r="25" spans="2:10">
      <c r="B25" s="1">
        <v>0.5</v>
      </c>
      <c r="C25">
        <v>12.895</v>
      </c>
      <c r="D25">
        <v>14.669600000000001</v>
      </c>
      <c r="E25">
        <v>13.552099999999999</v>
      </c>
      <c r="G25" s="2">
        <v>0.5</v>
      </c>
      <c r="H25">
        <v>13.908799999999999</v>
      </c>
      <c r="I25">
        <v>15.910399999999999</v>
      </c>
      <c r="J25">
        <v>15.0898</v>
      </c>
    </row>
    <row r="26" spans="2:10">
      <c r="B26" s="1">
        <v>0.6</v>
      </c>
      <c r="C26">
        <v>12.4504</v>
      </c>
      <c r="D26">
        <v>15.8827</v>
      </c>
      <c r="E26">
        <v>13.7072</v>
      </c>
      <c r="G26" s="2">
        <v>0.6</v>
      </c>
      <c r="H26">
        <v>13.867000000000001</v>
      </c>
      <c r="I26">
        <v>16.186499999999999</v>
      </c>
      <c r="J26">
        <v>15.2356</v>
      </c>
    </row>
    <row r="27" spans="2:10">
      <c r="B27" s="1">
        <v>0.7</v>
      </c>
      <c r="C27">
        <v>13.992599999999999</v>
      </c>
      <c r="D27">
        <v>16.202300000000001</v>
      </c>
      <c r="E27">
        <v>14.8078</v>
      </c>
      <c r="G27" s="2">
        <v>0.7</v>
      </c>
      <c r="H27">
        <v>14.5069</v>
      </c>
      <c r="I27">
        <v>16.305800000000001</v>
      </c>
      <c r="J27">
        <v>15.5672</v>
      </c>
    </row>
    <row r="28" spans="2:10">
      <c r="B28" s="1">
        <v>0.8</v>
      </c>
      <c r="C28">
        <v>14.0725</v>
      </c>
      <c r="D28">
        <v>16.2041</v>
      </c>
      <c r="E28">
        <v>14.8698</v>
      </c>
      <c r="G28" s="2">
        <v>0.8</v>
      </c>
      <c r="H28">
        <v>9.7417999999999996</v>
      </c>
      <c r="I28">
        <v>16.6143</v>
      </c>
      <c r="J28">
        <v>13.2927</v>
      </c>
    </row>
    <row r="29" spans="2:10">
      <c r="B29" s="1">
        <v>0.9</v>
      </c>
      <c r="C29">
        <v>11.769600000000001</v>
      </c>
      <c r="D29">
        <v>16.554300000000001</v>
      </c>
      <c r="E29">
        <v>13.4117</v>
      </c>
      <c r="G29" s="2">
        <v>0.9</v>
      </c>
      <c r="H29">
        <v>9.7417999999999996</v>
      </c>
      <c r="I29">
        <v>16.6143</v>
      </c>
      <c r="J29">
        <v>13.2927</v>
      </c>
    </row>
    <row r="30" spans="2:10">
      <c r="B30" s="1">
        <v>1</v>
      </c>
      <c r="C30">
        <v>11.769600000000001</v>
      </c>
      <c r="D30">
        <v>16.554300000000001</v>
      </c>
      <c r="E30">
        <v>13.4117</v>
      </c>
      <c r="G30" s="1">
        <v>1</v>
      </c>
      <c r="H30">
        <v>9.7417999999999996</v>
      </c>
      <c r="I30">
        <v>16.6143</v>
      </c>
      <c r="J30">
        <v>13.2927</v>
      </c>
    </row>
    <row r="32" spans="2:10">
      <c r="D32" t="s">
        <v>15</v>
      </c>
      <c r="I32" t="s">
        <v>14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C797-6E9F-E649-AA7D-4C69AB23C0FA}">
  <dimension ref="B2:J32"/>
  <sheetViews>
    <sheetView workbookViewId="0">
      <selection activeCell="C4" sqref="C4:E14"/>
    </sheetView>
  </sheetViews>
  <sheetFormatPr baseColWidth="10" defaultRowHeight="20"/>
  <sheetData>
    <row r="2" spans="2:10">
      <c r="B2" s="1"/>
      <c r="C2" s="1" t="s">
        <v>5</v>
      </c>
      <c r="D2" s="1"/>
      <c r="E2" s="1" t="s">
        <v>7</v>
      </c>
      <c r="G2" s="1"/>
      <c r="H2" s="1" t="s">
        <v>5</v>
      </c>
      <c r="I2" s="1"/>
      <c r="J2" s="1" t="s">
        <v>9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v>11.9406</v>
      </c>
      <c r="D4" s="1">
        <v>11.9671</v>
      </c>
      <c r="E4" s="1">
        <v>11.953099999999999</v>
      </c>
      <c r="G4" s="1">
        <v>0</v>
      </c>
    </row>
    <row r="5" spans="2:10">
      <c r="B5" s="1">
        <v>0.1</v>
      </c>
      <c r="C5" s="1">
        <v>11.9406</v>
      </c>
      <c r="D5" s="1">
        <v>11.9671</v>
      </c>
      <c r="E5" s="1">
        <v>11.953099999999999</v>
      </c>
      <c r="G5" s="1">
        <v>0.1</v>
      </c>
    </row>
    <row r="6" spans="2:10">
      <c r="B6" s="1">
        <v>0.2</v>
      </c>
      <c r="C6" s="1">
        <v>11.9406</v>
      </c>
      <c r="D6" s="1">
        <v>11.9671</v>
      </c>
      <c r="E6" s="1">
        <v>11.953099999999999</v>
      </c>
      <c r="G6" s="1">
        <v>0.2</v>
      </c>
    </row>
    <row r="7" spans="2:10">
      <c r="B7" s="1">
        <v>0.3</v>
      </c>
      <c r="C7" s="1">
        <v>11.9406</v>
      </c>
      <c r="D7" s="1">
        <v>11.9671</v>
      </c>
      <c r="E7" s="1">
        <v>11.953099999999999</v>
      </c>
      <c r="G7" s="1">
        <v>0.3</v>
      </c>
    </row>
    <row r="8" spans="2:10">
      <c r="B8" s="1">
        <v>0.4</v>
      </c>
      <c r="C8" s="1">
        <v>12.065899999999999</v>
      </c>
      <c r="D8" s="1">
        <v>12.6706</v>
      </c>
      <c r="E8" s="1">
        <v>12.3475</v>
      </c>
      <c r="G8" s="1">
        <v>0.4</v>
      </c>
    </row>
    <row r="9" spans="2:10">
      <c r="B9" s="1">
        <v>0.5</v>
      </c>
      <c r="C9" s="1">
        <v>12.960800000000001</v>
      </c>
      <c r="D9" s="1">
        <v>14.2486</v>
      </c>
      <c r="E9" s="1">
        <v>13.562099999999999</v>
      </c>
      <c r="G9" s="1">
        <v>0.5</v>
      </c>
    </row>
    <row r="10" spans="2:10">
      <c r="B10" s="1">
        <v>0.6</v>
      </c>
      <c r="C10" s="1">
        <v>11.566000000000001</v>
      </c>
      <c r="D10" s="1">
        <v>13.532299999999999</v>
      </c>
      <c r="E10" s="1">
        <v>12.465999999999999</v>
      </c>
      <c r="G10" s="1">
        <v>0.6</v>
      </c>
    </row>
    <row r="11" spans="2:10">
      <c r="B11" s="1">
        <v>0.7</v>
      </c>
      <c r="C11" s="1">
        <v>12.3569</v>
      </c>
      <c r="D11" s="1">
        <v>16.376200000000001</v>
      </c>
      <c r="E11" s="1">
        <v>14.0906</v>
      </c>
      <c r="G11" s="1">
        <v>0.7</v>
      </c>
    </row>
    <row r="12" spans="2:10">
      <c r="B12" s="1">
        <v>0.8</v>
      </c>
      <c r="C12" s="1">
        <v>10.1492</v>
      </c>
      <c r="D12" s="1">
        <v>16.6248</v>
      </c>
      <c r="E12" s="1">
        <v>12.7464</v>
      </c>
      <c r="G12" s="1">
        <v>0.8</v>
      </c>
    </row>
    <row r="13" spans="2:10">
      <c r="B13" s="1">
        <v>0.9</v>
      </c>
      <c r="C13" s="1">
        <v>10.1371</v>
      </c>
      <c r="D13" s="1">
        <v>16.669499999999999</v>
      </c>
      <c r="E13" s="1">
        <v>12.757</v>
      </c>
      <c r="G13" s="1">
        <v>0.9</v>
      </c>
    </row>
    <row r="14" spans="2:10">
      <c r="B14" s="1">
        <v>1</v>
      </c>
      <c r="C14" s="1">
        <v>10.134</v>
      </c>
      <c r="D14" s="1">
        <v>16.670000000000002</v>
      </c>
      <c r="E14" s="1">
        <v>12.755699999999999</v>
      </c>
      <c r="G14" s="1">
        <v>1</v>
      </c>
    </row>
    <row r="16" spans="2:10">
      <c r="D16" t="s">
        <v>11</v>
      </c>
    </row>
    <row r="18" spans="2:10">
      <c r="B18" s="1"/>
      <c r="C18" s="1" t="s">
        <v>5</v>
      </c>
      <c r="D18" s="1"/>
      <c r="E18" s="1" t="s">
        <v>12</v>
      </c>
      <c r="G18" s="1"/>
      <c r="H18" s="1" t="s">
        <v>5</v>
      </c>
      <c r="I18" s="1"/>
      <c r="J18" s="1" t="s">
        <v>13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>
        <v>11.6523</v>
      </c>
      <c r="D20">
        <v>9.9702999999999999</v>
      </c>
      <c r="E20">
        <v>11.0684</v>
      </c>
      <c r="G20" s="1">
        <v>0</v>
      </c>
      <c r="H20">
        <v>10.5588</v>
      </c>
      <c r="I20">
        <v>11.698600000000001</v>
      </c>
      <c r="J20">
        <v>11.2036</v>
      </c>
    </row>
    <row r="21" spans="2:10">
      <c r="B21" s="1">
        <v>0.1</v>
      </c>
      <c r="C21">
        <v>11.6523</v>
      </c>
      <c r="D21">
        <v>9.9702999999999999</v>
      </c>
      <c r="E21">
        <v>11.0684</v>
      </c>
      <c r="G21" s="1">
        <v>0.1</v>
      </c>
      <c r="H21">
        <v>10.5588</v>
      </c>
      <c r="I21">
        <v>11.698600000000001</v>
      </c>
      <c r="J21">
        <v>11.2036</v>
      </c>
    </row>
    <row r="22" spans="2:10">
      <c r="B22" s="1">
        <v>0.2</v>
      </c>
      <c r="C22">
        <v>11.6523</v>
      </c>
      <c r="D22">
        <v>9.9702999999999999</v>
      </c>
      <c r="E22">
        <v>11.0684</v>
      </c>
      <c r="G22" s="1">
        <v>0.2</v>
      </c>
      <c r="H22">
        <v>10.5588</v>
      </c>
      <c r="I22">
        <v>11.698600000000001</v>
      </c>
      <c r="J22">
        <v>11.2036</v>
      </c>
    </row>
    <row r="23" spans="2:10">
      <c r="B23" s="1">
        <v>0.3</v>
      </c>
      <c r="C23">
        <v>11.6523</v>
      </c>
      <c r="D23">
        <v>9.9702999999999999</v>
      </c>
      <c r="E23">
        <v>11.0684</v>
      </c>
      <c r="G23" s="1">
        <v>0.3</v>
      </c>
      <c r="H23">
        <v>10.5252</v>
      </c>
      <c r="I23">
        <v>11.9343</v>
      </c>
      <c r="J23">
        <v>11.3224</v>
      </c>
    </row>
    <row r="24" spans="2:10">
      <c r="B24" s="1">
        <v>0.4</v>
      </c>
      <c r="C24">
        <v>12.017200000000001</v>
      </c>
      <c r="D24">
        <v>13.5214</v>
      </c>
      <c r="E24">
        <v>12.526400000000001</v>
      </c>
      <c r="G24" s="1">
        <v>0.4</v>
      </c>
      <c r="H24">
        <v>10.068099999999999</v>
      </c>
      <c r="I24">
        <v>12.641400000000001</v>
      </c>
      <c r="J24">
        <v>11.4975</v>
      </c>
    </row>
    <row r="25" spans="2:10">
      <c r="B25" s="1">
        <v>0.5</v>
      </c>
      <c r="C25">
        <v>12.1576</v>
      </c>
      <c r="D25">
        <v>13.459099999999999</v>
      </c>
      <c r="E25">
        <v>12.605499999999999</v>
      </c>
      <c r="G25" s="1">
        <v>0.5</v>
      </c>
      <c r="H25">
        <v>9.8048999999999999</v>
      </c>
      <c r="I25">
        <v>15.230700000000001</v>
      </c>
      <c r="J25">
        <v>12.679600000000001</v>
      </c>
    </row>
    <row r="26" spans="2:10">
      <c r="B26" s="1">
        <v>0.6</v>
      </c>
      <c r="C26">
        <v>12.266299999999999</v>
      </c>
      <c r="D26">
        <v>12.750500000000001</v>
      </c>
      <c r="E26">
        <v>12.4338</v>
      </c>
      <c r="G26" s="1">
        <v>0.6</v>
      </c>
      <c r="H26">
        <v>10.451599999999999</v>
      </c>
      <c r="I26">
        <v>15.8613</v>
      </c>
      <c r="J26">
        <v>13.3696</v>
      </c>
    </row>
    <row r="27" spans="2:10">
      <c r="B27" s="1">
        <v>0.7</v>
      </c>
      <c r="C27">
        <v>11.136200000000001</v>
      </c>
      <c r="D27">
        <v>13.6045</v>
      </c>
      <c r="E27">
        <v>11.9747</v>
      </c>
      <c r="G27" s="1">
        <v>0.7</v>
      </c>
      <c r="H27">
        <v>11.1294</v>
      </c>
      <c r="I27">
        <v>16.197700000000001</v>
      </c>
      <c r="J27">
        <v>13.874599999999999</v>
      </c>
    </row>
    <row r="28" spans="2:10">
      <c r="B28" s="1">
        <v>0.8</v>
      </c>
      <c r="C28">
        <v>11.9773</v>
      </c>
      <c r="D28">
        <v>15.592700000000001</v>
      </c>
      <c r="E28">
        <v>13.114100000000001</v>
      </c>
      <c r="G28" s="1">
        <v>0.8</v>
      </c>
      <c r="H28">
        <v>9.1100999999999992</v>
      </c>
      <c r="I28">
        <v>16.670000000000002</v>
      </c>
      <c r="J28">
        <v>12.947900000000001</v>
      </c>
    </row>
    <row r="29" spans="2:10">
      <c r="B29" s="1">
        <v>0.9</v>
      </c>
      <c r="C29">
        <v>12.2766</v>
      </c>
      <c r="D29">
        <v>16.670000000000002</v>
      </c>
      <c r="E29">
        <v>13.607200000000001</v>
      </c>
      <c r="G29" s="1">
        <v>0.9</v>
      </c>
      <c r="H29">
        <v>9.1100999999999992</v>
      </c>
      <c r="I29">
        <v>16.670000000000002</v>
      </c>
      <c r="J29">
        <v>12.947900000000001</v>
      </c>
    </row>
    <row r="30" spans="2:10">
      <c r="B30" s="1">
        <v>1</v>
      </c>
      <c r="C30">
        <v>12.2766</v>
      </c>
      <c r="D30">
        <v>16.670000000000002</v>
      </c>
      <c r="E30">
        <v>13.607200000000001</v>
      </c>
      <c r="G30" s="1">
        <v>1</v>
      </c>
      <c r="H30">
        <v>9.1100999999999992</v>
      </c>
      <c r="I30">
        <v>16.670000000000002</v>
      </c>
      <c r="J30">
        <v>12.947900000000001</v>
      </c>
    </row>
    <row r="32" spans="2:10">
      <c r="D32" t="s">
        <v>14</v>
      </c>
      <c r="I32" t="s">
        <v>14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97EC-6F3F-AB4A-9F98-30BA8077CC4C}">
  <dimension ref="B2:J30"/>
  <sheetViews>
    <sheetView workbookViewId="0">
      <selection activeCell="E9" sqref="E9"/>
    </sheetView>
  </sheetViews>
  <sheetFormatPr baseColWidth="10" defaultRowHeight="20"/>
  <sheetData>
    <row r="2" spans="2:10">
      <c r="B2" s="1"/>
      <c r="C2" s="1" t="s">
        <v>4</v>
      </c>
      <c r="D2" s="1"/>
      <c r="E2" s="1" t="s">
        <v>7</v>
      </c>
      <c r="G2" s="1"/>
      <c r="H2" s="1" t="s">
        <v>4</v>
      </c>
      <c r="I2" s="1"/>
      <c r="J2" s="1" t="s">
        <v>8</v>
      </c>
    </row>
    <row r="3" spans="2:10">
      <c r="B3" s="1" t="s">
        <v>0</v>
      </c>
      <c r="C3" s="1" t="s">
        <v>1</v>
      </c>
      <c r="D3" s="1" t="s">
        <v>2</v>
      </c>
      <c r="E3" s="1" t="s">
        <v>3</v>
      </c>
      <c r="G3" s="1" t="s">
        <v>0</v>
      </c>
      <c r="H3" s="1" t="s">
        <v>1</v>
      </c>
      <c r="I3" s="1" t="s">
        <v>2</v>
      </c>
      <c r="J3" s="1" t="s">
        <v>3</v>
      </c>
    </row>
    <row r="4" spans="2:10">
      <c r="B4" s="1">
        <v>0</v>
      </c>
      <c r="C4" s="1">
        <f>ROUND(AVERAGE(seed1!C4,seed2!C4,seed3!C4,seed4!C4,seed5!C4,seed7!C4,seed8!C4,seed9!C4,seed10!C4),4)</f>
        <v>14.8078</v>
      </c>
      <c r="D4" s="1">
        <f>ROUND(AVERAGE(seed1!D4,seed2!D4,seed3!D4,seed4!D4,seed5!D4,seed7!D4,seed8!D4,seed9!D4,seed10!D4),4)</f>
        <v>13.871</v>
      </c>
      <c r="E4" s="1">
        <f>ROUND(AVERAGE(seed1!E4,seed2!E4,seed3!E4,seed4!E4,seed5!E4,seed7!E4,seed8!E4,seed9!E4,seed10!E4),4)</f>
        <v>14.348599999999999</v>
      </c>
      <c r="G4" s="1">
        <v>0</v>
      </c>
      <c r="H4" s="1"/>
      <c r="I4" s="1"/>
      <c r="J4" s="1"/>
    </row>
    <row r="5" spans="2:10">
      <c r="B5" s="1">
        <v>0.1</v>
      </c>
      <c r="C5" s="1">
        <f>ROUND(AVERAGE(seed1!C5,seed2!C5,seed3!C5,seed4!C5,seed5!C5,seed7!C5,seed8!C5,seed9!C5,seed10!C5),4)</f>
        <v>14.8078</v>
      </c>
      <c r="D5" s="1">
        <f>ROUND(AVERAGE(seed1!D5,seed2!D5,seed3!D5,seed4!D5,seed5!D5,seed7!D5,seed8!D5,seed9!D5,seed10!D5),4)</f>
        <v>13.871</v>
      </c>
      <c r="E5" s="1">
        <f>ROUND(AVERAGE(seed1!E5,seed2!E5,seed3!E5,seed4!E5,seed5!E5,seed7!E5,seed8!E5,seed9!E5,seed10!E5),4)</f>
        <v>14.348599999999999</v>
      </c>
      <c r="G5" s="1">
        <v>0.1</v>
      </c>
      <c r="H5" s="1"/>
      <c r="I5" s="1"/>
      <c r="J5" s="1"/>
    </row>
    <row r="6" spans="2:10">
      <c r="B6" s="1">
        <v>0.2</v>
      </c>
      <c r="C6" s="1">
        <f>ROUND(AVERAGE(seed1!C6,seed2!C6,seed3!C6,seed4!C6,seed5!C6,seed7!C6,seed8!C6,seed9!C6,seed10!C6),4)</f>
        <v>14.6629</v>
      </c>
      <c r="D6" s="1">
        <f>ROUND(AVERAGE(seed1!D6,seed2!D6,seed3!D6,seed4!D6,seed5!D6,seed7!D6,seed8!D6,seed9!D6,seed10!D6),4)</f>
        <v>14.099600000000001</v>
      </c>
      <c r="E6" s="1">
        <f>ROUND(AVERAGE(seed1!E6,seed2!E6,seed3!E6,seed4!E6,seed5!E6,seed7!E6,seed8!E6,seed9!E6,seed10!E6),4)</f>
        <v>14.390499999999999</v>
      </c>
      <c r="G6" s="1">
        <v>0.2</v>
      </c>
      <c r="H6" s="1"/>
      <c r="I6" s="1"/>
      <c r="J6" s="1"/>
    </row>
    <row r="7" spans="2:10">
      <c r="B7" s="1">
        <v>0.3</v>
      </c>
      <c r="C7" s="1">
        <f>ROUND(AVERAGE(seed1!C7,seed2!C7,seed3!C7,seed4!C7,seed5!C7,seed7!C7,seed8!C7,seed9!C7,seed10!C7),4)</f>
        <v>14.6335</v>
      </c>
      <c r="D7" s="1">
        <f>ROUND(AVERAGE(seed1!D7,seed2!D7,seed3!D7,seed4!D7,seed5!D7,seed7!D7,seed8!D7,seed9!D7,seed10!D7),4)</f>
        <v>14.264799999999999</v>
      </c>
      <c r="E7" s="1">
        <f>ROUND(AVERAGE(seed1!E7,seed2!E7,seed3!E7,seed4!E7,seed5!E7,seed7!E7,seed8!E7,seed9!E7,seed10!E7),4)</f>
        <v>14.456099999999999</v>
      </c>
      <c r="G7" s="1">
        <v>0.3</v>
      </c>
      <c r="H7" s="1"/>
      <c r="I7" s="1"/>
      <c r="J7" s="1"/>
    </row>
    <row r="8" spans="2:10">
      <c r="B8" s="1">
        <v>0.4</v>
      </c>
      <c r="C8" s="1">
        <f>ROUND(AVERAGE(seed1!C8,seed2!C8,seed3!C8,seed4!C8,seed5!C8,seed7!C8,seed8!C8,seed9!C8,seed10!C8),4)</f>
        <v>14.577400000000001</v>
      </c>
      <c r="D8" s="1">
        <f>ROUND(AVERAGE(seed1!D8,seed2!D8,seed3!D8,seed4!D8,seed5!D8,seed7!D8,seed8!D8,seed9!D8,seed10!D8),4)</f>
        <v>14.765599999999999</v>
      </c>
      <c r="E8" s="1">
        <f>ROUND(AVERAGE(seed1!E8,seed2!E8,seed3!E8,seed4!E8,seed5!E8,seed7!E8,seed8!E8,seed9!E8,seed10!E8),4)</f>
        <v>14.664300000000001</v>
      </c>
      <c r="G8" s="1">
        <v>0.4</v>
      </c>
      <c r="H8" s="1"/>
      <c r="I8" s="1"/>
      <c r="J8" s="1"/>
    </row>
    <row r="9" spans="2:10">
      <c r="B9" s="1">
        <v>0.5</v>
      </c>
      <c r="C9" s="1">
        <f>ROUND(AVERAGE(seed1!C9,seed2!C9,seed3!C9,seed4!C9,seed5!C9,seed7!C9,seed8!C9,seed9!C9,seed10!C9),4)</f>
        <v>14.6464</v>
      </c>
      <c r="D9" s="1">
        <f>ROUND(AVERAGE(seed1!D9,seed2!D9,seed3!D9,seed4!D9,seed5!D9,seed7!D9,seed8!D9,seed9!D9,seed10!D9),4)</f>
        <v>15.189299999999999</v>
      </c>
      <c r="E9" s="1">
        <f>ROUND(AVERAGE(seed1!E9,seed2!E9,seed3!E9,seed4!E9,seed5!E9,seed7!E9,seed8!E9,seed9!E9,seed10!E9),4)</f>
        <v>14.9031</v>
      </c>
      <c r="G9" s="1">
        <v>0.5</v>
      </c>
      <c r="H9" s="1"/>
      <c r="I9" s="1"/>
      <c r="J9" s="1"/>
    </row>
    <row r="10" spans="2:10">
      <c r="B10" s="1">
        <v>0.6</v>
      </c>
      <c r="C10" s="1">
        <f>ROUND(AVERAGE(seed1!C10,seed2!C10,seed3!C10,seed4!C10,seed5!C10,seed7!C10,seed8!C10,seed9!C10,seed10!C10),4)</f>
        <v>14.334</v>
      </c>
      <c r="D10" s="1">
        <f>ROUND(AVERAGE(seed1!D10,seed2!D10,seed3!D10,seed4!D10,seed5!D10,seed7!D10,seed8!D10,seed9!D10,seed10!D10),4)</f>
        <v>15.631500000000001</v>
      </c>
      <c r="E10" s="1">
        <f>ROUND(AVERAGE(seed1!E10,seed2!E10,seed3!E10,seed4!E10,seed5!E10,seed7!E10,seed8!E10,seed9!E10,seed10!E10),4)</f>
        <v>14.9489</v>
      </c>
      <c r="G10" s="1">
        <v>0.6</v>
      </c>
      <c r="H10" s="1"/>
      <c r="I10" s="1"/>
      <c r="J10" s="1"/>
    </row>
    <row r="11" spans="2:10">
      <c r="B11" s="1">
        <v>0.7</v>
      </c>
      <c r="C11" s="1">
        <f>ROUND(AVERAGE(seed1!C11,seed2!C11,seed3!C11,seed4!C11,seed5!C11,seed7!C11,seed8!C11,seed9!C11,seed10!C11),4)</f>
        <v>13.3584</v>
      </c>
      <c r="D11" s="1">
        <f>ROUND(AVERAGE(seed1!D11,seed2!D11,seed3!D11,seed4!D11,seed5!D11,seed7!D11,seed8!D11,seed9!D11,seed10!D11),4)</f>
        <v>16.353000000000002</v>
      </c>
      <c r="E11" s="1">
        <f>ROUND(AVERAGE(seed1!E11,seed2!E11,seed3!E11,seed4!E11,seed5!E11,seed7!E11,seed8!E11,seed9!E11,seed10!E11),4)</f>
        <v>14.7089</v>
      </c>
      <c r="G11" s="1">
        <v>0.7</v>
      </c>
      <c r="H11" s="1"/>
      <c r="I11" s="1"/>
      <c r="J11" s="1"/>
    </row>
    <row r="12" spans="2:10">
      <c r="B12" s="1">
        <v>0.8</v>
      </c>
      <c r="C12" s="1">
        <f>ROUND(AVERAGE(seed1!C12,seed2!C12,seed3!C12,seed4!C12,seed5!C12,seed7!C12,seed8!C12,seed9!C12,seed10!C12),4)</f>
        <v>12.3973</v>
      </c>
      <c r="D12" s="1">
        <f>ROUND(AVERAGE(seed1!D12,seed2!D12,seed3!D12,seed4!D12,seed5!D12,seed7!D12,seed8!D12,seed9!D12,seed10!D12),4)</f>
        <v>16.607299999999999</v>
      </c>
      <c r="E12" s="1">
        <f>ROUND(AVERAGE(seed1!E12,seed2!E12,seed3!E12,seed4!E12,seed5!E12,seed7!E12,seed8!E12,seed9!E12,seed10!E12),4)</f>
        <v>14.245200000000001</v>
      </c>
      <c r="G12" s="1">
        <v>0.8</v>
      </c>
      <c r="H12" s="1"/>
      <c r="I12" s="1"/>
      <c r="J12" s="1"/>
    </row>
    <row r="13" spans="2:10">
      <c r="B13" s="1">
        <v>0.9</v>
      </c>
      <c r="C13" s="1">
        <f>ROUND(AVERAGE(seed1!C13,seed2!C13,seed3!C13,seed4!C13,seed5!C13,seed7!C13,seed8!C13,seed9!C13,seed10!C13),4)</f>
        <v>11.8268</v>
      </c>
      <c r="D13" s="1">
        <f>ROUND(AVERAGE(seed1!D13,seed2!D13,seed3!D13,seed4!D13,seed5!D13,seed7!D13,seed8!D13,seed9!D13,seed10!D13),4)</f>
        <v>16.669499999999999</v>
      </c>
      <c r="E13" s="1">
        <f>ROUND(AVERAGE(seed1!E13,seed2!E13,seed3!E13,seed4!E13,seed5!E13,seed7!E13,seed8!E13,seed9!E13,seed10!E13),4)</f>
        <v>13.9316</v>
      </c>
      <c r="G13" s="1">
        <v>0.9</v>
      </c>
      <c r="H13" s="1"/>
      <c r="I13" s="1"/>
      <c r="J13" s="1"/>
    </row>
    <row r="14" spans="2:10">
      <c r="B14" s="1">
        <v>1</v>
      </c>
      <c r="C14" s="1">
        <f>ROUND(AVERAGE(seed1!C14,seed2!C14,seed3!C14,seed4!C14,seed5!C14,seed7!C14,seed8!C14,seed9!C14,seed10!C14),4)</f>
        <v>11.8317</v>
      </c>
      <c r="D14" s="1">
        <f>ROUND(AVERAGE(seed1!D14,seed2!D14,seed3!D14,seed4!D14,seed5!D14,seed7!D14,seed8!D14,seed9!D14,seed10!D14),4)</f>
        <v>16.670000000000002</v>
      </c>
      <c r="E14" s="1">
        <f>ROUND(AVERAGE(seed1!E14,seed2!E14,seed3!E14,seed4!E14,seed5!E14,seed7!E14,seed8!E14,seed9!E14,seed10!E14),4)</f>
        <v>13.934699999999999</v>
      </c>
      <c r="G14" s="1">
        <v>1</v>
      </c>
      <c r="H14" s="1"/>
      <c r="I14" s="1"/>
      <c r="J14" s="1"/>
    </row>
    <row r="18" spans="2:10">
      <c r="B18" s="1"/>
      <c r="C18" s="1" t="s">
        <v>5</v>
      </c>
      <c r="D18" s="1"/>
      <c r="E18" s="1" t="s">
        <v>12</v>
      </c>
      <c r="G18" s="1"/>
      <c r="H18" s="1" t="s">
        <v>5</v>
      </c>
      <c r="I18" s="1"/>
      <c r="J18" s="1" t="s">
        <v>13</v>
      </c>
    </row>
    <row r="19" spans="2:10">
      <c r="B19" s="1" t="s">
        <v>0</v>
      </c>
      <c r="C19" s="1" t="s">
        <v>1</v>
      </c>
      <c r="D19" s="1" t="s">
        <v>2</v>
      </c>
      <c r="E19" s="1" t="s">
        <v>3</v>
      </c>
      <c r="G19" s="1" t="s">
        <v>0</v>
      </c>
      <c r="H19" s="1" t="s">
        <v>1</v>
      </c>
      <c r="I19" s="1" t="s">
        <v>2</v>
      </c>
      <c r="J19" s="1" t="s">
        <v>3</v>
      </c>
    </row>
    <row r="20" spans="2:10">
      <c r="B20" s="1">
        <v>0</v>
      </c>
      <c r="C20" s="1">
        <f>ROUND(AVERAGE(seed1!C20,seed2!C20,seed3!C20,seed4!C20,seed5!C20,seed7!C20,seed8!C20,seed9!C20,seed10!C20),4)</f>
        <v>13.704800000000001</v>
      </c>
      <c r="D20" s="1">
        <f>ROUND(AVERAGE(seed1!D20,seed2!D20,seed3!D20,seed4!D20,seed5!D20,seed7!D20,seed8!D20,seed9!D20,seed10!D20),4)</f>
        <v>13.673400000000001</v>
      </c>
      <c r="E20" s="1">
        <f>ROUND(AVERAGE(seed1!E20,seed2!E20,seed3!E20,seed4!E20,seed5!E20,seed7!E20,seed8!E20,seed9!E20,seed10!E20),4)</f>
        <v>13.7057</v>
      </c>
      <c r="G20" s="1">
        <v>0</v>
      </c>
      <c r="H20" s="1">
        <f>ROUND(AVERAGE(seed1!H20,seed2!H20,seed3!H20,seed4!H20,seed5!H20,seed7!H20,seed8!H20,seed9!H20,seed10!H20),4)</f>
        <v>14.555099999999999</v>
      </c>
      <c r="I20" s="1">
        <f>ROUND(AVERAGE(seed1!I20,seed2!I20,seed3!I20,seed4!I20,seed5!I20,seed7!I20,seed8!I20,seed9!I20,seed10!I20),4)</f>
        <v>14.0725</v>
      </c>
      <c r="J20" s="1">
        <f>ROUND(AVERAGE(seed1!J20,seed2!J20,seed3!J20,seed4!J20,seed5!J20,seed7!J20,seed8!J20,seed9!J20,seed10!J20),4)</f>
        <v>14.2597</v>
      </c>
    </row>
    <row r="21" spans="2:10">
      <c r="B21" s="1">
        <v>0.1</v>
      </c>
      <c r="C21" s="1">
        <f>ROUND(AVERAGE(seed1!C21,seed2!C21,seed3!C21,seed4!C21,seed5!C21,seed7!C21,seed8!C21,seed9!C21,seed10!C21),4)</f>
        <v>13.704800000000001</v>
      </c>
      <c r="D21" s="1">
        <f>ROUND(AVERAGE(seed1!D21,seed2!D21,seed3!D21,seed4!D21,seed5!D21,seed7!D21,seed8!D21,seed9!D21,seed10!D21),4)</f>
        <v>13.673400000000001</v>
      </c>
      <c r="E21" s="1">
        <f>ROUND(AVERAGE(seed1!E21,seed2!E21,seed3!E21,seed4!E21,seed5!E21,seed7!E21,seed8!E21,seed9!E21,seed10!E21),4)</f>
        <v>13.7057</v>
      </c>
      <c r="G21" s="1">
        <v>0.1</v>
      </c>
      <c r="H21" s="1">
        <f>ROUND(AVERAGE(seed1!H21,seed2!H21,seed3!H21,seed4!H21,seed5!H21,seed7!H21,seed8!H21,seed9!H21,seed10!H21),4)</f>
        <v>14.4336</v>
      </c>
      <c r="I21" s="1">
        <f>ROUND(AVERAGE(seed1!I21,seed2!I21,seed3!I21,seed4!I21,seed5!I21,seed7!I21,seed8!I21,seed9!I21,seed10!I21),4)</f>
        <v>13.988300000000001</v>
      </c>
      <c r="J21" s="1">
        <f>ROUND(AVERAGE(seed1!J21,seed2!J21,seed3!J21,seed4!J21,seed5!J21,seed7!J21,seed8!J21,seed9!J21,seed10!J21),4)</f>
        <v>14.1472</v>
      </c>
    </row>
    <row r="22" spans="2:10">
      <c r="B22" s="1">
        <v>0.2</v>
      </c>
      <c r="C22" s="1">
        <f>ROUND(AVERAGE(seed1!C22,seed2!C22,seed3!C22,seed4!C22,seed5!C22,seed7!C22,seed8!C22,seed9!C22,seed10!C22),4)</f>
        <v>13.585800000000001</v>
      </c>
      <c r="D22" s="1">
        <f>ROUND(AVERAGE(seed1!D22,seed2!D22,seed3!D22,seed4!D22,seed5!D22,seed7!D22,seed8!D22,seed9!D22,seed10!D22),4)</f>
        <v>13.5289</v>
      </c>
      <c r="E22" s="1">
        <f>ROUND(AVERAGE(seed1!E22,seed2!E22,seed3!E22,seed4!E22,seed5!E22,seed7!E22,seed8!E22,seed9!E22,seed10!E22),4)</f>
        <v>13.575699999999999</v>
      </c>
      <c r="G22" s="1">
        <v>0.2</v>
      </c>
      <c r="H22" s="1">
        <f>ROUND(AVERAGE(seed1!H22,seed2!H22,seed3!H22,seed4!H22,seed5!H22,seed7!H22,seed8!H22,seed9!H22,seed10!H22),4)</f>
        <v>14.438599999999999</v>
      </c>
      <c r="I22" s="1">
        <f>ROUND(AVERAGE(seed1!I22,seed2!I22,seed3!I22,seed4!I22,seed5!I22,seed7!I22,seed8!I22,seed9!I22,seed10!I22),4)</f>
        <v>14.192399999999999</v>
      </c>
      <c r="J22" s="1">
        <f>ROUND(AVERAGE(seed1!J22,seed2!J22,seed3!J22,seed4!J22,seed5!J22,seed7!J22,seed8!J22,seed9!J22,seed10!J22),4)</f>
        <v>14.2879</v>
      </c>
    </row>
    <row r="23" spans="2:10">
      <c r="B23" s="1">
        <v>0.3</v>
      </c>
      <c r="C23" s="1">
        <f>ROUND(AVERAGE(seed1!C23,seed2!C23,seed3!C23,seed4!C23,seed5!C23,seed7!C23,seed8!C23,seed9!C23,seed10!C23),4)</f>
        <v>13.6638</v>
      </c>
      <c r="D23" s="1">
        <f>ROUND(AVERAGE(seed1!D23,seed2!D23,seed3!D23,seed4!D23,seed5!D23,seed7!D23,seed8!D23,seed9!D23,seed10!D23),4)</f>
        <v>13.857699999999999</v>
      </c>
      <c r="E23" s="1">
        <f>ROUND(AVERAGE(seed1!E23,seed2!E23,seed3!E23,seed4!E23,seed5!E23,seed7!E23,seed8!E23,seed9!E23,seed10!E23),4)</f>
        <v>13.7432</v>
      </c>
      <c r="G23" s="1">
        <v>0.3</v>
      </c>
      <c r="H23" s="1">
        <f>ROUND(AVERAGE(seed1!H23,seed2!H23,seed3!H23,seed4!H23,seed5!H23,seed7!H23,seed8!H23,seed9!H23,seed10!H23),4)</f>
        <v>13.8447</v>
      </c>
      <c r="I23" s="1">
        <f>ROUND(AVERAGE(seed1!I23,seed2!I23,seed3!I23,seed4!I23,seed5!I23,seed7!I23,seed8!I23,seed9!I23,seed10!I23),4)</f>
        <v>14.7242</v>
      </c>
      <c r="J23" s="1">
        <f>ROUND(AVERAGE(seed1!J23,seed2!J23,seed3!J23,seed4!J23,seed5!J23,seed7!J23,seed8!J23,seed9!J23,seed10!J23),4)</f>
        <v>14.373699999999999</v>
      </c>
    </row>
    <row r="24" spans="2:10">
      <c r="B24" s="1">
        <v>0.4</v>
      </c>
      <c r="C24" s="1">
        <f>ROUND(AVERAGE(seed1!C24,seed2!C24,seed3!C24,seed4!C24,seed5!C24,seed7!C24,seed8!C24,seed9!C24,seed10!C24),4)</f>
        <v>13.7074</v>
      </c>
      <c r="D24" s="1">
        <f>ROUND(AVERAGE(seed1!D24,seed2!D24,seed3!D24,seed4!D24,seed5!D24,seed7!D24,seed8!D24,seed9!D24,seed10!D24),4)</f>
        <v>14.3515</v>
      </c>
      <c r="E24" s="1">
        <f>ROUND(AVERAGE(seed1!E24,seed2!E24,seed3!E24,seed4!E24,seed5!E24,seed7!E24,seed8!E24,seed9!E24,seed10!E24),4)</f>
        <v>13.9406</v>
      </c>
      <c r="G24" s="1">
        <v>0.4</v>
      </c>
      <c r="H24" s="1">
        <f>ROUND(AVERAGE(seed1!H24,seed2!H24,seed3!H24,seed4!H24,seed5!H24,seed7!H24,seed8!H24,seed9!H24,seed10!H24),4)</f>
        <v>13.7835</v>
      </c>
      <c r="I24" s="1">
        <f>ROUND(AVERAGE(seed1!I24,seed2!I24,seed3!I24,seed4!I24,seed5!I24,seed7!I24,seed8!I24,seed9!I24,seed10!I24),4)</f>
        <v>15.0939</v>
      </c>
      <c r="J24" s="1">
        <f>ROUND(AVERAGE(seed1!J24,seed2!J24,seed3!J24,seed4!J24,seed5!J24,seed7!J24,seed8!J24,seed9!J24,seed10!J24),4)</f>
        <v>14.564399999999999</v>
      </c>
    </row>
    <row r="25" spans="2:10">
      <c r="B25" s="1">
        <v>0.5</v>
      </c>
      <c r="C25" s="1">
        <f>ROUND(AVERAGE(seed1!C25,seed2!C25,seed3!C25,seed4!C25,seed5!C25,seed7!C25,seed8!C25,seed9!C25,seed10!C25),4)</f>
        <v>13.732200000000001</v>
      </c>
      <c r="D25" s="1">
        <f>ROUND(AVERAGE(seed1!D25,seed2!D25,seed3!D25,seed4!D25,seed5!D25,seed7!D25,seed8!D25,seed9!D25,seed10!D25),4)</f>
        <v>15.156000000000001</v>
      </c>
      <c r="E25" s="1">
        <f>ROUND(AVERAGE(seed1!E25,seed2!E25,seed3!E25,seed4!E25,seed5!E25,seed7!E25,seed8!E25,seed9!E25,seed10!E25),4)</f>
        <v>14.2384</v>
      </c>
      <c r="G25" s="1">
        <v>0.5</v>
      </c>
      <c r="H25" s="1">
        <f>ROUND(AVERAGE(seed1!H25,seed2!H25,seed3!H25,seed4!H25,seed5!H25,seed7!H25,seed8!H25,seed9!H25,seed10!H25),4)</f>
        <v>13.624000000000001</v>
      </c>
      <c r="I25" s="1">
        <f>ROUND(AVERAGE(seed1!I25,seed2!I25,seed3!I25,seed4!I25,seed5!I25,seed7!I25,seed8!I25,seed9!I25,seed10!I25),4)</f>
        <v>15.721399999999999</v>
      </c>
      <c r="J25" s="1">
        <f>ROUND(AVERAGE(seed1!J25,seed2!J25,seed3!J25,seed4!J25,seed5!J25,seed7!J25,seed8!J25,seed9!J25,seed10!J25),4)</f>
        <v>14.841200000000001</v>
      </c>
    </row>
    <row r="26" spans="2:10">
      <c r="B26" s="1">
        <v>0.6</v>
      </c>
      <c r="C26" s="1">
        <f>ROUND(AVERAGE(seed1!C26,seed2!C26,seed3!C26,seed4!C26,seed5!C26,seed7!C26,seed8!C26,seed9!C26,seed10!C26),4)</f>
        <v>13.761900000000001</v>
      </c>
      <c r="D26" s="1">
        <f>ROUND(AVERAGE(seed1!D26,seed2!D26,seed3!D26,seed4!D26,seed5!D26,seed7!D26,seed8!D26,seed9!D26,seed10!D26),4)</f>
        <v>15.3863</v>
      </c>
      <c r="E26" s="1">
        <f>ROUND(AVERAGE(seed1!E26,seed2!E26,seed3!E26,seed4!E26,seed5!E26,seed7!E26,seed8!E26,seed9!E26,seed10!E26),4)</f>
        <v>14.3415</v>
      </c>
      <c r="G26" s="1">
        <v>0.6</v>
      </c>
      <c r="H26" s="1">
        <f>ROUND(AVERAGE(seed1!H26,seed2!H26,seed3!H26,seed4!H26,seed5!H26,seed7!H26,seed8!H26,seed9!H26,seed10!H26),4)</f>
        <v>13.667899999999999</v>
      </c>
      <c r="I26" s="1">
        <f>ROUND(AVERAGE(seed1!I26,seed2!I26,seed3!I26,seed4!I26,seed5!I26,seed7!I26,seed8!I26,seed9!I26,seed10!I26),4)</f>
        <v>16.0444</v>
      </c>
      <c r="J26" s="1">
        <f>ROUND(AVERAGE(seed1!J26,seed2!J26,seed3!J26,seed4!J26,seed5!J26,seed7!J26,seed8!J26,seed9!J26,seed10!J26),4)</f>
        <v>15.037699999999999</v>
      </c>
    </row>
    <row r="27" spans="2:10">
      <c r="B27" s="1">
        <v>0.7</v>
      </c>
      <c r="C27" s="1">
        <f>ROUND(AVERAGE(seed1!C27,seed2!C27,seed3!C27,seed4!C27,seed5!C27,seed7!C27,seed8!C27,seed9!C27,seed10!C27),4)</f>
        <v>13.7294</v>
      </c>
      <c r="D27" s="1">
        <f>ROUND(AVERAGE(seed1!D27,seed2!D27,seed3!D27,seed4!D27,seed5!D27,seed7!D27,seed8!D27,seed9!D27,seed10!D27),4)</f>
        <v>15.9047</v>
      </c>
      <c r="E27" s="1">
        <f>ROUND(AVERAGE(seed1!E27,seed2!E27,seed3!E27,seed4!E27,seed5!E27,seed7!E27,seed8!E27,seed9!E27,seed10!E27),4)</f>
        <v>14.4917</v>
      </c>
      <c r="G27" s="1">
        <v>0.7</v>
      </c>
      <c r="H27" s="1">
        <f>ROUND(AVERAGE(seed1!H27,seed2!H27,seed3!H27,seed4!H27,seed5!H27,seed7!H27,seed8!H27,seed9!H27,seed10!H27),4)</f>
        <v>12.9054</v>
      </c>
      <c r="I27" s="1">
        <f>ROUND(AVERAGE(seed1!I27,seed2!I27,seed3!I27,seed4!I27,seed5!I27,seed7!I27,seed8!I27,seed9!I27,seed10!I27),4)</f>
        <v>16.461600000000001</v>
      </c>
      <c r="J27" s="1">
        <f>ROUND(AVERAGE(seed1!J27,seed2!J27,seed3!J27,seed4!J27,seed5!J27,seed7!J27,seed8!J27,seed9!J27,seed10!J27),4)</f>
        <v>14.9709</v>
      </c>
    </row>
    <row r="28" spans="2:10">
      <c r="B28" s="1">
        <v>0.8</v>
      </c>
      <c r="C28" s="1">
        <f>ROUND(AVERAGE(seed1!C28,seed2!C28,seed3!C28,seed4!C28,seed5!C28,seed7!C28,seed8!C28,seed9!C28,seed10!C28),4)</f>
        <v>13.595599999999999</v>
      </c>
      <c r="D28" s="1">
        <f>ROUND(AVERAGE(seed1!D28,seed2!D28,seed3!D28,seed4!D28,seed5!D28,seed7!D28,seed8!D28,seed9!D28,seed10!D28),4)</f>
        <v>16.454799999999999</v>
      </c>
      <c r="E28" s="1">
        <f>ROUND(AVERAGE(seed1!E28,seed2!E28,seed3!E28,seed4!E28,seed5!E28,seed7!E28,seed8!E28,seed9!E28,seed10!E28),4)</f>
        <v>14.584300000000001</v>
      </c>
      <c r="G28" s="1">
        <v>0.8</v>
      </c>
      <c r="H28" s="1">
        <f>ROUND(AVERAGE(seed1!H28,seed2!H28,seed3!H28,seed4!H28,seed5!H28,seed7!H28,seed8!H28,seed9!H28,seed10!H28),4)</f>
        <v>11.556100000000001</v>
      </c>
      <c r="I28" s="1">
        <f>ROUND(AVERAGE(seed1!I28,seed2!I28,seed3!I28,seed4!I28,seed5!I28,seed7!I28,seed8!I28,seed9!I28,seed10!I28),4)</f>
        <v>16.650099999999998</v>
      </c>
      <c r="J28" s="1">
        <f>ROUND(AVERAGE(seed1!J28,seed2!J28,seed3!J28,seed4!J28,seed5!J28,seed7!J28,seed8!J28,seed9!J28,seed10!J28),4)</f>
        <v>14.279</v>
      </c>
    </row>
    <row r="29" spans="2:10">
      <c r="B29" s="1">
        <v>0.9</v>
      </c>
      <c r="C29" s="1">
        <f>ROUND(AVERAGE(seed1!C29,seed2!C29,seed3!C29,seed4!C29,seed5!C29,seed7!C29,seed8!C29,seed9!C29,seed10!C29),4)</f>
        <v>13.093500000000001</v>
      </c>
      <c r="D29" s="1">
        <f>ROUND(AVERAGE(seed1!D29,seed2!D29,seed3!D29,seed4!D29,seed5!D29,seed7!D29,seed8!D29,seed9!D29,seed10!D29),4)</f>
        <v>16.621099999999998</v>
      </c>
      <c r="E29" s="1">
        <f>ROUND(AVERAGE(seed1!E29,seed2!E29,seed3!E29,seed4!E29,seed5!E29,seed7!E29,seed8!E29,seed9!E29,seed10!E29),4)</f>
        <v>14.286099999999999</v>
      </c>
      <c r="G29" s="1">
        <v>0.9</v>
      </c>
      <c r="H29" s="1">
        <f>ROUND(AVERAGE(seed1!H29,seed2!H29,seed3!H29,seed4!H29,seed5!H29,seed7!H29,seed8!H29,seed9!H29,seed10!H29),4)</f>
        <v>10.9886</v>
      </c>
      <c r="I29" s="1">
        <f>ROUND(AVERAGE(seed1!I29,seed2!I29,seed3!I29,seed4!I29,seed5!I29,seed7!I29,seed8!I29,seed9!I29,seed10!I29),4)</f>
        <v>16.6617</v>
      </c>
      <c r="J29" s="1">
        <f>ROUND(AVERAGE(seed1!J29,seed2!J29,seed3!J29,seed4!J29,seed5!J29,seed7!J29,seed8!J29,seed9!J29,seed10!J29),4)</f>
        <v>14.1233</v>
      </c>
    </row>
    <row r="30" spans="2:10">
      <c r="B30" s="1">
        <v>1</v>
      </c>
      <c r="C30" s="1">
        <f>ROUND(AVERAGE(seed1!C30,seed2!C30,seed3!C30,seed4!C30,seed5!C30,seed7!C30,seed8!C30,seed9!C30,seed10!C30),4)</f>
        <v>12.908899999999999</v>
      </c>
      <c r="D30" s="1">
        <f>ROUND(AVERAGE(seed1!D30,seed2!D30,seed3!D30,seed4!D30,seed5!D30,seed7!D30,seed8!D30,seed9!D30,seed10!D30),4)</f>
        <v>16.6571</v>
      </c>
      <c r="E30" s="1">
        <f>ROUND(AVERAGE(seed1!E30,seed2!E30,seed3!E30,seed4!E30,seed5!E30,seed7!E30,seed8!E30,seed9!E30,seed10!E30),4)</f>
        <v>14.174300000000001</v>
      </c>
      <c r="G30" s="1">
        <v>1</v>
      </c>
      <c r="H30" s="1">
        <f>ROUND(AVERAGE(seed1!H30,seed2!H30,seed3!H30,seed4!H30,seed5!H30,seed7!H30,seed8!H30,seed9!H30,seed10!H30),4)</f>
        <v>11.126099999999999</v>
      </c>
      <c r="I30" s="1">
        <f>ROUND(AVERAGE(seed1!I30,seed2!I30,seed3!I30,seed4!I30,seed5!I30,seed7!I30,seed8!I30,seed9!I30,seed10!I30),4)</f>
        <v>16.6617</v>
      </c>
      <c r="J30" s="1">
        <f>ROUND(AVERAGE(seed1!J30,seed2!J30,seed3!J30,seed4!J30,seed5!J30,seed7!J30,seed8!J30,seed9!J30,seed10!J30),4)</f>
        <v>14.073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2956-B265-B141-9786-1B3CA3035DFD}">
  <dimension ref="B2:E16"/>
  <sheetViews>
    <sheetView workbookViewId="0">
      <selection activeCell="C4" sqref="C4:E14"/>
    </sheetView>
  </sheetViews>
  <sheetFormatPr baseColWidth="10" defaultRowHeight="20"/>
  <sheetData>
    <row r="2" spans="2:5">
      <c r="B2" s="1"/>
      <c r="C2" s="1" t="s">
        <v>16</v>
      </c>
      <c r="D2" s="1"/>
      <c r="E2" s="1" t="s">
        <v>6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 s="1">
        <v>0</v>
      </c>
      <c r="C4" s="1">
        <v>14.9702</v>
      </c>
      <c r="D4" s="1">
        <v>14.926</v>
      </c>
      <c r="E4" s="1">
        <v>14.9482</v>
      </c>
    </row>
    <row r="5" spans="2:5">
      <c r="B5" s="1">
        <v>0.1</v>
      </c>
      <c r="C5" s="1">
        <v>14.9702</v>
      </c>
      <c r="D5" s="1">
        <v>14.926</v>
      </c>
      <c r="E5" s="1">
        <v>14.9482</v>
      </c>
    </row>
    <row r="6" spans="2:5">
      <c r="B6" s="1">
        <v>0.2</v>
      </c>
      <c r="C6" s="1">
        <v>14.9702</v>
      </c>
      <c r="D6" s="1">
        <v>14.926</v>
      </c>
      <c r="E6" s="1">
        <v>14.9482</v>
      </c>
    </row>
    <row r="7" spans="2:5">
      <c r="B7" s="1">
        <v>0.3</v>
      </c>
      <c r="C7" s="1">
        <v>14.953099999999999</v>
      </c>
      <c r="D7" s="1">
        <v>15.0205</v>
      </c>
      <c r="E7" s="1">
        <v>14.986800000000001</v>
      </c>
    </row>
    <row r="8" spans="2:5">
      <c r="B8" s="1">
        <v>0.4</v>
      </c>
      <c r="C8" s="1">
        <v>14.953099999999999</v>
      </c>
      <c r="D8" s="1">
        <v>15.0205</v>
      </c>
      <c r="E8" s="1">
        <v>14.986800000000001</v>
      </c>
    </row>
    <row r="9" spans="2:5">
      <c r="B9" s="1">
        <v>0.5</v>
      </c>
      <c r="C9" s="1">
        <v>14.7881</v>
      </c>
      <c r="D9" s="1">
        <v>15.773899999999999</v>
      </c>
      <c r="E9" s="1">
        <v>15.280200000000001</v>
      </c>
    </row>
    <row r="10" spans="2:5">
      <c r="B10" s="1">
        <v>0.6</v>
      </c>
      <c r="C10" s="1">
        <v>15.042400000000001</v>
      </c>
      <c r="D10" s="1">
        <v>15.8653</v>
      </c>
      <c r="E10" s="1">
        <v>15.4534</v>
      </c>
    </row>
    <row r="11" spans="2:5">
      <c r="B11" s="1">
        <v>0.7</v>
      </c>
      <c r="C11" s="1">
        <v>14.655799999999999</v>
      </c>
      <c r="D11" s="1">
        <v>16.3675</v>
      </c>
      <c r="E11" s="1">
        <v>15.5077</v>
      </c>
    </row>
    <row r="12" spans="2:5">
      <c r="B12" s="1">
        <v>0.8</v>
      </c>
      <c r="C12" s="1">
        <v>11.391299999999999</v>
      </c>
      <c r="D12" s="1">
        <v>16.592600000000001</v>
      </c>
      <c r="E12" s="1">
        <v>13.7615</v>
      </c>
    </row>
    <row r="13" spans="2:5">
      <c r="B13" s="1">
        <v>0.9</v>
      </c>
      <c r="C13" s="1">
        <v>11.270300000000001</v>
      </c>
      <c r="D13" s="1">
        <v>16.670000000000002</v>
      </c>
      <c r="E13" s="1">
        <v>13.7309</v>
      </c>
    </row>
    <row r="14" spans="2:5">
      <c r="B14" s="1">
        <v>1</v>
      </c>
      <c r="C14" s="1">
        <v>11.270300000000001</v>
      </c>
      <c r="D14" s="1">
        <v>16.670000000000002</v>
      </c>
      <c r="E14" s="1">
        <v>13.7309</v>
      </c>
    </row>
    <row r="16" spans="2:5">
      <c r="D16" t="s">
        <v>14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FFD7-B93E-DB41-89D3-4C2FA71AA169}">
  <dimension ref="B2:G16"/>
  <sheetViews>
    <sheetView workbookViewId="0">
      <selection activeCell="C4" sqref="C4:E14"/>
    </sheetView>
  </sheetViews>
  <sheetFormatPr baseColWidth="10" defaultRowHeight="20"/>
  <sheetData>
    <row r="2" spans="2:7">
      <c r="B2" s="1"/>
      <c r="C2" s="1" t="s">
        <v>4</v>
      </c>
      <c r="D2" s="1"/>
      <c r="E2" s="1" t="s">
        <v>6</v>
      </c>
    </row>
    <row r="3" spans="2:7">
      <c r="B3" s="1" t="s">
        <v>0</v>
      </c>
      <c r="C3" s="1" t="s">
        <v>1</v>
      </c>
      <c r="D3" s="1" t="s">
        <v>2</v>
      </c>
      <c r="E3" s="1" t="s">
        <v>3</v>
      </c>
    </row>
    <row r="4" spans="2:7">
      <c r="B4" s="1">
        <v>0</v>
      </c>
      <c r="C4" s="1">
        <v>12.988300000000001</v>
      </c>
      <c r="D4" s="1">
        <v>12.8925</v>
      </c>
      <c r="E4" s="1">
        <v>12.9457</v>
      </c>
      <c r="G4" t="s">
        <v>17</v>
      </c>
    </row>
    <row r="5" spans="2:7">
      <c r="B5" s="1">
        <v>0.1</v>
      </c>
      <c r="C5" s="1">
        <v>12.988300000000001</v>
      </c>
      <c r="D5" s="1">
        <v>12.8925</v>
      </c>
      <c r="E5" s="1">
        <v>12.9457</v>
      </c>
      <c r="G5" t="s">
        <v>17</v>
      </c>
    </row>
    <row r="6" spans="2:7">
      <c r="B6" s="1">
        <v>0.2</v>
      </c>
      <c r="C6" s="1">
        <v>12.988300000000001</v>
      </c>
      <c r="D6" s="1">
        <v>12.8925</v>
      </c>
      <c r="E6" s="1">
        <v>12.9457</v>
      </c>
      <c r="G6" t="s">
        <v>17</v>
      </c>
    </row>
    <row r="7" spans="2:7">
      <c r="B7" s="1">
        <v>0.3</v>
      </c>
      <c r="C7" s="1">
        <v>12.9823</v>
      </c>
      <c r="D7" s="1">
        <v>13.599299999999999</v>
      </c>
      <c r="E7" s="1">
        <v>13.2599</v>
      </c>
    </row>
    <row r="8" spans="2:7">
      <c r="B8" s="1">
        <v>0.4</v>
      </c>
      <c r="C8" s="1">
        <v>12.6654</v>
      </c>
      <c r="D8" s="1">
        <v>14.7949</v>
      </c>
      <c r="E8" s="1">
        <v>13.608599999999999</v>
      </c>
    </row>
    <row r="9" spans="2:7">
      <c r="B9" s="1">
        <v>0.5</v>
      </c>
      <c r="C9" s="1">
        <v>13.0663</v>
      </c>
      <c r="D9" s="1">
        <v>13.6723</v>
      </c>
      <c r="E9" s="1">
        <v>13.349</v>
      </c>
    </row>
    <row r="10" spans="2:7">
      <c r="B10" s="1">
        <v>0.6</v>
      </c>
      <c r="C10" s="1">
        <v>12.662100000000001</v>
      </c>
      <c r="D10" s="1">
        <v>15.454800000000001</v>
      </c>
      <c r="E10" s="1">
        <v>13.8765</v>
      </c>
    </row>
    <row r="11" spans="2:7">
      <c r="B11" s="1">
        <v>0.7</v>
      </c>
      <c r="C11" s="1">
        <v>11.933199999999999</v>
      </c>
      <c r="D11" s="1">
        <v>15.7264</v>
      </c>
      <c r="E11" s="1">
        <v>13.546900000000001</v>
      </c>
    </row>
    <row r="12" spans="2:7">
      <c r="B12" s="1">
        <v>0.8</v>
      </c>
      <c r="C12" s="1">
        <v>12.0619</v>
      </c>
      <c r="D12" s="1">
        <v>16.670000000000002</v>
      </c>
      <c r="E12" s="1">
        <v>13.961600000000001</v>
      </c>
    </row>
    <row r="13" spans="2:7">
      <c r="B13" s="1">
        <v>0.9</v>
      </c>
      <c r="C13" s="1">
        <v>12.0619</v>
      </c>
      <c r="D13" s="1">
        <v>16.670000000000002</v>
      </c>
      <c r="E13" s="1">
        <v>13.961600000000001</v>
      </c>
    </row>
    <row r="14" spans="2:7">
      <c r="B14" s="1">
        <v>1</v>
      </c>
      <c r="C14" s="1">
        <v>12.0619</v>
      </c>
      <c r="D14" s="1">
        <v>16.670000000000002</v>
      </c>
      <c r="E14" s="1">
        <v>13.961600000000001</v>
      </c>
    </row>
    <row r="16" spans="2:7">
      <c r="D16" t="s">
        <v>14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85529-255C-8848-9A80-D3BA0A882E21}">
  <dimension ref="B2:E16"/>
  <sheetViews>
    <sheetView workbookViewId="0">
      <selection activeCell="C4" sqref="C4:E14"/>
    </sheetView>
  </sheetViews>
  <sheetFormatPr baseColWidth="10" defaultRowHeight="20"/>
  <sheetData>
    <row r="2" spans="2:5">
      <c r="B2" s="1"/>
      <c r="C2" s="1" t="s">
        <v>4</v>
      </c>
      <c r="D2" s="1"/>
      <c r="E2" s="1" t="s">
        <v>6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 s="1">
        <v>0</v>
      </c>
      <c r="C4" s="1">
        <v>12.141999999999999</v>
      </c>
      <c r="D4" s="1">
        <v>12.4002</v>
      </c>
      <c r="E4" s="1">
        <v>12.2698</v>
      </c>
    </row>
    <row r="5" spans="2:5">
      <c r="B5" s="1">
        <v>0.1</v>
      </c>
      <c r="C5" s="1">
        <v>12.141999999999999</v>
      </c>
      <c r="D5" s="1">
        <v>12.4002</v>
      </c>
      <c r="E5" s="1">
        <v>12.2698</v>
      </c>
    </row>
    <row r="6" spans="2:5">
      <c r="B6" s="1">
        <v>0.2</v>
      </c>
      <c r="C6" s="1">
        <v>12.141999999999999</v>
      </c>
      <c r="D6" s="1">
        <v>12.4002</v>
      </c>
      <c r="E6" s="1">
        <v>12.2698</v>
      </c>
    </row>
    <row r="7" spans="2:5">
      <c r="B7" s="1">
        <v>0.3</v>
      </c>
      <c r="C7" s="1">
        <v>12.4434</v>
      </c>
      <c r="D7" s="1">
        <v>12.5875</v>
      </c>
      <c r="E7" s="1">
        <v>12.514699999999999</v>
      </c>
    </row>
    <row r="8" spans="2:5">
      <c r="B8" s="1">
        <v>0.4</v>
      </c>
      <c r="C8" s="1">
        <v>12.4427</v>
      </c>
      <c r="D8" s="1">
        <v>12.5784</v>
      </c>
      <c r="E8" s="1">
        <v>12.5099</v>
      </c>
    </row>
    <row r="9" spans="2:5">
      <c r="B9" s="1">
        <v>0.5</v>
      </c>
      <c r="C9" s="1">
        <v>12.311</v>
      </c>
      <c r="D9" s="1">
        <v>13.3291</v>
      </c>
      <c r="E9" s="1">
        <v>12.803599999999999</v>
      </c>
    </row>
    <row r="10" spans="2:5">
      <c r="B10" s="1">
        <v>0.6</v>
      </c>
      <c r="C10" s="1">
        <v>11.1708</v>
      </c>
      <c r="D10" s="1">
        <v>14.6151</v>
      </c>
      <c r="E10" s="1">
        <v>12.705399999999999</v>
      </c>
    </row>
    <row r="11" spans="2:5">
      <c r="B11" s="1">
        <v>0.7</v>
      </c>
      <c r="C11" s="1">
        <v>12.086499999999999</v>
      </c>
      <c r="D11" s="1">
        <v>15.9581</v>
      </c>
      <c r="E11" s="1">
        <v>13.747999999999999</v>
      </c>
    </row>
    <row r="12" spans="2:5">
      <c r="B12" s="1">
        <v>0.8</v>
      </c>
      <c r="C12" s="1">
        <v>9.8757000000000001</v>
      </c>
      <c r="D12" s="1">
        <v>16.2927</v>
      </c>
      <c r="E12" s="1">
        <v>12.427099999999999</v>
      </c>
    </row>
    <row r="13" spans="2:5">
      <c r="B13" s="1">
        <v>0.9</v>
      </c>
      <c r="C13" s="1">
        <v>9.6273</v>
      </c>
      <c r="D13" s="1">
        <v>16.670000000000002</v>
      </c>
      <c r="E13" s="1">
        <v>12.392200000000001</v>
      </c>
    </row>
    <row r="14" spans="2:5">
      <c r="B14" s="1">
        <v>1</v>
      </c>
      <c r="C14" s="1">
        <v>9.6273</v>
      </c>
      <c r="D14" s="1">
        <v>16.670000000000002</v>
      </c>
      <c r="E14" s="1">
        <v>12.392200000000001</v>
      </c>
    </row>
    <row r="16" spans="2:5">
      <c r="D16" t="s">
        <v>14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B84D-0B7A-CE45-AD6C-617588ED5162}">
  <dimension ref="B2:E16"/>
  <sheetViews>
    <sheetView workbookViewId="0">
      <selection activeCell="C4" sqref="C4:E14"/>
    </sheetView>
  </sheetViews>
  <sheetFormatPr baseColWidth="10" defaultRowHeight="20"/>
  <sheetData>
    <row r="2" spans="2:5">
      <c r="B2" s="1"/>
      <c r="C2" s="1" t="s">
        <v>4</v>
      </c>
      <c r="D2" s="1"/>
      <c r="E2" s="1" t="s">
        <v>6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 s="1">
        <v>0</v>
      </c>
      <c r="C4" s="1">
        <v>11.817399999999999</v>
      </c>
      <c r="D4" s="1">
        <v>11.9574</v>
      </c>
      <c r="E4" s="1">
        <v>11.886799999999999</v>
      </c>
    </row>
    <row r="5" spans="2:5">
      <c r="B5" s="1">
        <v>0.1</v>
      </c>
      <c r="C5" s="1">
        <v>11.817399999999999</v>
      </c>
      <c r="D5" s="1">
        <v>11.9574</v>
      </c>
      <c r="E5" s="1">
        <v>11.886799999999999</v>
      </c>
    </row>
    <row r="6" spans="2:5">
      <c r="B6" s="1">
        <v>0.2</v>
      </c>
      <c r="C6" s="1">
        <v>11.817399999999999</v>
      </c>
      <c r="D6" s="1">
        <v>11.9574</v>
      </c>
      <c r="E6" s="1">
        <v>11.886799999999999</v>
      </c>
    </row>
    <row r="7" spans="2:5">
      <c r="B7" s="1">
        <v>0.3</v>
      </c>
      <c r="C7" s="1">
        <v>11.8056</v>
      </c>
      <c r="D7" s="1">
        <v>12.2026</v>
      </c>
      <c r="E7" s="1">
        <v>12.0022</v>
      </c>
    </row>
    <row r="8" spans="2:5">
      <c r="B8" s="1">
        <v>0.4</v>
      </c>
      <c r="C8" s="1">
        <v>11.5762</v>
      </c>
      <c r="D8" s="1">
        <v>12.115600000000001</v>
      </c>
      <c r="E8" s="1">
        <v>11.841799999999999</v>
      </c>
    </row>
    <row r="9" spans="2:5">
      <c r="B9" s="1">
        <v>0.5</v>
      </c>
      <c r="C9" s="1">
        <v>11.351699999999999</v>
      </c>
      <c r="D9" s="1">
        <v>13.965199999999999</v>
      </c>
      <c r="E9" s="1">
        <v>12.6082</v>
      </c>
    </row>
    <row r="10" spans="2:5">
      <c r="B10" s="1">
        <v>0.6</v>
      </c>
      <c r="C10" s="1">
        <v>11.3461</v>
      </c>
      <c r="D10" s="1">
        <v>13.974299999999999</v>
      </c>
      <c r="E10" s="1">
        <v>12.6097</v>
      </c>
    </row>
    <row r="11" spans="2:5">
      <c r="B11" s="1">
        <v>0.7</v>
      </c>
      <c r="C11" s="1">
        <v>11.9963</v>
      </c>
      <c r="D11" s="1">
        <v>16.0396</v>
      </c>
      <c r="E11" s="1">
        <v>13.8218</v>
      </c>
    </row>
    <row r="12" spans="2:5">
      <c r="B12" s="1">
        <v>0.8</v>
      </c>
      <c r="C12" s="1">
        <v>10.5352</v>
      </c>
      <c r="D12" s="1">
        <v>16.5975</v>
      </c>
      <c r="E12" s="1">
        <v>13.1686</v>
      </c>
    </row>
    <row r="13" spans="2:5">
      <c r="B13" s="1">
        <v>0.9</v>
      </c>
      <c r="C13" s="1">
        <v>10.2834</v>
      </c>
      <c r="D13" s="1">
        <v>16.670000000000002</v>
      </c>
      <c r="E13" s="1">
        <v>13.0124</v>
      </c>
    </row>
    <row r="14" spans="2:5">
      <c r="B14" s="1">
        <v>1</v>
      </c>
      <c r="C14" s="1">
        <v>10.2834</v>
      </c>
      <c r="D14" s="1">
        <v>16.670000000000002</v>
      </c>
      <c r="E14" s="1">
        <v>13.0124</v>
      </c>
    </row>
    <row r="16" spans="2:5">
      <c r="D16" t="s">
        <v>14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509B-9545-864F-B5D1-76D33E0347EC}">
  <dimension ref="B2:E16"/>
  <sheetViews>
    <sheetView tabSelected="1" workbookViewId="0">
      <selection activeCell="C4" sqref="C4:E14"/>
    </sheetView>
  </sheetViews>
  <sheetFormatPr baseColWidth="10" defaultRowHeight="20"/>
  <sheetData>
    <row r="2" spans="2:5">
      <c r="B2" s="1"/>
      <c r="C2" s="1" t="s">
        <v>4</v>
      </c>
      <c r="D2" s="1"/>
      <c r="E2" s="1" t="s">
        <v>6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 s="1">
        <v>0</v>
      </c>
      <c r="C4" s="1">
        <v>11.031499999999999</v>
      </c>
      <c r="D4" s="1">
        <v>13.6134</v>
      </c>
      <c r="E4" s="1">
        <v>12.287000000000001</v>
      </c>
    </row>
    <row r="5" spans="2:5">
      <c r="B5" s="1">
        <v>0.1</v>
      </c>
      <c r="C5" s="1">
        <v>11.031499999999999</v>
      </c>
      <c r="D5" s="1">
        <v>13.6134</v>
      </c>
      <c r="E5" s="1">
        <v>12.287000000000001</v>
      </c>
    </row>
    <row r="6" spans="2:5">
      <c r="B6" s="1">
        <v>0.2</v>
      </c>
      <c r="C6" s="1">
        <v>11.031499999999999</v>
      </c>
      <c r="D6" s="1">
        <v>13.6134</v>
      </c>
      <c r="E6" s="1">
        <v>12.287000000000001</v>
      </c>
    </row>
    <row r="7" spans="2:5">
      <c r="B7" s="1">
        <v>0.3</v>
      </c>
      <c r="C7" s="1">
        <v>11.031499999999999</v>
      </c>
      <c r="D7" s="1">
        <v>13.6134</v>
      </c>
      <c r="E7" s="1">
        <v>12.287000000000001</v>
      </c>
    </row>
    <row r="8" spans="2:5">
      <c r="B8" s="1">
        <v>0.4</v>
      </c>
      <c r="C8" s="1">
        <v>11.031499999999999</v>
      </c>
      <c r="D8" s="1">
        <v>13.6782</v>
      </c>
      <c r="E8" s="1">
        <v>12.317</v>
      </c>
    </row>
    <row r="9" spans="2:5">
      <c r="B9" s="1">
        <v>0.5</v>
      </c>
      <c r="C9" s="1">
        <v>11.5214</v>
      </c>
      <c r="D9" s="1">
        <v>14.861599999999999</v>
      </c>
      <c r="E9" s="1">
        <v>13.0875</v>
      </c>
    </row>
    <row r="10" spans="2:5">
      <c r="B10" s="1">
        <v>0.6</v>
      </c>
      <c r="C10" s="1">
        <v>11.2509</v>
      </c>
      <c r="D10" s="1">
        <v>14.867699999999999</v>
      </c>
      <c r="E10" s="1">
        <v>12.9427</v>
      </c>
    </row>
    <row r="11" spans="2:5">
      <c r="B11" s="1">
        <v>0.7</v>
      </c>
      <c r="C11" s="1">
        <v>12.0284</v>
      </c>
      <c r="D11" s="1">
        <v>16.426300000000001</v>
      </c>
      <c r="E11" s="1">
        <v>14.062200000000001</v>
      </c>
    </row>
    <row r="12" spans="2:5">
      <c r="B12" s="1">
        <v>0.8</v>
      </c>
      <c r="C12" s="1">
        <v>11.137499999999999</v>
      </c>
      <c r="D12" s="1">
        <v>16.669699999999999</v>
      </c>
      <c r="E12" s="1">
        <v>13.608499999999999</v>
      </c>
    </row>
    <row r="13" spans="2:5">
      <c r="B13" s="1">
        <v>0.9</v>
      </c>
      <c r="C13" s="1">
        <v>10.442299999999999</v>
      </c>
      <c r="D13" s="1">
        <v>16.670000000000002</v>
      </c>
      <c r="E13" s="1">
        <v>13.2197</v>
      </c>
    </row>
    <row r="14" spans="2:5">
      <c r="B14" s="1">
        <v>1</v>
      </c>
      <c r="C14" s="1">
        <v>10.442299999999999</v>
      </c>
      <c r="D14" s="1">
        <v>16.670000000000002</v>
      </c>
      <c r="E14" s="1">
        <v>13.2197</v>
      </c>
    </row>
    <row r="16" spans="2:5">
      <c r="D16" t="s">
        <v>14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D4A1-C484-0940-853A-A980583F55ED}">
  <dimension ref="B2:E14"/>
  <sheetViews>
    <sheetView workbookViewId="0">
      <selection activeCell="B2" sqref="B2:E14"/>
    </sheetView>
  </sheetViews>
  <sheetFormatPr baseColWidth="10" defaultRowHeight="20"/>
  <sheetData>
    <row r="2" spans="2:5">
      <c r="B2" s="1"/>
      <c r="C2" s="1" t="s">
        <v>4</v>
      </c>
      <c r="D2" s="1"/>
      <c r="E2" s="1" t="s">
        <v>6</v>
      </c>
    </row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 s="1">
        <v>0</v>
      </c>
      <c r="C4" s="1">
        <f>ROUND(AVERAGE(seed1!C4,seed2!C4,seed3!C4,seed4!C4,seed5!C4,seed7!C4,seed8!C4,seed9!C4,seed10!C4,seed11!C4,seed12!C4,seed13!C4,seed14!C4,seed15!C4),4)</f>
        <v>14.015700000000001</v>
      </c>
      <c r="D4" s="1">
        <f>ROUND(AVERAGE(seed1!D4,seed2!D4,seed3!D4,seed4!D4,seed5!D4,seed7!D4,seed8!D4,seed9!D4,seed10!D4,seed11!D4,seed12!D4,seed13!D4,seed14!D4,seed15!D4),4)</f>
        <v>13.616300000000001</v>
      </c>
      <c r="E4" s="1">
        <f>ROUND(AVERAGE(seed1!E4,seed2!E4,seed3!E4,seed4!E4,seed5!E4,seed7!E4,seed8!E4,seed9!E4,seed10!E4,seed11!E4,seed12!E4,seed13!E4,seed14!E4,seed15!E4),4)</f>
        <v>13.819699999999999</v>
      </c>
    </row>
    <row r="5" spans="2:5">
      <c r="B5" s="1">
        <v>0.1</v>
      </c>
      <c r="C5" s="1">
        <f>ROUND(AVERAGE(seed1!C5,seed2!C5,seed3!C5,seed4!C5,seed5!C5,seed7!C5,seed8!C5,seed9!C5,seed10!C5,seed11!C5,seed12!C5,seed13!C5,seed14!C5,seed15!C5),4)</f>
        <v>14.015700000000001</v>
      </c>
      <c r="D5" s="1">
        <f>ROUND(AVERAGE(seed1!D5,seed2!D5,seed3!D5,seed4!D5,seed5!D5,seed7!D5,seed8!D5,seed9!D5,seed10!D5,seed11!D5,seed12!D5,seed13!D5,seed14!D5,seed15!D5),4)</f>
        <v>13.616300000000001</v>
      </c>
      <c r="E5" s="1">
        <f>ROUND(AVERAGE(seed1!E5,seed2!E5,seed3!E5,seed4!E5,seed5!E5,seed7!E5,seed8!E5,seed9!E5,seed10!E5,seed11!E5,seed12!E5,seed13!E5,seed14!E5,seed15!E5),4)</f>
        <v>13.819699999999999</v>
      </c>
    </row>
    <row r="6" spans="2:5">
      <c r="B6" s="1">
        <v>0.2</v>
      </c>
      <c r="C6" s="1">
        <f>ROUND(AVERAGE(seed1!C6,seed2!C6,seed3!C6,seed4!C6,seed5!C6,seed7!C6,seed8!C6,seed9!C6,seed10!C6,seed11!C6,seed12!C6,seed13!C6,seed14!C6,seed15!C6),4)</f>
        <v>13.922499999999999</v>
      </c>
      <c r="D6" s="1">
        <f>ROUND(AVERAGE(seed1!D6,seed2!D6,seed3!D6,seed4!D6,seed5!D6,seed7!D6,seed8!D6,seed9!D6,seed10!D6,seed11!D6,seed12!D6,seed13!D6,seed14!D6,seed15!D6),4)</f>
        <v>13.763299999999999</v>
      </c>
      <c r="E6" s="1">
        <f>ROUND(AVERAGE(seed1!E6,seed2!E6,seed3!E6,seed4!E6,seed5!E6,seed7!E6,seed8!E6,seed9!E6,seed10!E6,seed11!E6,seed12!E6,seed13!E6,seed14!E6,seed15!E6),4)</f>
        <v>13.846500000000001</v>
      </c>
    </row>
    <row r="7" spans="2:5">
      <c r="B7" s="1">
        <v>0.3</v>
      </c>
      <c r="C7" s="1">
        <f>ROUND(AVERAGE(seed1!C7,seed2!C7,seed3!C7,seed4!C7,seed5!C7,seed7!C7,seed8!C7,seed9!C7,seed10!C7,seed11!C7,seed12!C7,seed13!C7,seed14!C7,seed15!C7),4)</f>
        <v>13.922700000000001</v>
      </c>
      <c r="D7" s="1">
        <f>ROUND(AVERAGE(seed1!D7,seed2!D7,seed3!D7,seed4!D7,seed5!D7,seed7!D7,seed8!D7,seed9!D7,seed10!D7,seed11!D7,seed12!D7,seed13!D7,seed14!D7,seed15!D7),4)</f>
        <v>13.957599999999999</v>
      </c>
      <c r="E7" s="1">
        <f>ROUND(AVERAGE(seed1!E7,seed2!E7,seed3!E7,seed4!E7,seed5!E7,seed7!E7,seed8!E7,seed9!E7,seed10!E7,seed11!E7,seed12!E7,seed13!E7,seed14!E7,seed15!E7),4)</f>
        <v>13.9397</v>
      </c>
    </row>
    <row r="8" spans="2:5">
      <c r="B8" s="1">
        <v>0.4</v>
      </c>
      <c r="C8" s="1">
        <f>ROUND(AVERAGE(seed1!C8,seed2!C8,seed3!C8,seed4!C8,seed5!C8,seed7!C8,seed8!C8,seed9!C8,seed10!C8,seed11!C8,seed12!C8,seed13!C8,seed14!C8,seed15!C8),4)</f>
        <v>13.8475</v>
      </c>
      <c r="D8" s="1">
        <f>ROUND(AVERAGE(seed1!D8,seed2!D8,seed3!D8,seed4!D8,seed5!D8,seed7!D8,seed8!D8,seed9!D8,seed10!D8,seed11!D8,seed12!D8,seed13!D8,seed14!D8,seed15!D8),4)</f>
        <v>14.3627</v>
      </c>
      <c r="E8" s="1">
        <f>ROUND(AVERAGE(seed1!E8,seed2!E8,seed3!E8,seed4!E8,seed5!E8,seed7!E8,seed8!E8,seed9!E8,seed10!E8,seed11!E8,seed12!E8,seed13!E8,seed14!E8,seed15!E8),4)</f>
        <v>14.088699999999999</v>
      </c>
    </row>
    <row r="9" spans="2:5">
      <c r="B9" s="1">
        <v>0.5</v>
      </c>
      <c r="C9" s="1">
        <f>ROUND(AVERAGE(seed1!C9,seed2!C9,seed3!C9,seed4!C9,seed5!C9,seed7!C9,seed8!C9,seed9!C9,seed10!C9,seed11!C9,seed12!C9,seed13!C9,seed14!C9,seed15!C9),4)</f>
        <v>13.9183</v>
      </c>
      <c r="D9" s="1">
        <f>ROUND(AVERAGE(seed1!D9,seed2!D9,seed3!D9,seed4!D9,seed5!D9,seed7!D9,seed8!D9,seed9!D9,seed10!D9,seed11!D9,seed12!D9,seed13!D9,seed14!D9,seed15!D9),4)</f>
        <v>14.879</v>
      </c>
      <c r="E9" s="1">
        <f>ROUND(AVERAGE(seed1!E9,seed2!E9,seed3!E9,seed4!E9,seed5!E9,seed7!E9,seed8!E9,seed9!E9,seed10!E9,seed11!E9,seed12!E9,seed13!E9,seed14!E9,seed15!E9),4)</f>
        <v>14.375500000000001</v>
      </c>
    </row>
    <row r="10" spans="2:5">
      <c r="B10" s="1">
        <v>0.6</v>
      </c>
      <c r="C10" s="1">
        <f>ROUND(AVERAGE(seed1!C10,seed2!C10,seed3!C10,seed4!C10,seed5!C10,seed7!C10,seed8!C10,seed9!C10,seed10!C10,seed11!C10,seed12!C10,seed13!C10,seed14!C10,seed15!C10),4)</f>
        <v>13.605600000000001</v>
      </c>
      <c r="D10" s="1">
        <f>ROUND(AVERAGE(seed1!D10,seed2!D10,seed3!D10,seed4!D10,seed5!D10,seed7!D10,seed8!D10,seed9!D10,seed10!D10,seed11!D10,seed12!D10,seed13!D10,seed14!D10,seed15!D10),4)</f>
        <v>15.3901</v>
      </c>
      <c r="E10" s="1">
        <f>ROUND(AVERAGE(seed1!E10,seed2!E10,seed3!E10,seed4!E10,seed5!E10,seed7!E10,seed8!E10,seed9!E10,seed10!E10,seed11!E10,seed12!E10,seed13!E10,seed14!E10,seed15!E10),4)</f>
        <v>14.4377</v>
      </c>
    </row>
    <row r="11" spans="2:5">
      <c r="B11" s="1">
        <v>0.7</v>
      </c>
      <c r="C11" s="1">
        <f>ROUND(AVERAGE(seed1!C11,seed2!C11,seed3!C11,seed4!C11,seed5!C11,seed7!C11,seed8!C11,seed9!C11,seed10!C11,seed11!C11,seed12!C11,seed13!C11,seed14!C11,seed15!C11),4)</f>
        <v>13.0661</v>
      </c>
      <c r="D11" s="1">
        <f>ROUND(AVERAGE(seed1!D11,seed2!D11,seed3!D11,seed4!D11,seed5!D11,seed7!D11,seed8!D11,seed9!D11,seed10!D11,seed11!D11,seed12!D11,seed13!D11,seed14!D11,seed15!D11),4)</f>
        <v>16.2639</v>
      </c>
      <c r="E11" s="1">
        <f>ROUND(AVERAGE(seed1!E11,seed2!E11,seed3!E11,seed4!E11,seed5!E11,seed7!E11,seed8!E11,seed9!E11,seed10!E11,seed11!E11,seed12!E11,seed13!E11,seed14!E11,seed15!E11),4)</f>
        <v>14.504799999999999</v>
      </c>
    </row>
    <row r="12" spans="2:5">
      <c r="B12" s="1">
        <v>0.8</v>
      </c>
      <c r="C12" s="1">
        <f>ROUND(AVERAGE(seed1!C12,seed2!C12,seed3!C12,seed4!C12,seed5!C12,seed7!C12,seed8!C12,seed9!C12,seed10!C12,seed11!C12,seed12!C12,seed13!C12,seed14!C12,seed15!C12),4)</f>
        <v>11.898400000000001</v>
      </c>
      <c r="D12" s="1">
        <f>ROUND(AVERAGE(seed1!D12,seed2!D12,seed3!D12,seed4!D12,seed5!D12,seed7!D12,seed8!D12,seed9!D12,seed10!D12,seed11!D12,seed12!D12,seed13!D12,seed14!D12,seed15!D12),4)</f>
        <v>16.591999999999999</v>
      </c>
      <c r="E12" s="1">
        <f>ROUND(AVERAGE(seed1!E12,seed2!E12,seed3!E12,seed4!E12,seed5!E12,seed7!E12,seed8!E12,seed9!E12,seed10!E12,seed11!E12,seed12!E12,seed13!E12,seed14!E12,seed15!E12),4)</f>
        <v>13.9382</v>
      </c>
    </row>
    <row r="13" spans="2:5">
      <c r="B13" s="1">
        <v>0.9</v>
      </c>
      <c r="C13" s="1">
        <f>ROUND(AVERAGE(seed1!C13,seed2!C13,seed3!C13,seed4!C13,seed5!C13,seed7!C13,seed8!C13,seed9!C13,seed10!C13,seed11!C13,seed12!C13,seed13!C13,seed14!C13,seed15!C13),4)</f>
        <v>11.4376</v>
      </c>
      <c r="D13" s="1">
        <f>ROUND(AVERAGE(seed1!D13,seed2!D13,seed3!D13,seed4!D13,seed5!D13,seed7!D13,seed8!D13,seed9!D13,seed10!D13,seed11!D13,seed12!D13,seed13!D13,seed14!D13,seed15!D13),4)</f>
        <v>16.669699999999999</v>
      </c>
      <c r="E13" s="1">
        <f>ROUND(AVERAGE(seed1!E13,seed2!E13,seed3!E13,seed4!E13,seed5!E13,seed7!E13,seed8!E13,seed9!E13,seed10!E13,seed11!E13,seed12!E13,seed13!E13,seed14!E13,seed15!E13),4)</f>
        <v>13.693</v>
      </c>
    </row>
    <row r="14" spans="2:5">
      <c r="B14" s="1">
        <v>1</v>
      </c>
      <c r="C14" s="1">
        <f>ROUND(AVERAGE(seed1!C14,seed2!C14,seed3!C14,seed4!C14,seed5!C14,seed7!C14,seed8!C14,seed9!C14,seed10!C14,seed11!C14,seed12!C14,seed13!C14,seed14!C14,seed15!C14),4)</f>
        <v>11.440799999999999</v>
      </c>
      <c r="D14" s="1">
        <f>ROUND(AVERAGE(seed1!D14,seed2!D14,seed3!D14,seed4!D14,seed5!D14,seed7!D14,seed8!D14,seed9!D14,seed10!D14,seed11!D14,seed12!D14,seed13!D14,seed14!D14,seed15!D14),4)</f>
        <v>16.670000000000002</v>
      </c>
      <c r="E14" s="1">
        <f>ROUND(AVERAGE(seed1!E14,seed2!E14,seed3!E14,seed4!E14,seed5!E14,seed7!E14,seed8!E14,seed9!E14,seed10!E14,seed11!E14,seed12!E14,seed13!E14,seed14!E14,seed15!E14),4)</f>
        <v>13.694900000000001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seed1</vt:lpstr>
      <vt:lpstr>seed2</vt:lpstr>
      <vt:lpstr>seed3</vt:lpstr>
      <vt:lpstr>seed4</vt:lpstr>
      <vt:lpstr>seed5</vt:lpstr>
      <vt:lpstr>average1-5</vt:lpstr>
      <vt:lpstr>seed7</vt:lpstr>
      <vt:lpstr>seed8</vt:lpstr>
      <vt:lpstr>seed9</vt:lpstr>
      <vt:lpstr>seed10</vt:lpstr>
      <vt:lpstr>average1-10</vt:lpstr>
      <vt:lpstr>seed11</vt:lpstr>
      <vt:lpstr>seed12</vt:lpstr>
      <vt:lpstr>seed13</vt:lpstr>
      <vt:lpstr>seed14</vt:lpstr>
      <vt:lpstr>seed15</vt:lpstr>
      <vt:lpstr>average1-15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2023-12-12T04:00:25Z</dcterms:created>
  <dcterms:modified xsi:type="dcterms:W3CDTF">2023-12-20T17:04:45Z</dcterms:modified>
</cp:coreProperties>
</file>