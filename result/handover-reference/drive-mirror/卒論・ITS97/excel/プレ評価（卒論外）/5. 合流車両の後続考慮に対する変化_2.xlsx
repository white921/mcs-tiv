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F8E8D45A-F1F7-0E48-AEB6-A58ECF7EEBFF}" xr6:coauthVersionLast="47" xr6:coauthVersionMax="47" xr10:uidLastSave="{00000000-0000-0000-0000-000000000000}"/>
  <bookViews>
    <workbookView xWindow="8520" yWindow="0" windowWidth="20280" windowHeight="18000" activeTab="5" xr2:uid="{98AEA02C-8875-5F43-BA8C-26412763ECBF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average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D4" i="6"/>
  <c r="E4" i="6"/>
  <c r="C4" i="6"/>
</calcChain>
</file>

<file path=xl/sharedStrings.xml><?xml version="1.0" encoding="utf-8"?>
<sst xmlns="http://schemas.openxmlformats.org/spreadsheetml/2006/main" count="39" uniqueCount="11">
  <si>
    <t>α</t>
  </si>
  <si>
    <t>vehicle0</t>
  </si>
  <si>
    <t>vehicle1</t>
  </si>
  <si>
    <t>all</t>
  </si>
  <si>
    <t>合流位置200m</t>
    <rPh sb="0" eb="4">
      <t>ゴウリュウ</t>
    </rPh>
    <phoneticPr fontId="1"/>
  </si>
  <si>
    <t>mac</t>
    <phoneticPr fontId="1"/>
  </si>
  <si>
    <t>hpc</t>
    <phoneticPr fontId="1"/>
  </si>
  <si>
    <t>後続考慮あり</t>
    <rPh sb="0" eb="4">
      <t>コウゾク</t>
    </rPh>
    <phoneticPr fontId="1"/>
  </si>
  <si>
    <t>合流100m手前</t>
    <rPh sb="0" eb="2">
      <t>ゴウリュウ</t>
    </rPh>
    <rPh sb="6" eb="8">
      <t>テマエ</t>
    </rPh>
    <phoneticPr fontId="1"/>
  </si>
  <si>
    <t>合流200m手前</t>
    <rPh sb="0" eb="2">
      <t>ゴウリュウ</t>
    </rPh>
    <rPh sb="6" eb="8">
      <t>テマエ</t>
    </rPh>
    <phoneticPr fontId="1"/>
  </si>
  <si>
    <t>α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</si>
</sst>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B85B-79E7-2340-A0D1-98427B5CAD54}">
  <dimension ref="B2:E16"/>
  <sheetViews>
    <sheetView workbookViewId="0">
      <selection activeCell="F13" sqref="F13"/>
    </sheetView>
  </sheetViews>
  <sheetFormatPr baseColWidth="10" defaultRowHeight="20"/>
  <sheetData>
    <row r="2" spans="2:5">
      <c r="B2" t="s">
        <v>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>
        <v>0</v>
      </c>
      <c r="C4">
        <v>11.5436</v>
      </c>
      <c r="D4">
        <v>14.1593</v>
      </c>
      <c r="E4">
        <v>12.737</v>
      </c>
    </row>
    <row r="5" spans="2:5">
      <c r="B5">
        <v>0.1</v>
      </c>
      <c r="C5">
        <v>11.5436</v>
      </c>
      <c r="D5">
        <v>14.1593</v>
      </c>
      <c r="E5">
        <v>12.737</v>
      </c>
    </row>
    <row r="6" spans="2:5">
      <c r="B6">
        <v>0.2</v>
      </c>
      <c r="C6">
        <v>11.5436</v>
      </c>
      <c r="D6">
        <v>14.1593</v>
      </c>
      <c r="E6">
        <v>12.737</v>
      </c>
    </row>
    <row r="7" spans="2:5">
      <c r="B7">
        <v>0.3</v>
      </c>
      <c r="C7">
        <v>12.153499999999999</v>
      </c>
      <c r="D7">
        <v>13.056100000000001</v>
      </c>
      <c r="E7">
        <v>12.577400000000001</v>
      </c>
    </row>
    <row r="8" spans="2:5">
      <c r="B8">
        <v>0.4</v>
      </c>
      <c r="C8">
        <v>11.9633</v>
      </c>
      <c r="D8">
        <v>13.2994</v>
      </c>
      <c r="E8">
        <v>12.5908</v>
      </c>
    </row>
    <row r="9" spans="2:5">
      <c r="B9">
        <v>0.5</v>
      </c>
      <c r="C9">
        <v>11.536099999999999</v>
      </c>
      <c r="D9">
        <v>14.0358</v>
      </c>
      <c r="E9">
        <v>12.6975</v>
      </c>
    </row>
    <row r="10" spans="2:5">
      <c r="B10">
        <v>0.6</v>
      </c>
      <c r="C10">
        <v>10.781700000000001</v>
      </c>
      <c r="D10">
        <v>15.9795</v>
      </c>
      <c r="E10">
        <v>13.071099999999999</v>
      </c>
    </row>
    <row r="11" spans="2:5">
      <c r="B11">
        <v>0.7</v>
      </c>
      <c r="C11">
        <v>10.048400000000001</v>
      </c>
      <c r="D11">
        <v>16.531500000000001</v>
      </c>
      <c r="E11">
        <v>12.825900000000001</v>
      </c>
    </row>
    <row r="12" spans="2:5">
      <c r="B12">
        <v>0.8</v>
      </c>
      <c r="C12">
        <v>9.2417999999999996</v>
      </c>
      <c r="D12">
        <v>16.409700000000001</v>
      </c>
      <c r="E12">
        <v>12.170500000000001</v>
      </c>
    </row>
    <row r="13" spans="2:5">
      <c r="B13">
        <v>0.9</v>
      </c>
      <c r="C13">
        <v>8.8981999999999992</v>
      </c>
      <c r="D13">
        <v>16.5777</v>
      </c>
      <c r="E13">
        <v>12.0359</v>
      </c>
    </row>
    <row r="14" spans="2:5">
      <c r="B14">
        <v>1</v>
      </c>
      <c r="C14">
        <v>8.8981999999999992</v>
      </c>
      <c r="D14">
        <v>16.5777</v>
      </c>
      <c r="E14">
        <v>12.0359</v>
      </c>
    </row>
    <row r="16" spans="2:5">
      <c r="D16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1C9A-7161-EB4B-B269-EFB30ED70EAE}">
  <dimension ref="B2:E16"/>
  <sheetViews>
    <sheetView workbookViewId="0">
      <selection activeCell="E15" sqref="E15"/>
    </sheetView>
  </sheetViews>
  <sheetFormatPr baseColWidth="10" defaultRowHeight="20"/>
  <sheetData>
    <row r="2" spans="2:5">
      <c r="B2" t="s">
        <v>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>
        <v>0</v>
      </c>
      <c r="C4">
        <v>14.539899999999999</v>
      </c>
      <c r="D4">
        <v>11.904999999999999</v>
      </c>
      <c r="E4">
        <v>13.1371</v>
      </c>
    </row>
    <row r="5" spans="2:5">
      <c r="B5">
        <v>0.1</v>
      </c>
      <c r="C5">
        <v>14.539899999999999</v>
      </c>
      <c r="D5">
        <v>11.904999999999999</v>
      </c>
      <c r="E5">
        <v>13.1371</v>
      </c>
    </row>
    <row r="6" spans="2:5">
      <c r="B6">
        <v>0.2</v>
      </c>
      <c r="C6">
        <v>14.539899999999999</v>
      </c>
      <c r="D6">
        <v>11.904999999999999</v>
      </c>
      <c r="E6">
        <v>13.1371</v>
      </c>
    </row>
    <row r="7" spans="2:5">
      <c r="B7">
        <v>0.3</v>
      </c>
      <c r="C7">
        <v>13.955299999999999</v>
      </c>
      <c r="D7">
        <v>13.0045</v>
      </c>
      <c r="E7">
        <v>13.4575</v>
      </c>
    </row>
    <row r="8" spans="2:5">
      <c r="B8">
        <v>0.4</v>
      </c>
      <c r="C8">
        <v>13.936299999999999</v>
      </c>
      <c r="D8">
        <v>13.246</v>
      </c>
      <c r="E8">
        <v>13.5749</v>
      </c>
    </row>
    <row r="9" spans="2:5">
      <c r="B9">
        <v>0.5</v>
      </c>
      <c r="C9">
        <v>11.795400000000001</v>
      </c>
      <c r="D9">
        <v>15.795999999999999</v>
      </c>
      <c r="E9">
        <v>13.631</v>
      </c>
    </row>
    <row r="10" spans="2:5">
      <c r="B10">
        <v>0.6</v>
      </c>
      <c r="C10">
        <v>11.6631</v>
      </c>
      <c r="D10">
        <v>16.2013</v>
      </c>
      <c r="E10">
        <v>13.7296</v>
      </c>
    </row>
    <row r="11" spans="2:5">
      <c r="B11">
        <v>0.7</v>
      </c>
      <c r="C11">
        <v>11.4938</v>
      </c>
      <c r="D11">
        <v>16.296299999999999</v>
      </c>
      <c r="E11">
        <v>13.6807</v>
      </c>
    </row>
    <row r="12" spans="2:5">
      <c r="B12">
        <v>0.8</v>
      </c>
      <c r="C12">
        <v>11.3636</v>
      </c>
      <c r="D12">
        <v>16.5456</v>
      </c>
      <c r="E12">
        <v>13.7158</v>
      </c>
    </row>
    <row r="13" spans="2:5">
      <c r="B13">
        <v>0.9</v>
      </c>
      <c r="C13">
        <v>11.0572</v>
      </c>
      <c r="D13">
        <v>16.619900000000001</v>
      </c>
      <c r="E13">
        <v>13.5822</v>
      </c>
    </row>
    <row r="14" spans="2:5">
      <c r="B14">
        <v>1</v>
      </c>
      <c r="C14">
        <v>8.7639499999999995</v>
      </c>
      <c r="D14">
        <v>16.670000000000002</v>
      </c>
      <c r="E14">
        <v>12.0534</v>
      </c>
    </row>
    <row r="16" spans="2:5">
      <c r="D16" t="s">
        <v>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7165-9F57-DD4E-B5BA-25562736B8C8}">
  <dimension ref="B2:E16"/>
  <sheetViews>
    <sheetView workbookViewId="0">
      <selection activeCell="B2" sqref="B2"/>
    </sheetView>
  </sheetViews>
  <sheetFormatPr baseColWidth="10" defaultRowHeight="20"/>
  <sheetData>
    <row r="2" spans="2:5">
      <c r="B2" t="s">
        <v>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>
        <v>0</v>
      </c>
      <c r="C4">
        <v>14.581799999999999</v>
      </c>
      <c r="D4">
        <v>15.4292</v>
      </c>
      <c r="E4">
        <v>15.0124</v>
      </c>
    </row>
    <row r="5" spans="2:5">
      <c r="B5">
        <v>0.1</v>
      </c>
      <c r="C5">
        <v>14.581799999999999</v>
      </c>
      <c r="D5">
        <v>15.4292</v>
      </c>
      <c r="E5">
        <v>15.0124</v>
      </c>
    </row>
    <row r="6" spans="2:5">
      <c r="B6">
        <v>0.2</v>
      </c>
      <c r="C6">
        <v>14.581799999999999</v>
      </c>
      <c r="D6">
        <v>15.4292</v>
      </c>
      <c r="E6">
        <v>15.0124</v>
      </c>
    </row>
    <row r="7" spans="2:5">
      <c r="B7">
        <v>0.3</v>
      </c>
      <c r="C7">
        <v>14.581799999999999</v>
      </c>
      <c r="D7">
        <v>15.4292</v>
      </c>
      <c r="E7">
        <v>15.0124</v>
      </c>
    </row>
    <row r="8" spans="2:5">
      <c r="B8">
        <v>0.4</v>
      </c>
      <c r="C8">
        <v>14.581799999999999</v>
      </c>
      <c r="D8">
        <v>15.4292</v>
      </c>
      <c r="E8">
        <v>15.0124</v>
      </c>
    </row>
    <row r="9" spans="2:5">
      <c r="B9">
        <v>0.5</v>
      </c>
      <c r="C9">
        <v>14.581799999999999</v>
      </c>
      <c r="D9">
        <v>15.4292</v>
      </c>
      <c r="E9">
        <v>15.0124</v>
      </c>
    </row>
    <row r="10" spans="2:5">
      <c r="B10">
        <v>0.6</v>
      </c>
      <c r="C10">
        <v>14.577500000000001</v>
      </c>
      <c r="D10">
        <v>15.4383</v>
      </c>
      <c r="E10">
        <v>15.014900000000001</v>
      </c>
    </row>
    <row r="11" spans="2:5">
      <c r="B11">
        <v>0.7</v>
      </c>
      <c r="C11">
        <v>14.5357</v>
      </c>
      <c r="D11">
        <v>15.548500000000001</v>
      </c>
      <c r="E11">
        <v>15.0503</v>
      </c>
    </row>
    <row r="12" spans="2:5">
      <c r="B12">
        <v>0.8</v>
      </c>
      <c r="C12">
        <v>10.290699999999999</v>
      </c>
      <c r="D12">
        <v>16.462800000000001</v>
      </c>
      <c r="E12">
        <v>13.0693</v>
      </c>
    </row>
    <row r="13" spans="2:5">
      <c r="B13">
        <v>0.9</v>
      </c>
      <c r="C13">
        <v>9.8138000000000005</v>
      </c>
      <c r="D13">
        <v>16.647500000000001</v>
      </c>
      <c r="E13">
        <v>12.8902</v>
      </c>
    </row>
    <row r="14" spans="2:5">
      <c r="B14">
        <v>1</v>
      </c>
      <c r="C14">
        <v>9.8138000000000005</v>
      </c>
      <c r="D14">
        <v>16.647500000000001</v>
      </c>
      <c r="E14">
        <v>12.8902</v>
      </c>
    </row>
    <row r="16" spans="2:5">
      <c r="D16" t="s">
        <v>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BB86-419C-5041-B046-5A9668F5BAD0}">
  <dimension ref="B2:E16"/>
  <sheetViews>
    <sheetView workbookViewId="0">
      <selection activeCell="C13" sqref="C13:E14"/>
    </sheetView>
  </sheetViews>
  <sheetFormatPr baseColWidth="10" defaultRowHeight="20"/>
  <sheetData>
    <row r="2" spans="2:5">
      <c r="B2" t="s">
        <v>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>
        <v>0</v>
      </c>
      <c r="C4">
        <v>12.251799999999999</v>
      </c>
      <c r="D4">
        <v>14.623699999999999</v>
      </c>
      <c r="E4">
        <v>13.3329</v>
      </c>
    </row>
    <row r="5" spans="2:5">
      <c r="B5">
        <v>0.1</v>
      </c>
      <c r="C5">
        <v>12.251799999999999</v>
      </c>
      <c r="D5">
        <v>14.623699999999999</v>
      </c>
      <c r="E5">
        <v>13.3329</v>
      </c>
    </row>
    <row r="6" spans="2:5">
      <c r="B6">
        <v>0.2</v>
      </c>
      <c r="C6">
        <v>12.251799999999999</v>
      </c>
      <c r="D6">
        <v>14.623699999999999</v>
      </c>
      <c r="E6">
        <v>13.3329</v>
      </c>
    </row>
    <row r="7" spans="2:5">
      <c r="B7">
        <v>0.3</v>
      </c>
      <c r="C7">
        <v>12.251799999999999</v>
      </c>
      <c r="D7">
        <v>14.623699999999999</v>
      </c>
      <c r="E7">
        <v>13.3329</v>
      </c>
    </row>
    <row r="8" spans="2:5">
      <c r="B8">
        <v>0.4</v>
      </c>
      <c r="C8">
        <v>12.251799999999999</v>
      </c>
      <c r="D8">
        <v>14.623699999999999</v>
      </c>
      <c r="E8">
        <v>13.3329</v>
      </c>
    </row>
    <row r="9" spans="2:5">
      <c r="B9">
        <v>0.5</v>
      </c>
      <c r="C9">
        <v>12.1464</v>
      </c>
      <c r="D9">
        <v>14.8033</v>
      </c>
      <c r="E9">
        <v>13.3574</v>
      </c>
    </row>
    <row r="10" spans="2:5">
      <c r="B10">
        <v>0.6</v>
      </c>
      <c r="C10">
        <v>12.2957</v>
      </c>
      <c r="D10">
        <v>15.8215</v>
      </c>
      <c r="E10">
        <v>13.8711</v>
      </c>
    </row>
    <row r="11" spans="2:5">
      <c r="B11">
        <v>0.7</v>
      </c>
      <c r="C11">
        <v>11.712400000000001</v>
      </c>
      <c r="D11">
        <v>16.216699999999999</v>
      </c>
      <c r="E11">
        <v>13.707100000000001</v>
      </c>
    </row>
    <row r="12" spans="2:5">
      <c r="B12">
        <v>0.8</v>
      </c>
      <c r="C12">
        <v>12.071</v>
      </c>
      <c r="D12">
        <v>16.079799999999999</v>
      </c>
      <c r="E12">
        <v>13.8604</v>
      </c>
    </row>
    <row r="13" spans="2:5">
      <c r="B13">
        <v>0.9</v>
      </c>
      <c r="C13">
        <v>9.9876000000000005</v>
      </c>
      <c r="D13">
        <v>16.626300000000001</v>
      </c>
      <c r="E13">
        <v>12.757400000000001</v>
      </c>
    </row>
    <row r="14" spans="2:5">
      <c r="B14">
        <v>1</v>
      </c>
      <c r="C14">
        <v>9.9876000000000005</v>
      </c>
      <c r="D14">
        <v>16.626300000000001</v>
      </c>
      <c r="E14">
        <v>12.757400000000001</v>
      </c>
    </row>
    <row r="16" spans="2:5">
      <c r="D16" t="s">
        <v>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ED5F-AF52-6A45-A857-EB681CA06FA3}">
  <dimension ref="B2:E16"/>
  <sheetViews>
    <sheetView workbookViewId="0">
      <selection activeCell="E15" sqref="E15"/>
    </sheetView>
  </sheetViews>
  <sheetFormatPr baseColWidth="10" defaultRowHeight="20"/>
  <sheetData>
    <row r="2" spans="2:5">
      <c r="B2" t="s">
        <v>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>
        <v>0</v>
      </c>
      <c r="C4">
        <v>12.233599999999999</v>
      </c>
      <c r="D4">
        <v>13.800700000000001</v>
      </c>
      <c r="E4">
        <v>12.936999999999999</v>
      </c>
    </row>
    <row r="5" spans="2:5">
      <c r="B5">
        <v>0.1</v>
      </c>
      <c r="C5">
        <v>12.233599999999999</v>
      </c>
      <c r="D5">
        <v>13.800700000000001</v>
      </c>
      <c r="E5">
        <v>12.936999999999999</v>
      </c>
    </row>
    <row r="6" spans="2:5">
      <c r="B6">
        <v>0.2</v>
      </c>
      <c r="C6">
        <v>12.233599999999999</v>
      </c>
      <c r="D6">
        <v>13.800700000000001</v>
      </c>
      <c r="E6">
        <v>12.936999999999999</v>
      </c>
    </row>
    <row r="7" spans="2:5">
      <c r="B7">
        <v>0.3</v>
      </c>
      <c r="C7">
        <v>12.233599999999999</v>
      </c>
      <c r="D7">
        <v>13.800700000000001</v>
      </c>
      <c r="E7">
        <v>12.936999999999999</v>
      </c>
    </row>
    <row r="8" spans="2:5">
      <c r="B8">
        <v>0.4</v>
      </c>
      <c r="C8">
        <v>12.144</v>
      </c>
      <c r="D8">
        <v>13.671900000000001</v>
      </c>
      <c r="E8">
        <v>12.829800000000001</v>
      </c>
    </row>
    <row r="9" spans="2:5">
      <c r="B9">
        <v>0.5</v>
      </c>
      <c r="C9">
        <v>11.987</v>
      </c>
      <c r="D9">
        <v>14.9016</v>
      </c>
      <c r="E9">
        <v>13.2933</v>
      </c>
    </row>
    <row r="10" spans="2:5">
      <c r="B10">
        <v>0.6</v>
      </c>
      <c r="C10">
        <v>11.2926</v>
      </c>
      <c r="D10">
        <v>15.1549</v>
      </c>
      <c r="E10">
        <v>12.9894</v>
      </c>
    </row>
    <row r="11" spans="2:5">
      <c r="B11">
        <v>0.7</v>
      </c>
      <c r="C11">
        <v>11.235300000000001</v>
      </c>
      <c r="D11">
        <v>16.2392</v>
      </c>
      <c r="E11">
        <v>13.365600000000001</v>
      </c>
    </row>
    <row r="12" spans="2:5">
      <c r="B12">
        <v>0.8</v>
      </c>
      <c r="C12">
        <v>7.7226999999999997</v>
      </c>
      <c r="D12">
        <v>16.669899999999998</v>
      </c>
      <c r="E12">
        <v>11.1074</v>
      </c>
    </row>
    <row r="13" spans="2:5">
      <c r="B13">
        <v>0.9</v>
      </c>
      <c r="C13">
        <v>7.7134999999999998</v>
      </c>
      <c r="D13">
        <v>16.670000000000002</v>
      </c>
      <c r="E13">
        <v>11.101699999999999</v>
      </c>
    </row>
    <row r="14" spans="2:5">
      <c r="B14">
        <v>1</v>
      </c>
      <c r="C14">
        <v>7.7134999999999998</v>
      </c>
      <c r="D14">
        <v>16.670000000000002</v>
      </c>
      <c r="E14">
        <v>11.101699999999999</v>
      </c>
    </row>
    <row r="16" spans="2:5">
      <c r="D16" t="s">
        <v>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D767-0CD4-8542-9AEE-9306752D4359}">
  <dimension ref="B2:J14"/>
  <sheetViews>
    <sheetView tabSelected="1" workbookViewId="0">
      <selection activeCell="H4" sqref="H4:H14"/>
    </sheetView>
  </sheetViews>
  <sheetFormatPr baseColWidth="10" defaultRowHeight="20"/>
  <sheetData>
    <row r="2" spans="2:10">
      <c r="B2" t="s">
        <v>4</v>
      </c>
      <c r="F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H3" s="1" t="s">
        <v>10</v>
      </c>
      <c r="I3" t="s">
        <v>8</v>
      </c>
      <c r="J3" t="s">
        <v>9</v>
      </c>
    </row>
    <row r="4" spans="2:10">
      <c r="B4">
        <v>0</v>
      </c>
      <c r="C4">
        <f>ROUND(AVERAGE(seed1!C4,seed2!C4,seed3!C4,seed4!C4,seed5!C4),4)</f>
        <v>13.030099999999999</v>
      </c>
      <c r="D4">
        <f>ROUND(AVERAGE(seed1!D4,seed2!D4,seed3!D4,seed4!D4,seed5!D4),4)</f>
        <v>13.983599999999999</v>
      </c>
      <c r="E4">
        <f>ROUND(AVERAGE(seed1!E4,seed2!E4,seed3!E4,seed4!E4,seed5!E4),4)</f>
        <v>13.4313</v>
      </c>
      <c r="H4">
        <v>0</v>
      </c>
    </row>
    <row r="5" spans="2:10">
      <c r="B5">
        <v>0.1</v>
      </c>
      <c r="C5">
        <f>ROUND(AVERAGE(seed1!C5,seed2!C5,seed3!C5,seed4!C5,seed5!C5),4)</f>
        <v>13.030099999999999</v>
      </c>
      <c r="D5">
        <f>ROUND(AVERAGE(seed1!D5,seed2!D5,seed3!D5,seed4!D5,seed5!D5),4)</f>
        <v>13.983599999999999</v>
      </c>
      <c r="E5">
        <f>ROUND(AVERAGE(seed1!E5,seed2!E5,seed3!E5,seed4!E5,seed5!E5),4)</f>
        <v>13.4313</v>
      </c>
      <c r="H5">
        <v>0.1</v>
      </c>
    </row>
    <row r="6" spans="2:10">
      <c r="B6">
        <v>0.2</v>
      </c>
      <c r="C6">
        <f>ROUND(AVERAGE(seed1!C6,seed2!C6,seed3!C6,seed4!C6,seed5!C6),4)</f>
        <v>13.030099999999999</v>
      </c>
      <c r="D6">
        <f>ROUND(AVERAGE(seed1!D6,seed2!D6,seed3!D6,seed4!D6,seed5!D6),4)</f>
        <v>13.983599999999999</v>
      </c>
      <c r="E6">
        <f>ROUND(AVERAGE(seed1!E6,seed2!E6,seed3!E6,seed4!E6,seed5!E6),4)</f>
        <v>13.4313</v>
      </c>
      <c r="H6">
        <v>0.2</v>
      </c>
    </row>
    <row r="7" spans="2:10">
      <c r="B7">
        <v>0.3</v>
      </c>
      <c r="C7">
        <f>ROUND(AVERAGE(seed1!C7,seed2!C7,seed3!C7,seed4!C7,seed5!C7),4)</f>
        <v>13.0352</v>
      </c>
      <c r="D7">
        <f>ROUND(AVERAGE(seed1!D7,seed2!D7,seed3!D7,seed4!D7,seed5!D7),4)</f>
        <v>13.982799999999999</v>
      </c>
      <c r="E7">
        <f>ROUND(AVERAGE(seed1!E7,seed2!E7,seed3!E7,seed4!E7,seed5!E7),4)</f>
        <v>13.4634</v>
      </c>
      <c r="H7">
        <v>0.3</v>
      </c>
    </row>
    <row r="8" spans="2:10">
      <c r="B8">
        <v>0.4</v>
      </c>
      <c r="C8">
        <f>ROUND(AVERAGE(seed1!C8,seed2!C8,seed3!C8,seed4!C8,seed5!C8),4)</f>
        <v>12.9754</v>
      </c>
      <c r="D8">
        <f>ROUND(AVERAGE(seed1!D8,seed2!D8,seed3!D8,seed4!D8,seed5!D8),4)</f>
        <v>14.054</v>
      </c>
      <c r="E8">
        <f>ROUND(AVERAGE(seed1!E8,seed2!E8,seed3!E8,seed4!E8,seed5!E8),4)</f>
        <v>13.4682</v>
      </c>
      <c r="H8">
        <v>0.4</v>
      </c>
    </row>
    <row r="9" spans="2:10">
      <c r="B9">
        <v>0.5</v>
      </c>
      <c r="C9">
        <f>ROUND(AVERAGE(seed1!C9,seed2!C9,seed3!C9,seed4!C9,seed5!C9),4)</f>
        <v>12.4093</v>
      </c>
      <c r="D9">
        <f>ROUND(AVERAGE(seed1!D9,seed2!D9,seed3!D9,seed4!D9,seed5!D9),4)</f>
        <v>14.9932</v>
      </c>
      <c r="E9">
        <f>ROUND(AVERAGE(seed1!E9,seed2!E9,seed3!E9,seed4!E9,seed5!E9),4)</f>
        <v>13.5983</v>
      </c>
      <c r="H9">
        <v>0.5</v>
      </c>
    </row>
    <row r="10" spans="2:10">
      <c r="B10">
        <v>0.6</v>
      </c>
      <c r="C10">
        <f>ROUND(AVERAGE(seed1!C10,seed2!C10,seed3!C10,seed4!C10,seed5!C10),4)</f>
        <v>12.1221</v>
      </c>
      <c r="D10">
        <f>ROUND(AVERAGE(seed1!D10,seed2!D10,seed3!D10,seed4!D10,seed5!D10),4)</f>
        <v>15.719099999999999</v>
      </c>
      <c r="E10">
        <f>ROUND(AVERAGE(seed1!E10,seed2!E10,seed3!E10,seed4!E10,seed5!E10),4)</f>
        <v>13.735200000000001</v>
      </c>
      <c r="H10">
        <v>0.6</v>
      </c>
    </row>
    <row r="11" spans="2:10">
      <c r="B11">
        <v>0.7</v>
      </c>
      <c r="C11">
        <f>ROUND(AVERAGE(seed1!C11,seed2!C11,seed3!C11,seed4!C11,seed5!C11),4)</f>
        <v>11.805099999999999</v>
      </c>
      <c r="D11">
        <f>ROUND(AVERAGE(seed1!D11,seed2!D11,seed3!D11,seed4!D11,seed5!D11),4)</f>
        <v>16.166399999999999</v>
      </c>
      <c r="E11">
        <f>ROUND(AVERAGE(seed1!E11,seed2!E11,seed3!E11,seed4!E11,seed5!E11),4)</f>
        <v>13.725899999999999</v>
      </c>
      <c r="H11">
        <v>0.7</v>
      </c>
    </row>
    <row r="12" spans="2:10">
      <c r="B12">
        <v>0.8</v>
      </c>
      <c r="C12">
        <f>ROUND(AVERAGE(seed1!C12,seed2!C12,seed3!C12,seed4!C12,seed5!C12),4)</f>
        <v>10.138</v>
      </c>
      <c r="D12">
        <f>ROUND(AVERAGE(seed1!D12,seed2!D12,seed3!D12,seed4!D12,seed5!D12),4)</f>
        <v>16.433599999999998</v>
      </c>
      <c r="E12">
        <f>ROUND(AVERAGE(seed1!E12,seed2!E12,seed3!E12,seed4!E12,seed5!E12),4)</f>
        <v>12.784700000000001</v>
      </c>
      <c r="H12">
        <v>0.8</v>
      </c>
    </row>
    <row r="13" spans="2:10">
      <c r="B13">
        <v>0.9</v>
      </c>
      <c r="C13">
        <f>ROUND(AVERAGE(seed1!C13,seed2!C13,seed3!C13,seed4!C13,seed5!C13),4)</f>
        <v>9.4940999999999995</v>
      </c>
      <c r="D13">
        <f>ROUND(AVERAGE(seed1!D13,seed2!D13,seed3!D13,seed4!D13,seed5!D13),4)</f>
        <v>16.628299999999999</v>
      </c>
      <c r="E13">
        <f>ROUND(AVERAGE(seed1!E13,seed2!E13,seed3!E13,seed4!E13,seed5!E13),4)</f>
        <v>12.4735</v>
      </c>
      <c r="H13">
        <v>0.9</v>
      </c>
    </row>
    <row r="14" spans="2:10">
      <c r="B14">
        <v>1</v>
      </c>
      <c r="C14">
        <f>ROUND(AVERAGE(seed1!C14,seed2!C14,seed3!C14,seed4!C14,seed5!C14),4)</f>
        <v>9.0353999999999992</v>
      </c>
      <c r="D14">
        <f>ROUND(AVERAGE(seed1!D14,seed2!D14,seed3!D14,seed4!D14,seed5!D14),4)</f>
        <v>16.638300000000001</v>
      </c>
      <c r="E14">
        <f>ROUND(AVERAGE(seed1!E14,seed2!E14,seed3!E14,seed4!E14,seed5!E14),4)</f>
        <v>12.1677</v>
      </c>
      <c r="H1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seed4</vt:lpstr>
      <vt:lpstr>seed5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2023-12-04T03:08:02Z</dcterms:created>
  <dcterms:modified xsi:type="dcterms:W3CDTF">2023-12-07T02:53:38Z</dcterms:modified>
</cp:coreProperties>
</file>