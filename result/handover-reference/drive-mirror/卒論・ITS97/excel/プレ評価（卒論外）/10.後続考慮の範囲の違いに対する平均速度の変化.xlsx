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25D88A0B-E42F-264D-B880-1D1E102E7764}" xr6:coauthVersionLast="47" xr6:coauthVersionMax="47" xr10:uidLastSave="{00000000-0000-0000-0000-000000000000}"/>
  <bookViews>
    <workbookView xWindow="0" yWindow="0" windowWidth="28800" windowHeight="18000" firstSheet="2" activeTab="6" xr2:uid="{1FA8A75A-CF80-384A-BD2F-2138A11FCAC1}"/>
  </bookViews>
  <sheets>
    <sheet name="seed1" sheetId="1" r:id="rId1"/>
    <sheet name="seed2" sheetId="2" r:id="rId2"/>
    <sheet name="seed4" sheetId="3" r:id="rId3"/>
    <sheet name="seed5" sheetId="5" r:id="rId4"/>
    <sheet name="seed7" sheetId="6" r:id="rId5"/>
    <sheet name="average1-7" sheetId="4" r:id="rId6"/>
    <sheet name="seed8" sheetId="7" r:id="rId7"/>
    <sheet name="seed9" sheetId="8" r:id="rId8"/>
    <sheet name="seed10" sheetId="9" r:id="rId9"/>
    <sheet name="seed11" sheetId="10" r:id="rId10"/>
    <sheet name="seed12" sheetId="11" r:id="rId11"/>
    <sheet name="seed13" sheetId="12" r:id="rId12"/>
    <sheet name="seed14" sheetId="13" r:id="rId13"/>
    <sheet name="seed15" sheetId="14" r:id="rId14"/>
    <sheet name="seed16" sheetId="15" r:id="rId15"/>
    <sheet name="seed17" sheetId="16" r:id="rId16"/>
    <sheet name="seed18" sheetId="18" r:id="rId17"/>
    <sheet name="seed19" sheetId="19" r:id="rId18"/>
    <sheet name="seed20" sheetId="20" r:id="rId19"/>
    <sheet name="seed21" sheetId="21" r:id="rId20"/>
    <sheet name="seed22" sheetId="22" r:id="rId21"/>
    <sheet name="seed23" sheetId="23" r:id="rId22"/>
    <sheet name="average" sheetId="17" r:id="rId2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7" l="1"/>
  <c r="D8" i="17"/>
  <c r="E8" i="17"/>
  <c r="C9" i="17"/>
  <c r="D9" i="17"/>
  <c r="E9" i="17"/>
  <c r="C10" i="17"/>
  <c r="D10" i="17"/>
  <c r="E10" i="17"/>
  <c r="C11" i="17"/>
  <c r="D11" i="17"/>
  <c r="E11" i="17"/>
  <c r="C12" i="17"/>
  <c r="D12" i="17"/>
  <c r="E12" i="17"/>
  <c r="C13" i="17"/>
  <c r="D13" i="17"/>
  <c r="E13" i="17"/>
  <c r="C14" i="17"/>
  <c r="D14" i="17"/>
  <c r="E14" i="17"/>
  <c r="C15" i="17"/>
  <c r="D15" i="17"/>
  <c r="E15" i="17"/>
  <c r="C16" i="17"/>
  <c r="D16" i="17"/>
  <c r="E16" i="17"/>
  <c r="C17" i="17"/>
  <c r="D17" i="17"/>
  <c r="E17" i="17"/>
  <c r="C18" i="17"/>
  <c r="D18" i="17"/>
  <c r="E18" i="17"/>
  <c r="D7" i="17"/>
  <c r="E7" i="17"/>
  <c r="C7" i="17"/>
  <c r="D4" i="17"/>
  <c r="E4" i="17"/>
  <c r="C4" i="17"/>
  <c r="I20" i="4"/>
  <c r="J20" i="4"/>
  <c r="H20" i="4"/>
  <c r="H19" i="4"/>
  <c r="I19" i="4"/>
  <c r="J19" i="4"/>
  <c r="H18" i="4"/>
  <c r="I18" i="4"/>
  <c r="J18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H17" i="4"/>
  <c r="I17" i="4"/>
  <c r="J17" i="4"/>
  <c r="I4" i="4"/>
  <c r="J4" i="4"/>
  <c r="H4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D4" i="4"/>
  <c r="E4" i="4"/>
  <c r="C4" i="4"/>
</calcChain>
</file>

<file path=xl/sharedStrings.xml><?xml version="1.0" encoding="utf-8"?>
<sst xmlns="http://schemas.openxmlformats.org/spreadsheetml/2006/main" count="281" uniqueCount="20">
  <si>
    <t>d</t>
  </si>
  <si>
    <t>d</t>
    <phoneticPr fontId="1"/>
  </si>
  <si>
    <t>vehicle0</t>
  </si>
  <si>
    <t>vehicle1</t>
  </si>
  <si>
    <t>all</t>
  </si>
  <si>
    <t>1000/1000</t>
  </si>
  <si>
    <t>1000/1000</t>
    <phoneticPr fontId="1"/>
  </si>
  <si>
    <t>1250/750</t>
  </si>
  <si>
    <t>1250/750</t>
    <phoneticPr fontId="1"/>
  </si>
  <si>
    <t>a = 0.5</t>
  </si>
  <si>
    <t>a = 0.5</t>
    <phoneticPr fontId="1"/>
  </si>
  <si>
    <t>mac</t>
  </si>
  <si>
    <t>mac</t>
    <phoneticPr fontId="1"/>
  </si>
  <si>
    <t>hpc</t>
    <phoneticPr fontId="1"/>
  </si>
  <si>
    <t>excel9</t>
    <phoneticPr fontId="1"/>
  </si>
  <si>
    <t>mac/collision2</t>
    <phoneticPr fontId="1"/>
  </si>
  <si>
    <t>caution</t>
  </si>
  <si>
    <t>caution</t>
    <phoneticPr fontId="1"/>
  </si>
  <si>
    <t>veh12停止(yield15)</t>
    <phoneticPr fontId="1"/>
  </si>
  <si>
    <t>a = 0.6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</si>
</sst>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図：後続の考慮範囲の違いによる平均速度の変化</a:t>
            </a:r>
          </a:p>
        </c:rich>
      </c:tx>
      <c:layout>
        <c:manualLayout>
          <c:xMode val="edge"/>
          <c:yMode val="edge"/>
          <c:x val="0.13333333333333333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44420384951881"/>
          <c:y val="6.0509259259259263E-2"/>
          <c:w val="0.82322462817147868"/>
          <c:h val="0.63359543598716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'average1-7'!$C$3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'average1-7'!$B$4:$B$17</c:f>
              <c:numCache>
                <c:formatCode>General</c:formatCode>
                <c:ptCount val="14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</c:numCache>
            </c:numRef>
          </c:xVal>
          <c:yVal>
            <c:numRef>
              <c:f>'average1-7'!$C$4:$C$17</c:f>
              <c:numCache>
                <c:formatCode>General</c:formatCode>
                <c:ptCount val="14"/>
                <c:pt idx="0">
                  <c:v>14.5305</c:v>
                </c:pt>
                <c:pt idx="3">
                  <c:v>14.497999999999999</c:v>
                </c:pt>
                <c:pt idx="4">
                  <c:v>14.5063</c:v>
                </c:pt>
                <c:pt idx="5">
                  <c:v>14.412800000000001</c:v>
                </c:pt>
                <c:pt idx="6">
                  <c:v>14.468</c:v>
                </c:pt>
                <c:pt idx="7">
                  <c:v>14.6669</c:v>
                </c:pt>
                <c:pt idx="8">
                  <c:v>14.728300000000001</c:v>
                </c:pt>
                <c:pt idx="9">
                  <c:v>14.032</c:v>
                </c:pt>
                <c:pt idx="10">
                  <c:v>14.1974</c:v>
                </c:pt>
                <c:pt idx="11">
                  <c:v>14.0899</c:v>
                </c:pt>
                <c:pt idx="12">
                  <c:v>14.3055</c:v>
                </c:pt>
                <c:pt idx="13">
                  <c:v>14.3149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2D-D048-B8CA-201E74327ED1}"/>
            </c:ext>
          </c:extLst>
        </c:ser>
        <c:ser>
          <c:idx val="1"/>
          <c:order val="1"/>
          <c:tx>
            <c:strRef>
              <c:f>'average1-7'!$D$3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'average1-7'!$B$4:$B$17</c:f>
              <c:numCache>
                <c:formatCode>General</c:formatCode>
                <c:ptCount val="14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</c:numCache>
            </c:numRef>
          </c:xVal>
          <c:yVal>
            <c:numRef>
              <c:f>'average1-7'!$D$4:$D$17</c:f>
              <c:numCache>
                <c:formatCode>General</c:formatCode>
                <c:ptCount val="14"/>
                <c:pt idx="0">
                  <c:v>15.018700000000001</c:v>
                </c:pt>
                <c:pt idx="3">
                  <c:v>15.211399999999999</c:v>
                </c:pt>
                <c:pt idx="4">
                  <c:v>15.1198</c:v>
                </c:pt>
                <c:pt idx="5">
                  <c:v>14.966900000000001</c:v>
                </c:pt>
                <c:pt idx="6">
                  <c:v>14.995900000000001</c:v>
                </c:pt>
                <c:pt idx="7">
                  <c:v>14.732100000000001</c:v>
                </c:pt>
                <c:pt idx="8">
                  <c:v>15.394399999999999</c:v>
                </c:pt>
                <c:pt idx="9">
                  <c:v>14.9262</c:v>
                </c:pt>
                <c:pt idx="10">
                  <c:v>14.7989</c:v>
                </c:pt>
                <c:pt idx="11">
                  <c:v>14.9291</c:v>
                </c:pt>
                <c:pt idx="12">
                  <c:v>15.7037</c:v>
                </c:pt>
                <c:pt idx="13">
                  <c:v>15.1478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D-D048-B8CA-201E74327ED1}"/>
            </c:ext>
          </c:extLst>
        </c:ser>
        <c:ser>
          <c:idx val="2"/>
          <c:order val="2"/>
          <c:tx>
            <c:strRef>
              <c:f>'average1-7'!$E$3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'average1-7'!$B$4:$B$17</c:f>
              <c:numCache>
                <c:formatCode>General</c:formatCode>
                <c:ptCount val="14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</c:numCache>
            </c:numRef>
          </c:xVal>
          <c:yVal>
            <c:numRef>
              <c:f>'average1-7'!$E$4:$E$17</c:f>
              <c:numCache>
                <c:formatCode>General</c:formatCode>
                <c:ptCount val="14"/>
                <c:pt idx="0">
                  <c:v>14.760300000000001</c:v>
                </c:pt>
                <c:pt idx="3">
                  <c:v>14.8309</c:v>
                </c:pt>
                <c:pt idx="4">
                  <c:v>14.802099999999999</c:v>
                </c:pt>
                <c:pt idx="5">
                  <c:v>14.6816</c:v>
                </c:pt>
                <c:pt idx="6">
                  <c:v>14.725199999999999</c:v>
                </c:pt>
                <c:pt idx="7">
                  <c:v>14.6981</c:v>
                </c:pt>
                <c:pt idx="8">
                  <c:v>15.0443</c:v>
                </c:pt>
                <c:pt idx="9">
                  <c:v>14.4589</c:v>
                </c:pt>
                <c:pt idx="10">
                  <c:v>14.484999999999999</c:v>
                </c:pt>
                <c:pt idx="11">
                  <c:v>14.494899999999999</c:v>
                </c:pt>
                <c:pt idx="12">
                  <c:v>14.974</c:v>
                </c:pt>
                <c:pt idx="13">
                  <c:v>14.719900000000001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2D-D048-B8CA-201E74327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92239"/>
        <c:axId val="517569904"/>
      </c:scatterChart>
      <c:valAx>
        <c:axId val="1164592239"/>
        <c:scaling>
          <c:orientation val="minMax"/>
          <c:max val="180"/>
          <c:min val="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7569904"/>
        <c:crosses val="autoZero"/>
        <c:crossBetween val="midCat"/>
      </c:valAx>
      <c:valAx>
        <c:axId val="5175699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4592239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984326334208224"/>
          <c:y val="7.9281860600758244E-2"/>
          <c:w val="0.20869006999125106"/>
          <c:h val="0.19386628754738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図：後続の考慮範囲の違いによる平均速度の変化</a:t>
            </a:r>
          </a:p>
        </c:rich>
      </c:tx>
      <c:layout>
        <c:manualLayout>
          <c:xMode val="edge"/>
          <c:yMode val="edge"/>
          <c:x val="0.16666666666666666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72338145231846"/>
          <c:y val="7.4398148148148144E-2"/>
          <c:w val="0.80598840769903757"/>
          <c:h val="0.611720253718285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'average1-7'!$H$3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'average1-7'!$G$4:$G$19</c:f>
              <c:numCache>
                <c:formatCode>General</c:formatCode>
                <c:ptCount val="1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</c:numCache>
            </c:numRef>
          </c:xVal>
          <c:yVal>
            <c:numRef>
              <c:f>'average1-7'!$H$4:$H$19</c:f>
              <c:numCache>
                <c:formatCode>General</c:formatCode>
                <c:ptCount val="16"/>
                <c:pt idx="0">
                  <c:v>13.552</c:v>
                </c:pt>
                <c:pt idx="3">
                  <c:v>13.5524</c:v>
                </c:pt>
                <c:pt idx="4">
                  <c:v>13.5488</c:v>
                </c:pt>
                <c:pt idx="5">
                  <c:v>13.625500000000001</c:v>
                </c:pt>
                <c:pt idx="6">
                  <c:v>13.5686</c:v>
                </c:pt>
                <c:pt idx="7">
                  <c:v>13.577999999999999</c:v>
                </c:pt>
                <c:pt idx="8">
                  <c:v>13.5831</c:v>
                </c:pt>
                <c:pt idx="9">
                  <c:v>13.8163</c:v>
                </c:pt>
                <c:pt idx="10">
                  <c:v>14.0139</c:v>
                </c:pt>
                <c:pt idx="11">
                  <c:v>13.7852</c:v>
                </c:pt>
                <c:pt idx="12">
                  <c:v>13.654</c:v>
                </c:pt>
                <c:pt idx="13">
                  <c:v>13.848699999999999</c:v>
                </c:pt>
                <c:pt idx="14">
                  <c:v>14.0433</c:v>
                </c:pt>
                <c:pt idx="15">
                  <c:v>13.817399999999999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C8-8646-A76E-95CBD12A8043}"/>
            </c:ext>
          </c:extLst>
        </c:ser>
        <c:ser>
          <c:idx val="1"/>
          <c:order val="1"/>
          <c:tx>
            <c:strRef>
              <c:f>'average1-7'!$I$3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'average1-7'!$G$4:$G$19</c:f>
              <c:numCache>
                <c:formatCode>General</c:formatCode>
                <c:ptCount val="1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</c:numCache>
            </c:numRef>
          </c:xVal>
          <c:yVal>
            <c:numRef>
              <c:f>'average1-7'!$I$4:$I$19</c:f>
              <c:numCache>
                <c:formatCode>General</c:formatCode>
                <c:ptCount val="16"/>
                <c:pt idx="0">
                  <c:v>14.888400000000001</c:v>
                </c:pt>
                <c:pt idx="3">
                  <c:v>14.8864</c:v>
                </c:pt>
                <c:pt idx="4">
                  <c:v>14.880800000000001</c:v>
                </c:pt>
                <c:pt idx="5">
                  <c:v>14.7416</c:v>
                </c:pt>
                <c:pt idx="6">
                  <c:v>14.9488</c:v>
                </c:pt>
                <c:pt idx="7">
                  <c:v>14.9175</c:v>
                </c:pt>
                <c:pt idx="8">
                  <c:v>14.9937</c:v>
                </c:pt>
                <c:pt idx="9">
                  <c:v>15.2211</c:v>
                </c:pt>
                <c:pt idx="10">
                  <c:v>14.971500000000001</c:v>
                </c:pt>
                <c:pt idx="11">
                  <c:v>14.9407</c:v>
                </c:pt>
                <c:pt idx="12">
                  <c:v>15.3047</c:v>
                </c:pt>
                <c:pt idx="13">
                  <c:v>15.523999999999999</c:v>
                </c:pt>
                <c:pt idx="14">
                  <c:v>15.694800000000001</c:v>
                </c:pt>
                <c:pt idx="15">
                  <c:v>15.520899999999999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C8-8646-A76E-95CBD12A8043}"/>
            </c:ext>
          </c:extLst>
        </c:ser>
        <c:ser>
          <c:idx val="2"/>
          <c:order val="2"/>
          <c:tx>
            <c:strRef>
              <c:f>'average1-7'!$J$3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'average1-7'!$G$4:$G$19</c:f>
              <c:numCache>
                <c:formatCode>General</c:formatCode>
                <c:ptCount val="1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</c:numCache>
            </c:numRef>
          </c:xVal>
          <c:yVal>
            <c:numRef>
              <c:f>'average1-7'!$J$4:$J$19</c:f>
              <c:numCache>
                <c:formatCode>General</c:formatCode>
                <c:ptCount val="16"/>
                <c:pt idx="0">
                  <c:v>14.0215</c:v>
                </c:pt>
                <c:pt idx="3">
                  <c:v>14.021100000000001</c:v>
                </c:pt>
                <c:pt idx="4">
                  <c:v>14.0167</c:v>
                </c:pt>
                <c:pt idx="5">
                  <c:v>14.0177</c:v>
                </c:pt>
                <c:pt idx="6">
                  <c:v>14.056100000000001</c:v>
                </c:pt>
                <c:pt idx="7">
                  <c:v>14.050599999999999</c:v>
                </c:pt>
                <c:pt idx="8">
                  <c:v>14.081</c:v>
                </c:pt>
                <c:pt idx="9">
                  <c:v>14.301299999999999</c:v>
                </c:pt>
                <c:pt idx="10">
                  <c:v>14.334300000000001</c:v>
                </c:pt>
                <c:pt idx="11">
                  <c:v>14.182399999999999</c:v>
                </c:pt>
                <c:pt idx="12">
                  <c:v>14.213699999999999</c:v>
                </c:pt>
                <c:pt idx="13">
                  <c:v>14.4381</c:v>
                </c:pt>
                <c:pt idx="14">
                  <c:v>14.622999999999999</c:v>
                </c:pt>
                <c:pt idx="15">
                  <c:v>14.419499999999999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C8-8646-A76E-95CBD12A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260031"/>
        <c:axId val="1164267455"/>
      </c:scatterChart>
      <c:valAx>
        <c:axId val="1069260031"/>
        <c:scaling>
          <c:orientation val="minMax"/>
          <c:max val="180"/>
          <c:min val="4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4267455"/>
        <c:crosses val="autoZero"/>
        <c:crossBetween val="midCat"/>
      </c:valAx>
      <c:valAx>
        <c:axId val="11642674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926003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4565485564304457"/>
          <c:y val="9.317074948964707E-2"/>
          <c:w val="0.18369006999125109"/>
          <c:h val="0.18923665791776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average!$B$4:$B$18</c:f>
              <c:numCache>
                <c:formatCode>General</c:formatCode>
                <c:ptCount val="15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</c:numCache>
            </c:numRef>
          </c:xVal>
          <c:yVal>
            <c:numRef>
              <c:f>average!$C$4:$C$18</c:f>
              <c:numCache>
                <c:formatCode>General</c:formatCode>
                <c:ptCount val="15"/>
                <c:pt idx="0">
                  <c:v>14.5305</c:v>
                </c:pt>
                <c:pt idx="3">
                  <c:v>13.2043</c:v>
                </c:pt>
                <c:pt idx="4">
                  <c:v>13.1859</c:v>
                </c:pt>
                <c:pt idx="5">
                  <c:v>13.175599999999999</c:v>
                </c:pt>
                <c:pt idx="6">
                  <c:v>13.2081</c:v>
                </c:pt>
                <c:pt idx="7">
                  <c:v>13.269500000000001</c:v>
                </c:pt>
                <c:pt idx="8">
                  <c:v>13.2918</c:v>
                </c:pt>
                <c:pt idx="9">
                  <c:v>13.097</c:v>
                </c:pt>
                <c:pt idx="10">
                  <c:v>13.0848</c:v>
                </c:pt>
                <c:pt idx="11">
                  <c:v>12.9847</c:v>
                </c:pt>
                <c:pt idx="12">
                  <c:v>13.1586</c:v>
                </c:pt>
                <c:pt idx="13">
                  <c:v>13.214499999999999</c:v>
                </c:pt>
                <c:pt idx="14">
                  <c:v>12.6975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B-F74C-A611-15CC16D3B8EB}"/>
            </c:ext>
          </c:extLst>
        </c:ser>
        <c:ser>
          <c:idx val="1"/>
          <c:order val="1"/>
          <c:tx>
            <c:strRef>
              <c:f>average!$D$3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average!$B$4:$B$18</c:f>
              <c:numCache>
                <c:formatCode>General</c:formatCode>
                <c:ptCount val="15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</c:numCache>
            </c:numRef>
          </c:xVal>
          <c:yVal>
            <c:numRef>
              <c:f>average!$D$4:$D$18</c:f>
              <c:numCache>
                <c:formatCode>General</c:formatCode>
                <c:ptCount val="15"/>
                <c:pt idx="0">
                  <c:v>15.018700000000001</c:v>
                </c:pt>
                <c:pt idx="3">
                  <c:v>14.7597</c:v>
                </c:pt>
                <c:pt idx="4">
                  <c:v>14.6736</c:v>
                </c:pt>
                <c:pt idx="5">
                  <c:v>14.5535</c:v>
                </c:pt>
                <c:pt idx="6">
                  <c:v>14.775700000000001</c:v>
                </c:pt>
                <c:pt idx="7">
                  <c:v>14.8941</c:v>
                </c:pt>
                <c:pt idx="8">
                  <c:v>14.980499999999999</c:v>
                </c:pt>
                <c:pt idx="9">
                  <c:v>14.952400000000001</c:v>
                </c:pt>
                <c:pt idx="10">
                  <c:v>14.728</c:v>
                </c:pt>
                <c:pt idx="11">
                  <c:v>15.0158</c:v>
                </c:pt>
                <c:pt idx="12">
                  <c:v>15.2522</c:v>
                </c:pt>
                <c:pt idx="13">
                  <c:v>15.0861</c:v>
                </c:pt>
                <c:pt idx="14">
                  <c:v>14.788399999999999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B-F74C-A611-15CC16D3B8EB}"/>
            </c:ext>
          </c:extLst>
        </c:ser>
        <c:ser>
          <c:idx val="2"/>
          <c:order val="2"/>
          <c:tx>
            <c:strRef>
              <c:f>average!$E$3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average!$B$4:$B$18</c:f>
              <c:numCache>
                <c:formatCode>General</c:formatCode>
                <c:ptCount val="15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</c:numCache>
            </c:numRef>
          </c:xVal>
          <c:yVal>
            <c:numRef>
              <c:f>average!$E$4:$E$18</c:f>
              <c:numCache>
                <c:formatCode>General</c:formatCode>
                <c:ptCount val="15"/>
                <c:pt idx="0">
                  <c:v>14.760300000000001</c:v>
                </c:pt>
                <c:pt idx="3">
                  <c:v>13.9298</c:v>
                </c:pt>
                <c:pt idx="4">
                  <c:v>13.8849</c:v>
                </c:pt>
                <c:pt idx="5">
                  <c:v>13.8231</c:v>
                </c:pt>
                <c:pt idx="6">
                  <c:v>13.933400000000001</c:v>
                </c:pt>
                <c:pt idx="7">
                  <c:v>14.013299999999999</c:v>
                </c:pt>
                <c:pt idx="8">
                  <c:v>14.068099999999999</c:v>
                </c:pt>
                <c:pt idx="9">
                  <c:v>13.950200000000001</c:v>
                </c:pt>
                <c:pt idx="10">
                  <c:v>13.839</c:v>
                </c:pt>
                <c:pt idx="11">
                  <c:v>13.917199999999999</c:v>
                </c:pt>
                <c:pt idx="12">
                  <c:v>14.123699999999999</c:v>
                </c:pt>
                <c:pt idx="13">
                  <c:v>14.0779</c:v>
                </c:pt>
                <c:pt idx="14">
                  <c:v>13.655099999999999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DB-F74C-A611-15CC16D3B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506095"/>
        <c:axId val="1942067455"/>
      </c:scatterChart>
      <c:valAx>
        <c:axId val="1942506095"/>
        <c:scaling>
          <c:orientation val="minMax"/>
          <c:max val="17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2067455"/>
        <c:crosses val="autoZero"/>
        <c:crossBetween val="midCat"/>
      </c:valAx>
      <c:valAx>
        <c:axId val="1942067455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250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average!$G$7:$G$18</c:f>
              <c:numCache>
                <c:formatCode>General</c:formatCode>
                <c:ptCount val="12"/>
                <c:pt idx="0">
                  <c:v>170</c:v>
                </c:pt>
                <c:pt idx="1">
                  <c:v>160</c:v>
                </c:pt>
                <c:pt idx="2">
                  <c:v>150</c:v>
                </c:pt>
                <c:pt idx="3">
                  <c:v>140</c:v>
                </c:pt>
                <c:pt idx="4">
                  <c:v>130</c:v>
                </c:pt>
                <c:pt idx="5">
                  <c:v>120</c:v>
                </c:pt>
                <c:pt idx="6">
                  <c:v>110</c:v>
                </c:pt>
                <c:pt idx="7">
                  <c:v>100</c:v>
                </c:pt>
                <c:pt idx="8">
                  <c:v>90</c:v>
                </c:pt>
                <c:pt idx="9">
                  <c:v>80</c:v>
                </c:pt>
                <c:pt idx="10">
                  <c:v>70</c:v>
                </c:pt>
                <c:pt idx="11">
                  <c:v>60</c:v>
                </c:pt>
              </c:numCache>
            </c:numRef>
          </c:xVal>
          <c:yVal>
            <c:numRef>
              <c:f>average!$H$7:$H$18</c:f>
              <c:numCache>
                <c:formatCode>General</c:formatCode>
                <c:ptCount val="12"/>
                <c:pt idx="0">
                  <c:v>13.9298</c:v>
                </c:pt>
                <c:pt idx="1">
                  <c:v>13.8849</c:v>
                </c:pt>
                <c:pt idx="2">
                  <c:v>13.8231</c:v>
                </c:pt>
                <c:pt idx="3">
                  <c:v>13.933400000000001</c:v>
                </c:pt>
                <c:pt idx="4">
                  <c:v>14.013299999999999</c:v>
                </c:pt>
                <c:pt idx="5">
                  <c:v>14.068099999999999</c:v>
                </c:pt>
                <c:pt idx="6">
                  <c:v>13.950200000000001</c:v>
                </c:pt>
                <c:pt idx="7">
                  <c:v>13.839</c:v>
                </c:pt>
                <c:pt idx="8">
                  <c:v>13.917199999999999</c:v>
                </c:pt>
                <c:pt idx="9">
                  <c:v>14.123699999999999</c:v>
                </c:pt>
                <c:pt idx="10">
                  <c:v>14.0779</c:v>
                </c:pt>
                <c:pt idx="11">
                  <c:v>13.655099999999999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C-1F47-A3FD-9B3F77E0B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881552"/>
        <c:axId val="589922720"/>
      </c:scatterChart>
      <c:valAx>
        <c:axId val="589881552"/>
        <c:scaling>
          <c:orientation val="minMax"/>
          <c:max val="18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9922720"/>
        <c:crosses val="autoZero"/>
        <c:crossBetween val="midCat"/>
      </c:valAx>
      <c:valAx>
        <c:axId val="5899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988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19</xdr:row>
      <xdr:rowOff>184150</xdr:rowOff>
    </xdr:from>
    <xdr:to>
      <xdr:col>5</xdr:col>
      <xdr:colOff>889000</xdr:colOff>
      <xdr:row>30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4E73C21-3DFF-32BB-F50E-BDC6AF51E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882650</xdr:colOff>
      <xdr:row>21</xdr:row>
      <xdr:rowOff>184150</xdr:rowOff>
    </xdr:from>
    <xdr:to>
      <xdr:col>11</xdr:col>
      <xdr:colOff>692150</xdr:colOff>
      <xdr:row>32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B46E8C6-3540-0517-2CB1-FCDD90A01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19</xdr:row>
      <xdr:rowOff>171450</xdr:rowOff>
    </xdr:from>
    <xdr:to>
      <xdr:col>7</xdr:col>
      <xdr:colOff>412750</xdr:colOff>
      <xdr:row>30</xdr:row>
      <xdr:rowOff>120650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363EC7-189A-D2B4-9E46-E16FA5405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18</xdr:row>
      <xdr:rowOff>44450</xdr:rowOff>
    </xdr:from>
    <xdr:to>
      <xdr:col>12</xdr:col>
      <xdr:colOff>247650</xdr:colOff>
      <xdr:row>28</xdr:row>
      <xdr:rowOff>247650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E8FFDFB-EA81-1600-3E6E-4DA2DA562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7927-2478-1B49-8E01-8ED8A976BA99}">
  <dimension ref="B2:O22"/>
  <sheetViews>
    <sheetView workbookViewId="0">
      <selection activeCell="B2" sqref="B2:E18"/>
    </sheetView>
  </sheetViews>
  <sheetFormatPr baseColWidth="10" defaultRowHeight="20"/>
  <sheetData>
    <row r="2" spans="2:15">
      <c r="C2" s="1" t="s">
        <v>6</v>
      </c>
      <c r="D2" s="1" t="s">
        <v>10</v>
      </c>
      <c r="E2" s="1"/>
      <c r="H2" t="s">
        <v>8</v>
      </c>
      <c r="I2" t="s">
        <v>10</v>
      </c>
    </row>
    <row r="3" spans="2:15">
      <c r="B3" t="s">
        <v>1</v>
      </c>
      <c r="C3" s="1" t="s">
        <v>2</v>
      </c>
      <c r="D3" s="1" t="s">
        <v>3</v>
      </c>
      <c r="E3" s="1" t="s">
        <v>4</v>
      </c>
      <c r="G3" t="s">
        <v>1</v>
      </c>
      <c r="H3" s="1" t="s">
        <v>2</v>
      </c>
      <c r="I3" s="1" t="s">
        <v>3</v>
      </c>
      <c r="J3" s="1" t="s">
        <v>4</v>
      </c>
    </row>
    <row r="4" spans="2:15">
      <c r="B4">
        <v>200</v>
      </c>
      <c r="C4">
        <v>14.4062</v>
      </c>
      <c r="D4">
        <v>13.6768</v>
      </c>
      <c r="E4">
        <v>14.0458</v>
      </c>
      <c r="F4" t="s">
        <v>14</v>
      </c>
      <c r="G4">
        <v>200</v>
      </c>
      <c r="H4">
        <v>11.852600000000001</v>
      </c>
      <c r="I4">
        <v>14.108000000000001</v>
      </c>
      <c r="J4">
        <v>12.654500000000001</v>
      </c>
      <c r="K4" t="s">
        <v>14</v>
      </c>
    </row>
    <row r="5" spans="2:15">
      <c r="B5">
        <v>190</v>
      </c>
      <c r="G5">
        <v>190</v>
      </c>
      <c r="M5">
        <v>12.315099999999999</v>
      </c>
      <c r="N5">
        <v>15.3535</v>
      </c>
      <c r="O5">
        <v>13.3705</v>
      </c>
    </row>
    <row r="6" spans="2:15">
      <c r="B6">
        <v>180</v>
      </c>
      <c r="G6">
        <v>180</v>
      </c>
    </row>
    <row r="7" spans="2:15">
      <c r="B7">
        <v>170</v>
      </c>
      <c r="C7">
        <v>14.4062</v>
      </c>
      <c r="D7">
        <v>13.6768</v>
      </c>
      <c r="E7">
        <v>14.0458</v>
      </c>
      <c r="G7">
        <v>170</v>
      </c>
      <c r="H7">
        <v>11.852600000000001</v>
      </c>
      <c r="I7">
        <v>14.115600000000001</v>
      </c>
      <c r="J7">
        <v>12.657299999999999</v>
      </c>
    </row>
    <row r="8" spans="2:15">
      <c r="B8">
        <v>160</v>
      </c>
      <c r="C8">
        <v>14.4062</v>
      </c>
      <c r="D8">
        <v>13.6768</v>
      </c>
      <c r="E8">
        <v>14.0458</v>
      </c>
      <c r="G8">
        <v>160</v>
      </c>
      <c r="H8">
        <v>11.852600000000001</v>
      </c>
      <c r="I8">
        <v>14.115600000000001</v>
      </c>
      <c r="J8">
        <v>12.657299999999999</v>
      </c>
    </row>
    <row r="9" spans="2:15">
      <c r="B9">
        <v>150</v>
      </c>
      <c r="C9">
        <v>14.3002</v>
      </c>
      <c r="D9">
        <v>13.998699999999999</v>
      </c>
      <c r="E9">
        <v>14.152100000000001</v>
      </c>
      <c r="F9" t="s">
        <v>14</v>
      </c>
      <c r="G9">
        <v>150</v>
      </c>
      <c r="H9">
        <v>12.218</v>
      </c>
      <c r="I9">
        <v>13.391400000000001</v>
      </c>
      <c r="J9">
        <v>12.640700000000001</v>
      </c>
      <c r="K9" t="s">
        <v>14</v>
      </c>
    </row>
    <row r="10" spans="2:15">
      <c r="B10">
        <v>140</v>
      </c>
      <c r="C10">
        <v>14.2485</v>
      </c>
      <c r="D10">
        <v>14.189399999999999</v>
      </c>
      <c r="E10">
        <v>14.2195</v>
      </c>
      <c r="G10">
        <v>140</v>
      </c>
      <c r="H10">
        <v>11.933400000000001</v>
      </c>
      <c r="I10">
        <v>14.4274</v>
      </c>
      <c r="J10">
        <v>12.832599999999999</v>
      </c>
    </row>
    <row r="11" spans="2:15">
      <c r="B11">
        <v>130</v>
      </c>
      <c r="C11">
        <v>14.2485</v>
      </c>
      <c r="D11">
        <v>14.189399999999999</v>
      </c>
      <c r="E11">
        <v>14.2195</v>
      </c>
      <c r="G11">
        <v>130</v>
      </c>
      <c r="H11">
        <v>11.933400000000001</v>
      </c>
      <c r="I11">
        <v>14.4274</v>
      </c>
      <c r="J11">
        <v>12.832599999999999</v>
      </c>
    </row>
    <row r="12" spans="2:15">
      <c r="B12">
        <v>120</v>
      </c>
      <c r="C12">
        <v>14.2485</v>
      </c>
      <c r="D12">
        <v>14.189399999999999</v>
      </c>
      <c r="E12">
        <v>14.2195</v>
      </c>
      <c r="G12">
        <v>120</v>
      </c>
      <c r="H12">
        <v>11.933400000000001</v>
      </c>
      <c r="I12">
        <v>14.4274</v>
      </c>
      <c r="J12">
        <v>12.832599999999999</v>
      </c>
    </row>
    <row r="13" spans="2:15">
      <c r="B13">
        <v>110</v>
      </c>
      <c r="C13">
        <v>14.2485</v>
      </c>
      <c r="D13">
        <v>14.189399999999999</v>
      </c>
      <c r="E13">
        <v>14.2195</v>
      </c>
      <c r="G13">
        <v>110</v>
      </c>
      <c r="H13">
        <v>12.4483</v>
      </c>
      <c r="I13">
        <v>14.119400000000001</v>
      </c>
      <c r="J13">
        <v>13.051</v>
      </c>
    </row>
    <row r="14" spans="2:15">
      <c r="B14" s="3">
        <v>100</v>
      </c>
      <c r="C14">
        <v>14.410299999999999</v>
      </c>
      <c r="D14">
        <v>13.669700000000001</v>
      </c>
      <c r="E14">
        <v>14.0444</v>
      </c>
      <c r="F14" t="s">
        <v>14</v>
      </c>
      <c r="G14">
        <v>100</v>
      </c>
      <c r="H14">
        <v>12.819800000000001</v>
      </c>
      <c r="I14">
        <v>12.7034</v>
      </c>
      <c r="J14">
        <v>12.777200000000001</v>
      </c>
      <c r="K14" t="s">
        <v>14</v>
      </c>
    </row>
    <row r="15" spans="2:15">
      <c r="B15">
        <v>90</v>
      </c>
      <c r="C15">
        <v>14.410299999999999</v>
      </c>
      <c r="D15">
        <v>13.669700000000001</v>
      </c>
      <c r="E15">
        <v>14.0444</v>
      </c>
      <c r="F15" t="s">
        <v>12</v>
      </c>
      <c r="G15">
        <v>90</v>
      </c>
      <c r="H15">
        <v>12.7196</v>
      </c>
      <c r="I15">
        <v>13.0648</v>
      </c>
      <c r="J15">
        <v>12.8454</v>
      </c>
      <c r="K15" t="s">
        <v>12</v>
      </c>
    </row>
    <row r="16" spans="2:15">
      <c r="B16">
        <v>80</v>
      </c>
      <c r="C16">
        <v>14.334899999999999</v>
      </c>
      <c r="D16">
        <v>15.086600000000001</v>
      </c>
      <c r="E16">
        <v>14.701599999999999</v>
      </c>
      <c r="F16" t="s">
        <v>12</v>
      </c>
      <c r="G16">
        <v>80</v>
      </c>
      <c r="H16">
        <v>12.819800000000001</v>
      </c>
      <c r="I16">
        <v>12.7037</v>
      </c>
      <c r="J16">
        <v>12.7774</v>
      </c>
      <c r="K16" t="s">
        <v>12</v>
      </c>
    </row>
    <row r="17" spans="2:11">
      <c r="B17">
        <v>70</v>
      </c>
      <c r="C17">
        <v>14.0389</v>
      </c>
      <c r="D17">
        <v>14.7529</v>
      </c>
      <c r="E17">
        <v>14.3893</v>
      </c>
      <c r="F17" t="s">
        <v>12</v>
      </c>
      <c r="G17">
        <v>70</v>
      </c>
      <c r="H17">
        <v>12.4436</v>
      </c>
      <c r="I17">
        <v>14.9077</v>
      </c>
      <c r="J17">
        <v>13.3284</v>
      </c>
      <c r="K17" t="s">
        <v>15</v>
      </c>
    </row>
    <row r="18" spans="2:11">
      <c r="B18">
        <v>60</v>
      </c>
      <c r="C18">
        <v>14.0389</v>
      </c>
      <c r="D18">
        <v>14.7529</v>
      </c>
      <c r="E18">
        <v>14.3893</v>
      </c>
      <c r="F18" t="s">
        <v>12</v>
      </c>
      <c r="G18">
        <v>60</v>
      </c>
      <c r="H18">
        <v>12.4436</v>
      </c>
      <c r="I18">
        <v>14.9077</v>
      </c>
      <c r="J18">
        <v>13.3284</v>
      </c>
      <c r="K18" t="s">
        <v>12</v>
      </c>
    </row>
    <row r="19" spans="2:11">
      <c r="G19">
        <v>50</v>
      </c>
      <c r="H19">
        <v>12.1982</v>
      </c>
      <c r="I19">
        <v>14.4717</v>
      </c>
      <c r="J19">
        <v>13.0191</v>
      </c>
      <c r="K19" t="s">
        <v>12</v>
      </c>
    </row>
    <row r="20" spans="2:11">
      <c r="D20" t="s">
        <v>13</v>
      </c>
      <c r="G20">
        <v>40</v>
      </c>
      <c r="H20">
        <v>12.6585</v>
      </c>
      <c r="I20">
        <v>13.3443</v>
      </c>
      <c r="J20">
        <v>12.9092</v>
      </c>
      <c r="K20" t="s">
        <v>12</v>
      </c>
    </row>
    <row r="22" spans="2:11">
      <c r="I22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6B86-DB6E-C643-99D3-A52070C07BEF}">
  <dimension ref="B2:J21"/>
  <sheetViews>
    <sheetView workbookViewId="0">
      <selection activeCell="J21" sqref="J21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1">
        <v>200</v>
      </c>
      <c r="C4" s="1">
        <v>15.2775</v>
      </c>
      <c r="D4" s="1">
        <v>15.2418</v>
      </c>
      <c r="E4" s="1">
        <v>15.2592</v>
      </c>
      <c r="F4" s="1"/>
      <c r="G4" s="1">
        <v>200</v>
      </c>
      <c r="H4" s="1">
        <v>14.7995</v>
      </c>
      <c r="I4" s="1">
        <v>15.2379</v>
      </c>
      <c r="J4" s="1">
        <v>14.9604</v>
      </c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/>
      <c r="D6" s="1"/>
      <c r="E6" s="1"/>
      <c r="F6" s="1"/>
      <c r="G6" s="1">
        <v>180</v>
      </c>
      <c r="H6" s="1"/>
      <c r="I6" s="1"/>
      <c r="J6" s="1"/>
    </row>
    <row r="7" spans="2:10">
      <c r="B7" s="1">
        <v>170</v>
      </c>
      <c r="C7" s="1">
        <v>15.2775</v>
      </c>
      <c r="D7" s="1">
        <v>15.2418</v>
      </c>
      <c r="E7" s="1">
        <v>15.2592</v>
      </c>
      <c r="F7" s="1"/>
      <c r="G7" s="1">
        <v>170</v>
      </c>
      <c r="H7" s="1">
        <v>14.7995</v>
      </c>
      <c r="I7" s="1">
        <v>15.2379</v>
      </c>
      <c r="J7" s="1">
        <v>14.9604</v>
      </c>
    </row>
    <row r="8" spans="2:10">
      <c r="B8" s="1">
        <v>160</v>
      </c>
      <c r="C8" s="1">
        <v>14.263199999999999</v>
      </c>
      <c r="D8" s="1">
        <v>16.358899999999998</v>
      </c>
      <c r="E8" s="1">
        <v>15.2882</v>
      </c>
      <c r="F8" s="1"/>
      <c r="G8" s="1">
        <v>160</v>
      </c>
      <c r="H8" s="1">
        <v>14.781599999999999</v>
      </c>
      <c r="I8" s="1">
        <v>15.2098</v>
      </c>
      <c r="J8" s="1">
        <v>14.938700000000001</v>
      </c>
    </row>
    <row r="9" spans="2:10">
      <c r="B9" s="1">
        <v>150</v>
      </c>
      <c r="C9" s="1">
        <v>14.2826</v>
      </c>
      <c r="D9" s="1">
        <v>16.379100000000001</v>
      </c>
      <c r="E9" s="1">
        <v>15.3081</v>
      </c>
      <c r="F9" s="1"/>
      <c r="G9" s="1">
        <v>150</v>
      </c>
      <c r="H9" s="1">
        <v>14.7995</v>
      </c>
      <c r="I9" s="1">
        <v>15.2379</v>
      </c>
      <c r="J9" s="1">
        <v>14.9604</v>
      </c>
    </row>
    <row r="10" spans="2:10">
      <c r="B10" s="1">
        <v>140</v>
      </c>
      <c r="C10" s="1">
        <v>14.2567</v>
      </c>
      <c r="D10" s="1">
        <v>16.3505</v>
      </c>
      <c r="E10" s="1">
        <v>15.280799999999999</v>
      </c>
      <c r="F10" s="1"/>
      <c r="G10" s="1">
        <v>140</v>
      </c>
      <c r="H10" s="1">
        <v>14.7995</v>
      </c>
      <c r="I10" s="1">
        <v>15.2379</v>
      </c>
      <c r="J10" s="1">
        <v>14.9604</v>
      </c>
    </row>
    <row r="11" spans="2:10">
      <c r="B11" s="1">
        <v>130</v>
      </c>
      <c r="C11" s="1">
        <v>15.2775</v>
      </c>
      <c r="D11" s="1">
        <v>15.2418</v>
      </c>
      <c r="E11" s="1">
        <v>15.2592</v>
      </c>
      <c r="F11" s="1"/>
      <c r="G11" s="1">
        <v>130</v>
      </c>
      <c r="H11" s="1">
        <v>14.8469</v>
      </c>
      <c r="I11" s="1">
        <v>15.0816</v>
      </c>
      <c r="J11" s="1">
        <v>14.933</v>
      </c>
    </row>
    <row r="12" spans="2:10">
      <c r="B12" s="1">
        <v>120</v>
      </c>
      <c r="C12" s="1">
        <v>15.282400000000001</v>
      </c>
      <c r="D12" s="1">
        <v>15.5678</v>
      </c>
      <c r="E12" s="1">
        <v>15.4284</v>
      </c>
      <c r="F12" s="1"/>
      <c r="G12" s="1">
        <v>120</v>
      </c>
      <c r="H12" s="1">
        <v>14.834199999999999</v>
      </c>
      <c r="I12" s="1">
        <v>15.2293</v>
      </c>
      <c r="J12" s="1">
        <v>14.979100000000001</v>
      </c>
    </row>
    <row r="13" spans="2:10">
      <c r="B13" s="1">
        <v>110</v>
      </c>
      <c r="C13" s="1">
        <v>15.2865</v>
      </c>
      <c r="D13" s="1">
        <v>15.5626</v>
      </c>
      <c r="E13" s="1">
        <v>15.4277</v>
      </c>
      <c r="F13" s="1"/>
      <c r="G13" s="1">
        <v>110</v>
      </c>
      <c r="H13" s="1">
        <v>14.8469</v>
      </c>
      <c r="I13" s="1">
        <v>15.0816</v>
      </c>
      <c r="J13" s="1">
        <v>14.933</v>
      </c>
    </row>
    <row r="14" spans="2:10">
      <c r="B14" s="1">
        <v>100</v>
      </c>
      <c r="C14" s="1">
        <v>15.2828</v>
      </c>
      <c r="D14" s="1">
        <v>15.567600000000001</v>
      </c>
      <c r="E14" s="1">
        <v>15.4284</v>
      </c>
      <c r="F14" s="1"/>
      <c r="G14" s="1">
        <v>100</v>
      </c>
      <c r="H14" s="1">
        <v>14.8957</v>
      </c>
      <c r="I14" s="1">
        <v>14.3264</v>
      </c>
      <c r="J14" s="1">
        <v>14.6869</v>
      </c>
    </row>
    <row r="15" spans="2:10">
      <c r="B15" s="1">
        <v>90</v>
      </c>
      <c r="C15" s="1">
        <v>14.4222</v>
      </c>
      <c r="D15" s="1">
        <v>16.357800000000001</v>
      </c>
      <c r="E15" s="1">
        <v>15.3688</v>
      </c>
      <c r="F15" s="1"/>
      <c r="G15" s="1">
        <v>90</v>
      </c>
      <c r="H15" s="1">
        <v>14.8665</v>
      </c>
      <c r="I15" s="1">
        <v>14.727</v>
      </c>
      <c r="J15" s="1">
        <v>14.8142</v>
      </c>
    </row>
    <row r="16" spans="2:10">
      <c r="B16" s="1">
        <v>80</v>
      </c>
      <c r="C16" s="1">
        <v>14.3825</v>
      </c>
      <c r="D16">
        <v>16.305900000000001</v>
      </c>
      <c r="E16">
        <v>15.3231</v>
      </c>
      <c r="F16" s="1"/>
      <c r="G16" s="1">
        <v>80</v>
      </c>
      <c r="H16" s="1">
        <v>14.3789</v>
      </c>
      <c r="I16" s="1">
        <v>15.984299999999999</v>
      </c>
      <c r="J16" s="1">
        <v>14.940099999999999</v>
      </c>
    </row>
    <row r="17" spans="2:10">
      <c r="B17" s="1">
        <v>70</v>
      </c>
      <c r="C17" s="1">
        <v>14.3766</v>
      </c>
      <c r="D17" s="1">
        <v>16.278199999999998</v>
      </c>
      <c r="E17" s="1">
        <v>15.306699999999999</v>
      </c>
      <c r="F17" s="1"/>
      <c r="G17" s="1">
        <v>70</v>
      </c>
      <c r="H17" s="1">
        <v>14.3789</v>
      </c>
      <c r="I17" s="1">
        <v>15.984299999999999</v>
      </c>
      <c r="J17" s="1">
        <v>14.940099999999999</v>
      </c>
    </row>
    <row r="18" spans="2:10">
      <c r="G18" s="1">
        <v>60</v>
      </c>
      <c r="H18" s="1">
        <v>14.3781</v>
      </c>
      <c r="I18" s="1">
        <v>15.9849</v>
      </c>
      <c r="J18" s="1">
        <v>14.9398</v>
      </c>
    </row>
    <row r="19" spans="2:10">
      <c r="D19" s="1" t="s">
        <v>12</v>
      </c>
      <c r="E19" s="1"/>
      <c r="G19" s="1">
        <v>50</v>
      </c>
      <c r="H19" s="1">
        <v>14.350199999999999</v>
      </c>
      <c r="I19" s="1">
        <v>16.046900000000001</v>
      </c>
      <c r="J19" s="1">
        <v>14.9434</v>
      </c>
    </row>
    <row r="20" spans="2:10">
      <c r="G20" s="1">
        <v>40</v>
      </c>
      <c r="H20" s="1">
        <v>14.7386</v>
      </c>
      <c r="I20" s="1">
        <v>15.1591</v>
      </c>
      <c r="J20" s="1">
        <v>14.8942</v>
      </c>
    </row>
    <row r="21" spans="2:10">
      <c r="I21" s="1" t="s">
        <v>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B25B-30A7-134D-847A-85C1C295E273}">
  <dimension ref="B2:N21"/>
  <sheetViews>
    <sheetView workbookViewId="0">
      <selection activeCell="J21" sqref="J21"/>
    </sheetView>
  </sheetViews>
  <sheetFormatPr baseColWidth="10" defaultRowHeight="20"/>
  <sheetData>
    <row r="2" spans="2:14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4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4">
      <c r="B4" s="2">
        <v>200</v>
      </c>
      <c r="C4" s="1">
        <v>14.859400000000001</v>
      </c>
      <c r="D4" s="1">
        <v>15.608599999999999</v>
      </c>
      <c r="E4" s="1">
        <v>15.220599999999999</v>
      </c>
      <c r="F4" s="1"/>
      <c r="G4" s="2">
        <v>200</v>
      </c>
      <c r="H4" s="1">
        <v>13.789099999999999</v>
      </c>
      <c r="I4" s="1">
        <v>13.9856</v>
      </c>
      <c r="J4" s="1">
        <v>13.860900000000001</v>
      </c>
    </row>
    <row r="5" spans="2:14">
      <c r="B5" s="2">
        <v>190</v>
      </c>
      <c r="C5" s="1"/>
      <c r="D5" s="1"/>
      <c r="E5" s="1"/>
      <c r="F5" s="1"/>
      <c r="G5" s="2">
        <v>190</v>
      </c>
      <c r="H5" s="1"/>
      <c r="I5" s="1"/>
      <c r="J5" s="1"/>
    </row>
    <row r="6" spans="2:14">
      <c r="B6" s="2">
        <v>180</v>
      </c>
      <c r="C6" s="1"/>
      <c r="D6" s="1"/>
      <c r="E6" s="1"/>
      <c r="F6" s="1"/>
      <c r="G6" s="2">
        <v>180</v>
      </c>
      <c r="H6" s="1"/>
      <c r="I6" s="1"/>
      <c r="J6" s="1"/>
    </row>
    <row r="7" spans="2:14">
      <c r="B7" s="2">
        <v>170</v>
      </c>
      <c r="C7" s="1">
        <v>15.107100000000001</v>
      </c>
      <c r="D7" s="1">
        <v>15.6166</v>
      </c>
      <c r="E7" s="1">
        <v>15.3527</v>
      </c>
      <c r="F7" s="1"/>
      <c r="G7" s="2">
        <v>170</v>
      </c>
      <c r="H7" s="1">
        <v>13.791</v>
      </c>
      <c r="I7" s="1">
        <v>13.9682</v>
      </c>
      <c r="J7" s="1">
        <v>13.855700000000001</v>
      </c>
    </row>
    <row r="8" spans="2:14">
      <c r="B8" s="2">
        <v>160</v>
      </c>
      <c r="C8" s="1">
        <v>15.109299999999999</v>
      </c>
      <c r="D8" s="1">
        <v>15.582000000000001</v>
      </c>
      <c r="E8" s="1">
        <v>15.337199999999999</v>
      </c>
      <c r="F8" s="1"/>
      <c r="G8" s="2">
        <v>160</v>
      </c>
      <c r="H8" s="1">
        <v>13.791</v>
      </c>
      <c r="I8" s="1">
        <v>13.9682</v>
      </c>
      <c r="J8" s="1">
        <v>13.855700000000001</v>
      </c>
    </row>
    <row r="9" spans="2:14">
      <c r="B9" s="2">
        <v>150</v>
      </c>
      <c r="C9" s="1">
        <v>14.8178</v>
      </c>
      <c r="D9" s="1">
        <v>15.0007</v>
      </c>
      <c r="E9" s="1">
        <v>14.906000000000001</v>
      </c>
      <c r="F9" s="1"/>
      <c r="G9" s="2">
        <v>150</v>
      </c>
      <c r="H9" s="1">
        <v>13.791</v>
      </c>
      <c r="I9" s="1">
        <v>13.9682</v>
      </c>
      <c r="J9" s="1">
        <v>13.855700000000001</v>
      </c>
    </row>
    <row r="10" spans="2:14">
      <c r="B10" s="2">
        <v>140</v>
      </c>
      <c r="C10" s="1">
        <v>15.109299999999999</v>
      </c>
      <c r="D10" s="1">
        <v>15.582000000000001</v>
      </c>
      <c r="E10" s="1">
        <v>15.337199999999999</v>
      </c>
      <c r="F10" s="1"/>
      <c r="G10" s="2">
        <v>140</v>
      </c>
      <c r="H10" s="1">
        <v>13.791</v>
      </c>
      <c r="I10" s="1">
        <v>13.9682</v>
      </c>
      <c r="J10" s="1">
        <v>13.855700000000001</v>
      </c>
    </row>
    <row r="11" spans="2:14">
      <c r="B11" s="2">
        <v>130</v>
      </c>
      <c r="C11" s="1">
        <v>14.9597</v>
      </c>
      <c r="D11" s="1">
        <v>15.461499999999999</v>
      </c>
      <c r="E11" s="1">
        <v>15.201700000000001</v>
      </c>
      <c r="F11" s="1"/>
      <c r="G11" s="2">
        <v>130</v>
      </c>
      <c r="H11" s="1">
        <v>13.791</v>
      </c>
      <c r="I11" s="1">
        <v>13.9682</v>
      </c>
      <c r="J11" s="1">
        <v>13.855700000000001</v>
      </c>
    </row>
    <row r="12" spans="2:14">
      <c r="B12" s="1">
        <v>120</v>
      </c>
      <c r="C12" s="1">
        <v>15.2088</v>
      </c>
      <c r="D12" s="1">
        <v>16.080100000000002</v>
      </c>
      <c r="E12" s="1">
        <v>15.621700000000001</v>
      </c>
      <c r="F12" s="1"/>
      <c r="G12" s="1">
        <v>120</v>
      </c>
      <c r="H12" s="1">
        <v>13.791</v>
      </c>
      <c r="I12" s="1">
        <v>13.9682</v>
      </c>
      <c r="J12" s="1">
        <v>13.855700000000001</v>
      </c>
    </row>
    <row r="13" spans="2:14">
      <c r="B13" s="1">
        <v>110</v>
      </c>
      <c r="C13" s="1">
        <v>15.2088</v>
      </c>
      <c r="D13" s="1">
        <v>16.080100000000002</v>
      </c>
      <c r="E13" s="1">
        <v>15.621700000000001</v>
      </c>
      <c r="F13" s="1"/>
      <c r="G13" s="1">
        <v>110</v>
      </c>
      <c r="H13" s="1">
        <v>13.237</v>
      </c>
      <c r="I13" s="1">
        <v>15.5052</v>
      </c>
      <c r="J13" s="1">
        <v>13.978</v>
      </c>
    </row>
    <row r="14" spans="2:14">
      <c r="B14" s="1">
        <v>100</v>
      </c>
      <c r="C14" s="1">
        <v>14.8178</v>
      </c>
      <c r="D14" s="1">
        <v>15.0007</v>
      </c>
      <c r="E14" s="1">
        <v>14.906000000000001</v>
      </c>
      <c r="F14" s="1"/>
      <c r="G14" s="1">
        <v>100</v>
      </c>
      <c r="H14" s="1">
        <v>13.237</v>
      </c>
      <c r="I14" s="1">
        <v>15.5052</v>
      </c>
      <c r="J14" s="1">
        <v>13.978</v>
      </c>
      <c r="L14" s="1"/>
      <c r="M14" s="1"/>
      <c r="N14" s="1"/>
    </row>
    <row r="15" spans="2:14">
      <c r="B15" s="1">
        <v>90</v>
      </c>
      <c r="C15" s="1">
        <v>15.109299999999999</v>
      </c>
      <c r="D15" s="1">
        <v>15.582000000000001</v>
      </c>
      <c r="E15" s="1">
        <v>15.337199999999999</v>
      </c>
      <c r="F15" s="1"/>
      <c r="G15" s="1">
        <v>90</v>
      </c>
      <c r="H15" s="1">
        <v>12.2737</v>
      </c>
      <c r="I15" s="1">
        <v>14.5779</v>
      </c>
      <c r="J15" s="1">
        <v>13.052300000000001</v>
      </c>
    </row>
    <row r="16" spans="2:14">
      <c r="B16" s="1">
        <v>80</v>
      </c>
      <c r="C16" s="1">
        <v>15.109299999999999</v>
      </c>
      <c r="D16" s="1">
        <v>15.582000000000001</v>
      </c>
      <c r="E16" s="1">
        <v>15.337199999999999</v>
      </c>
      <c r="F16" s="1"/>
      <c r="G16" s="1">
        <v>80</v>
      </c>
      <c r="H16" s="1">
        <v>12.047800000000001</v>
      </c>
      <c r="I16" s="1">
        <v>15.0566</v>
      </c>
      <c r="J16" s="1">
        <v>13.0245</v>
      </c>
    </row>
    <row r="17" spans="2:10">
      <c r="B17" s="1">
        <v>70</v>
      </c>
      <c r="C17" s="1">
        <v>14.8178</v>
      </c>
      <c r="D17" s="1">
        <v>15.0007</v>
      </c>
      <c r="E17" s="1">
        <v>14.906000000000001</v>
      </c>
      <c r="F17" s="1"/>
      <c r="G17" s="1">
        <v>70</v>
      </c>
      <c r="H17" s="1">
        <v>13.375400000000001</v>
      </c>
      <c r="I17" s="1">
        <v>14.634399999999999</v>
      </c>
      <c r="J17" s="1">
        <v>13.8186</v>
      </c>
    </row>
    <row r="18" spans="2:10">
      <c r="G18" s="1">
        <v>60</v>
      </c>
      <c r="H18" s="1">
        <v>14.3079</v>
      </c>
      <c r="I18" s="1">
        <v>15.522600000000001</v>
      </c>
      <c r="J18" s="1">
        <v>14.7286</v>
      </c>
    </row>
    <row r="19" spans="2:10">
      <c r="D19" s="1" t="s">
        <v>12</v>
      </c>
      <c r="E19" s="1"/>
      <c r="G19" s="1">
        <v>50</v>
      </c>
      <c r="H19" s="1">
        <v>13.473100000000001</v>
      </c>
      <c r="I19" s="1">
        <v>14.7196</v>
      </c>
      <c r="J19" s="1">
        <v>13.912100000000001</v>
      </c>
    </row>
    <row r="20" spans="2:10">
      <c r="G20" s="1">
        <v>40</v>
      </c>
      <c r="H20" s="1">
        <v>13.372199999999999</v>
      </c>
      <c r="I20" s="1">
        <v>14.651400000000001</v>
      </c>
      <c r="J20" s="1">
        <v>13.8225</v>
      </c>
    </row>
    <row r="21" spans="2:10">
      <c r="I21" s="1" t="s">
        <v>12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0DA8-034D-EF4C-A041-EA21B95670F3}">
  <dimension ref="B2:J21"/>
  <sheetViews>
    <sheetView workbookViewId="0">
      <selection activeCell="E7" sqref="E7:E17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2">
        <v>200</v>
      </c>
      <c r="C4" s="1">
        <v>15.3392</v>
      </c>
      <c r="D4" s="1">
        <v>14.959099999999999</v>
      </c>
      <c r="E4" s="1">
        <v>15.163600000000001</v>
      </c>
      <c r="F4" s="1"/>
      <c r="G4" s="2">
        <v>200</v>
      </c>
      <c r="H4" s="1">
        <v>15.823</v>
      </c>
      <c r="I4" s="1">
        <v>15.751200000000001</v>
      </c>
      <c r="J4" s="1">
        <v>15.7981</v>
      </c>
    </row>
    <row r="5" spans="2:10">
      <c r="B5" s="2">
        <v>190</v>
      </c>
      <c r="C5" s="1"/>
      <c r="D5" s="1"/>
      <c r="E5" s="1"/>
      <c r="F5" s="1"/>
      <c r="G5" s="2">
        <v>190</v>
      </c>
      <c r="H5" s="1"/>
      <c r="I5" s="1"/>
      <c r="J5" s="1"/>
    </row>
    <row r="6" spans="2:10">
      <c r="B6" s="2">
        <v>180</v>
      </c>
      <c r="C6" s="1"/>
      <c r="D6" s="1"/>
      <c r="E6" s="1"/>
      <c r="F6" s="1"/>
      <c r="G6" s="2">
        <v>180</v>
      </c>
      <c r="H6" s="1"/>
      <c r="I6" s="1"/>
      <c r="J6" s="1"/>
    </row>
    <row r="7" spans="2:10">
      <c r="B7" s="2">
        <v>170</v>
      </c>
      <c r="C7" s="1">
        <v>14.9293</v>
      </c>
      <c r="D7" s="1">
        <v>15.914300000000001</v>
      </c>
      <c r="E7" s="1">
        <v>15.384399999999999</v>
      </c>
      <c r="F7" s="1"/>
      <c r="G7" s="2">
        <v>170</v>
      </c>
      <c r="H7" s="1">
        <v>15.823</v>
      </c>
      <c r="I7" s="1">
        <v>15.751200000000001</v>
      </c>
      <c r="J7" s="1">
        <v>15.7981</v>
      </c>
    </row>
    <row r="8" spans="2:10">
      <c r="B8" s="2">
        <v>160</v>
      </c>
      <c r="C8" s="1">
        <v>14.781599999999999</v>
      </c>
      <c r="D8" s="1">
        <v>14.7789</v>
      </c>
      <c r="E8" s="1">
        <v>14.7804</v>
      </c>
      <c r="F8" s="1"/>
      <c r="G8" s="2">
        <v>160</v>
      </c>
      <c r="H8" s="1">
        <v>15.823</v>
      </c>
      <c r="I8" s="1">
        <v>15.751200000000001</v>
      </c>
      <c r="J8" s="1">
        <v>15.7981</v>
      </c>
    </row>
    <row r="9" spans="2:10">
      <c r="B9" s="2">
        <v>150</v>
      </c>
      <c r="C9" s="1">
        <v>14.877599999999999</v>
      </c>
      <c r="D9" s="1">
        <v>13.5655</v>
      </c>
      <c r="E9" s="1">
        <v>14.251300000000001</v>
      </c>
      <c r="F9" s="1"/>
      <c r="G9" s="2">
        <v>150</v>
      </c>
      <c r="H9" s="1">
        <v>15.823</v>
      </c>
      <c r="I9" s="1">
        <v>15.751200000000001</v>
      </c>
      <c r="J9" s="1">
        <v>15.7981</v>
      </c>
    </row>
    <row r="10" spans="2:10">
      <c r="B10" s="2">
        <v>140</v>
      </c>
      <c r="C10" s="1">
        <v>14.877599999999999</v>
      </c>
      <c r="D10" s="1">
        <v>13.5655</v>
      </c>
      <c r="E10" s="1">
        <v>14.251300000000001</v>
      </c>
      <c r="F10" s="1"/>
      <c r="G10" s="2">
        <v>140</v>
      </c>
      <c r="H10" s="1">
        <v>15.823</v>
      </c>
      <c r="I10" s="1">
        <v>15.751200000000001</v>
      </c>
      <c r="J10" s="1">
        <v>15.7981</v>
      </c>
    </row>
    <row r="11" spans="2:10">
      <c r="B11" s="2">
        <v>130</v>
      </c>
      <c r="C11" s="1">
        <v>14.877599999999999</v>
      </c>
      <c r="D11" s="1">
        <v>13.5655</v>
      </c>
      <c r="E11" s="1">
        <v>14.251300000000001</v>
      </c>
      <c r="F11" s="1"/>
      <c r="G11" s="2">
        <v>130</v>
      </c>
      <c r="H11" s="1">
        <v>15.823</v>
      </c>
      <c r="I11" s="1">
        <v>15.751200000000001</v>
      </c>
      <c r="J11" s="1">
        <v>15.7981</v>
      </c>
    </row>
    <row r="12" spans="2:10">
      <c r="B12" s="1">
        <v>120</v>
      </c>
      <c r="C12" s="1">
        <v>14.9306</v>
      </c>
      <c r="D12" s="1">
        <v>15.9321</v>
      </c>
      <c r="E12" s="1">
        <v>15.3933</v>
      </c>
      <c r="F12" s="1"/>
      <c r="G12" s="1">
        <v>120</v>
      </c>
      <c r="H12" s="1">
        <v>15.8611</v>
      </c>
      <c r="I12" s="1">
        <v>15.9842</v>
      </c>
      <c r="J12" s="1">
        <v>15.9038</v>
      </c>
    </row>
    <row r="13" spans="2:10">
      <c r="B13" s="1">
        <v>110</v>
      </c>
      <c r="C13" s="1">
        <v>14.9308</v>
      </c>
      <c r="D13" s="1">
        <v>15.9299</v>
      </c>
      <c r="E13" s="1">
        <v>15.3924</v>
      </c>
      <c r="F13" s="1"/>
      <c r="G13" s="1">
        <v>110</v>
      </c>
      <c r="H13" s="1">
        <v>15.8611</v>
      </c>
      <c r="I13" s="1">
        <v>15.9842</v>
      </c>
      <c r="J13" s="1">
        <v>15.9038</v>
      </c>
    </row>
    <row r="14" spans="2:10">
      <c r="B14" s="1">
        <v>100</v>
      </c>
      <c r="C14" s="1">
        <v>15.4971</v>
      </c>
      <c r="D14" s="1">
        <v>15.646000000000001</v>
      </c>
      <c r="E14" s="1">
        <v>15.565899999999999</v>
      </c>
      <c r="F14" s="1"/>
      <c r="G14" s="1">
        <v>100</v>
      </c>
      <c r="H14" s="1">
        <v>15.8611</v>
      </c>
      <c r="I14" s="1">
        <v>15.9842</v>
      </c>
      <c r="J14" s="1">
        <v>15.9038</v>
      </c>
    </row>
    <row r="15" spans="2:10">
      <c r="B15" s="1">
        <v>90</v>
      </c>
      <c r="C15" s="1">
        <v>15.2683</v>
      </c>
      <c r="D15" s="1">
        <v>15.111700000000001</v>
      </c>
      <c r="E15" s="1">
        <v>15.196</v>
      </c>
      <c r="F15" s="1"/>
      <c r="G15" s="1">
        <v>90</v>
      </c>
      <c r="H15" s="1">
        <v>15.8611</v>
      </c>
      <c r="I15" s="1">
        <v>15.9842</v>
      </c>
      <c r="J15" s="1">
        <v>15.9038</v>
      </c>
    </row>
    <row r="16" spans="2:10">
      <c r="B16" s="1">
        <v>80</v>
      </c>
      <c r="C16" s="1">
        <v>14.9306</v>
      </c>
      <c r="D16" s="1">
        <v>15.9321</v>
      </c>
      <c r="E16" s="1">
        <v>15.3933</v>
      </c>
      <c r="F16" s="1"/>
      <c r="G16" s="1">
        <v>80</v>
      </c>
      <c r="H16" s="1">
        <v>15.821400000000001</v>
      </c>
      <c r="I16" s="1">
        <v>16.423300000000001</v>
      </c>
      <c r="J16" s="1">
        <v>16.030200000000001</v>
      </c>
    </row>
    <row r="17" spans="2:10">
      <c r="B17" s="1">
        <v>70</v>
      </c>
      <c r="C17" s="1">
        <v>15.570600000000001</v>
      </c>
      <c r="D17" s="1">
        <v>14.095000000000001</v>
      </c>
      <c r="E17" s="1">
        <v>14.8828</v>
      </c>
      <c r="F17" s="1"/>
      <c r="G17" s="1">
        <v>70</v>
      </c>
      <c r="H17" s="1">
        <v>15.823</v>
      </c>
      <c r="I17" s="1">
        <v>15.751200000000001</v>
      </c>
      <c r="J17" s="1">
        <v>15.7981</v>
      </c>
    </row>
    <row r="18" spans="2:10">
      <c r="G18" s="1">
        <v>60</v>
      </c>
      <c r="H18" s="1">
        <v>15.823</v>
      </c>
      <c r="I18" s="1">
        <v>15.751200000000001</v>
      </c>
      <c r="J18" s="1">
        <v>15.7981</v>
      </c>
    </row>
    <row r="19" spans="2:10">
      <c r="D19" s="1" t="s">
        <v>12</v>
      </c>
      <c r="E19" s="1"/>
      <c r="G19" s="1">
        <v>50</v>
      </c>
      <c r="H19" s="1">
        <v>15.829000000000001</v>
      </c>
      <c r="I19" s="1">
        <v>16.341699999999999</v>
      </c>
      <c r="J19" s="1">
        <v>16.006900000000002</v>
      </c>
    </row>
    <row r="20" spans="2:10">
      <c r="G20" s="1">
        <v>40</v>
      </c>
      <c r="H20" s="1">
        <v>15.744999999999999</v>
      </c>
      <c r="I20" s="1">
        <v>14.741899999999999</v>
      </c>
      <c r="J20" s="1">
        <v>15.3971</v>
      </c>
    </row>
    <row r="21" spans="2:10">
      <c r="I21" s="1" t="s">
        <v>12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2BA3-45F5-4E4B-9278-F9D240E14D0F}">
  <dimension ref="B2:J21"/>
  <sheetViews>
    <sheetView workbookViewId="0">
      <selection activeCell="F16" sqref="F16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2">
        <v>200</v>
      </c>
      <c r="C4" s="1">
        <v>12.770099999999999</v>
      </c>
      <c r="D4" s="1">
        <v>15.6074</v>
      </c>
      <c r="E4" s="1">
        <v>14.112299999999999</v>
      </c>
      <c r="F4" s="1"/>
      <c r="G4" s="2">
        <v>200</v>
      </c>
      <c r="H4" s="1">
        <v>11.495900000000001</v>
      </c>
      <c r="I4" s="1">
        <v>15.3592</v>
      </c>
      <c r="J4" s="1">
        <v>12.8338</v>
      </c>
    </row>
    <row r="5" spans="2:10">
      <c r="B5" s="2">
        <v>190</v>
      </c>
      <c r="C5" s="1"/>
      <c r="D5" s="1"/>
      <c r="E5" s="1"/>
      <c r="F5" s="1"/>
      <c r="G5" s="2">
        <v>190</v>
      </c>
      <c r="H5" s="1"/>
      <c r="I5" s="1"/>
      <c r="J5" s="1"/>
    </row>
    <row r="6" spans="2:10">
      <c r="B6" s="2">
        <v>180</v>
      </c>
      <c r="C6" s="1"/>
      <c r="D6" s="1"/>
      <c r="E6" s="1"/>
      <c r="F6" s="1"/>
      <c r="G6" s="2">
        <v>180</v>
      </c>
      <c r="H6" s="1"/>
      <c r="I6" s="1"/>
      <c r="J6" s="1"/>
    </row>
    <row r="7" spans="2:10">
      <c r="B7" s="2">
        <v>170</v>
      </c>
      <c r="C7" s="1">
        <v>12.770099999999999</v>
      </c>
      <c r="D7" s="1">
        <v>15.6074</v>
      </c>
      <c r="E7" s="1">
        <v>14.112299999999999</v>
      </c>
      <c r="F7" s="1"/>
      <c r="G7" s="2">
        <v>170</v>
      </c>
      <c r="H7" s="1">
        <v>11.495900000000001</v>
      </c>
      <c r="I7" s="1">
        <v>15.3592</v>
      </c>
      <c r="J7" s="1">
        <v>12.8338</v>
      </c>
    </row>
    <row r="8" spans="2:10">
      <c r="B8" s="2">
        <v>160</v>
      </c>
      <c r="C8" s="1">
        <v>13.971</v>
      </c>
      <c r="D8" s="1">
        <v>15.202400000000001</v>
      </c>
      <c r="E8" s="1">
        <v>14.5588</v>
      </c>
      <c r="F8" s="1"/>
      <c r="G8" s="2">
        <v>160</v>
      </c>
      <c r="H8" s="1">
        <v>11.495900000000001</v>
      </c>
      <c r="I8" s="1">
        <v>15.3592</v>
      </c>
      <c r="J8" s="1">
        <v>12.8338</v>
      </c>
    </row>
    <row r="9" spans="2:10">
      <c r="B9" s="2">
        <v>150</v>
      </c>
      <c r="C9" s="1">
        <v>13.7858</v>
      </c>
      <c r="D9" s="1">
        <v>15.890499999999999</v>
      </c>
      <c r="E9" s="1">
        <v>14.7905</v>
      </c>
      <c r="F9" s="1"/>
      <c r="G9" s="2">
        <v>150</v>
      </c>
      <c r="H9" s="1">
        <v>11.495900000000001</v>
      </c>
      <c r="I9" s="1">
        <v>15.3592</v>
      </c>
      <c r="J9" s="1">
        <v>12.8338</v>
      </c>
    </row>
    <row r="10" spans="2:10">
      <c r="B10" s="2">
        <v>140</v>
      </c>
      <c r="C10" s="1">
        <v>13.847799999999999</v>
      </c>
      <c r="D10" s="1">
        <v>15.292199999999999</v>
      </c>
      <c r="E10" s="1">
        <v>14.5373</v>
      </c>
      <c r="F10" s="1"/>
      <c r="G10" s="2">
        <v>140</v>
      </c>
      <c r="H10" s="1">
        <v>11.495900000000001</v>
      </c>
      <c r="I10" s="1">
        <v>15.3592</v>
      </c>
      <c r="J10" s="1">
        <v>12.8338</v>
      </c>
    </row>
    <row r="11" spans="2:10">
      <c r="B11" s="2">
        <v>130</v>
      </c>
      <c r="C11" s="1">
        <v>13.971</v>
      </c>
      <c r="D11" s="1">
        <v>15.202400000000001</v>
      </c>
      <c r="E11" s="1">
        <v>14.5588</v>
      </c>
      <c r="F11" s="1"/>
      <c r="G11" s="2">
        <v>130</v>
      </c>
      <c r="H11" s="1">
        <v>11.495900000000001</v>
      </c>
      <c r="I11" s="1">
        <v>15.3592</v>
      </c>
      <c r="J11" s="1">
        <v>12.8338</v>
      </c>
    </row>
    <row r="12" spans="2:10">
      <c r="B12" s="1">
        <v>120</v>
      </c>
      <c r="C12" s="1">
        <v>13.971</v>
      </c>
      <c r="D12" s="1">
        <v>15.202400000000001</v>
      </c>
      <c r="E12" s="1">
        <v>14.5588</v>
      </c>
      <c r="F12" s="1"/>
      <c r="G12" s="1">
        <v>120</v>
      </c>
      <c r="H12" s="1">
        <v>11.495900000000001</v>
      </c>
      <c r="I12" s="1">
        <v>15.3592</v>
      </c>
      <c r="J12" s="1">
        <v>12.8338</v>
      </c>
    </row>
    <row r="13" spans="2:10">
      <c r="B13" s="1">
        <v>110</v>
      </c>
      <c r="C13" s="1">
        <v>10.485300000000001</v>
      </c>
      <c r="D13" s="1">
        <v>12.8689</v>
      </c>
      <c r="E13" s="1">
        <v>11.6334</v>
      </c>
      <c r="F13" s="1"/>
      <c r="G13" s="1">
        <v>110</v>
      </c>
      <c r="H13" s="1">
        <v>12.6883</v>
      </c>
      <c r="I13" s="1">
        <v>15.415100000000001</v>
      </c>
      <c r="J13" s="1">
        <v>13.6409</v>
      </c>
    </row>
    <row r="14" spans="2:10">
      <c r="B14" s="1">
        <v>100</v>
      </c>
      <c r="C14" s="1">
        <v>10.978999999999999</v>
      </c>
      <c r="D14" s="1">
        <v>14.1107</v>
      </c>
      <c r="E14" s="1">
        <v>12.4802</v>
      </c>
      <c r="F14" s="1"/>
      <c r="G14" s="1">
        <v>100</v>
      </c>
      <c r="H14" s="1">
        <v>13.2559</v>
      </c>
      <c r="I14" s="1">
        <v>16.338100000000001</v>
      </c>
      <c r="J14" s="1">
        <v>14.325699999999999</v>
      </c>
    </row>
    <row r="15" spans="2:10">
      <c r="B15" s="1">
        <v>90</v>
      </c>
      <c r="C15" s="1">
        <v>11.2395</v>
      </c>
      <c r="D15" s="1">
        <v>13.9244</v>
      </c>
      <c r="E15" s="1">
        <v>12.527900000000001</v>
      </c>
      <c r="F15" s="1"/>
      <c r="G15" s="1">
        <v>90</v>
      </c>
      <c r="H15" s="1">
        <v>13.205</v>
      </c>
      <c r="I15" s="1">
        <v>16.349699999999999</v>
      </c>
      <c r="J15" s="1">
        <v>14.2965</v>
      </c>
    </row>
    <row r="16" spans="2:10">
      <c r="B16" s="1">
        <v>80</v>
      </c>
      <c r="C16" s="1">
        <v>12.7704</v>
      </c>
      <c r="D16" s="1">
        <v>15.6121</v>
      </c>
      <c r="E16" s="1">
        <v>14.114699999999999</v>
      </c>
      <c r="F16" s="1"/>
      <c r="G16" s="1">
        <v>80</v>
      </c>
      <c r="H16" s="1">
        <v>13.202</v>
      </c>
      <c r="I16" s="1">
        <v>16.355499999999999</v>
      </c>
      <c r="J16" s="1">
        <v>14.2965</v>
      </c>
    </row>
    <row r="17" spans="2:10">
      <c r="B17" s="2">
        <v>70</v>
      </c>
      <c r="C17" s="1">
        <v>12.7704</v>
      </c>
      <c r="D17" s="1">
        <v>15.6121</v>
      </c>
      <c r="E17" s="1">
        <v>14.114699999999999</v>
      </c>
      <c r="F17" s="1"/>
      <c r="G17" s="1">
        <v>70</v>
      </c>
      <c r="H17" s="1">
        <v>13.2225</v>
      </c>
      <c r="I17" s="1">
        <v>16.342400000000001</v>
      </c>
      <c r="J17" s="1">
        <v>14.305400000000001</v>
      </c>
    </row>
    <row r="18" spans="2:10">
      <c r="G18" s="1">
        <v>60</v>
      </c>
      <c r="H18" s="1">
        <v>13.2638</v>
      </c>
      <c r="I18" s="1">
        <v>16.307700000000001</v>
      </c>
      <c r="J18" s="1">
        <v>14.3203</v>
      </c>
    </row>
    <row r="19" spans="2:10">
      <c r="D19" s="1" t="s">
        <v>12</v>
      </c>
      <c r="E19" s="1"/>
      <c r="G19" s="1">
        <v>50</v>
      </c>
      <c r="H19" s="1">
        <v>13.2363</v>
      </c>
      <c r="I19" s="1">
        <v>16.024799999999999</v>
      </c>
      <c r="J19" s="1">
        <v>14.215999999999999</v>
      </c>
    </row>
    <row r="20" spans="2:10">
      <c r="G20" s="1">
        <v>40</v>
      </c>
      <c r="H20" s="1">
        <v>14.3254</v>
      </c>
      <c r="I20" s="1">
        <v>16.659400000000002</v>
      </c>
      <c r="J20" s="1">
        <v>15.155799999999999</v>
      </c>
    </row>
    <row r="21" spans="2:10">
      <c r="I21" s="1" t="s">
        <v>12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A4A5-1523-7742-91AF-DFD274F195C2}">
  <dimension ref="B2:J20"/>
  <sheetViews>
    <sheetView workbookViewId="0">
      <selection activeCell="M28" sqref="M28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1">
        <v>200</v>
      </c>
      <c r="C4" s="1">
        <f>ROUND(AVERAGE(seed1!C4,seed2!C4,seed4!C4,seed5!C4,seed7!C4), 4)</f>
        <v>14.5305</v>
      </c>
      <c r="D4" s="1">
        <f>ROUND(AVERAGE(seed1!D4,seed2!D4,seed4!D4,seed5!D4,seed7!D4), 4)</f>
        <v>15.018700000000001</v>
      </c>
      <c r="E4" s="1">
        <f>ROUND(AVERAGE(seed1!E4,seed2!E4,seed4!E4,seed5!E4,seed7!E4), 4)</f>
        <v>14.760300000000001</v>
      </c>
      <c r="F4" s="1"/>
      <c r="G4" s="1">
        <v>200</v>
      </c>
      <c r="H4" s="1">
        <f>ROUND(AVERAGE(seed1!H4,seed2!H4,seed4!H4,seed5!H4,seed7!H4), 4)</f>
        <v>13.552</v>
      </c>
      <c r="I4" s="1">
        <f>ROUND(AVERAGE(seed1!I4,seed2!I4,seed4!I4,seed5!I4,seed7!I4), 4)</f>
        <v>14.888400000000001</v>
      </c>
      <c r="J4" s="1">
        <f>ROUND(AVERAGE(seed1!J4,seed2!J4,seed4!J4,seed5!J4,seed7!J4), 4)</f>
        <v>14.0215</v>
      </c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/>
      <c r="D6" s="1"/>
      <c r="E6" s="1"/>
      <c r="F6" s="1"/>
      <c r="G6" s="1">
        <v>180</v>
      </c>
      <c r="H6" s="1"/>
      <c r="I6" s="1"/>
      <c r="J6" s="1"/>
    </row>
    <row r="7" spans="2:10">
      <c r="B7" s="1">
        <v>170</v>
      </c>
      <c r="C7" s="1">
        <f>ROUND(AVERAGE(seed1!C7,seed2!C7,seed4!C7,seed5!C7,seed7!C7), 4)</f>
        <v>14.497999999999999</v>
      </c>
      <c r="D7" s="1">
        <f>ROUND(AVERAGE(seed1!D7,seed2!D7,seed4!D7,seed5!D7,seed7!D7), 4)</f>
        <v>15.211399999999999</v>
      </c>
      <c r="E7" s="1">
        <f>ROUND(AVERAGE(seed1!E7,seed2!E7,seed4!E7,seed5!E7,seed7!E7), 4)</f>
        <v>14.8309</v>
      </c>
      <c r="F7" s="1"/>
      <c r="G7" s="1">
        <v>170</v>
      </c>
      <c r="H7" s="1">
        <f>ROUND(AVERAGE(seed1!H7,seed2!H7,seed4!H7,seed5!H7,seed7!H7), 4)</f>
        <v>13.5524</v>
      </c>
      <c r="I7" s="1">
        <f>ROUND(AVERAGE(seed1!I7,seed2!I7,seed4!I7,seed5!I7,seed7!I7), 4)</f>
        <v>14.8864</v>
      </c>
      <c r="J7" s="1">
        <f>ROUND(AVERAGE(seed1!J7,seed2!J7,seed4!J7,seed5!J7,seed7!J7), 4)</f>
        <v>14.021100000000001</v>
      </c>
    </row>
    <row r="8" spans="2:10">
      <c r="B8" s="1">
        <v>160</v>
      </c>
      <c r="C8" s="1">
        <f>ROUND(AVERAGE(seed1!C8,seed2!C8,seed4!C8,seed5!C8,seed7!C8), 4)</f>
        <v>14.5063</v>
      </c>
      <c r="D8" s="1">
        <f>ROUND(AVERAGE(seed1!D8,seed2!D8,seed4!D8,seed5!D8,seed7!D8), 4)</f>
        <v>15.1198</v>
      </c>
      <c r="E8" s="1">
        <f>ROUND(AVERAGE(seed1!E8,seed2!E8,seed4!E8,seed5!E8,seed7!E8), 4)</f>
        <v>14.802099999999999</v>
      </c>
      <c r="F8" s="1"/>
      <c r="G8" s="1">
        <v>160</v>
      </c>
      <c r="H8" s="1">
        <f>ROUND(AVERAGE(seed1!H8,seed2!H8,seed4!H8,seed5!H8,seed7!H8), 4)</f>
        <v>13.5488</v>
      </c>
      <c r="I8" s="1">
        <f>ROUND(AVERAGE(seed1!I8,seed2!I8,seed4!I8,seed5!I8,seed7!I8), 4)</f>
        <v>14.880800000000001</v>
      </c>
      <c r="J8" s="1">
        <f>ROUND(AVERAGE(seed1!J8,seed2!J8,seed4!J8,seed5!J8,seed7!J8), 4)</f>
        <v>14.0167</v>
      </c>
    </row>
    <row r="9" spans="2:10">
      <c r="B9" s="1">
        <v>150</v>
      </c>
      <c r="C9" s="1">
        <f>ROUND(AVERAGE(seed1!C9,seed2!C9,seed4!C9,seed5!C9,seed7!C9), 4)</f>
        <v>14.412800000000001</v>
      </c>
      <c r="D9" s="1">
        <f>ROUND(AVERAGE(seed1!D9,seed2!D9,seed4!D9,seed5!D9,seed7!D9), 4)</f>
        <v>14.966900000000001</v>
      </c>
      <c r="E9" s="1">
        <f>ROUND(AVERAGE(seed1!E9,seed2!E9,seed4!E9,seed5!E9,seed7!E9), 4)</f>
        <v>14.6816</v>
      </c>
      <c r="F9" s="1"/>
      <c r="G9" s="1">
        <v>150</v>
      </c>
      <c r="H9" s="1">
        <f>ROUND(AVERAGE(seed1!H9,seed2!H9,seed4!H9,seed5!H9,seed7!H9), 4)</f>
        <v>13.625500000000001</v>
      </c>
      <c r="I9" s="1">
        <f>ROUND(AVERAGE(seed1!I9,seed2!I9,seed4!I9,seed5!I9,seed7!I9), 4)</f>
        <v>14.7416</v>
      </c>
      <c r="J9" s="1">
        <f>ROUND(AVERAGE(seed1!J9,seed2!J9,seed4!J9,seed5!J9,seed7!J9), 4)</f>
        <v>14.0177</v>
      </c>
    </row>
    <row r="10" spans="2:10">
      <c r="B10" s="1">
        <v>140</v>
      </c>
      <c r="C10" s="1">
        <f>ROUND(AVERAGE(seed1!C10,seed2!C10,seed4!C10,seed5!C10,seed7!C10), 4)</f>
        <v>14.468</v>
      </c>
      <c r="D10" s="1">
        <f>ROUND(AVERAGE(seed1!D10,seed2!D10,seed4!D10,seed5!D10,seed7!D10), 4)</f>
        <v>14.995900000000001</v>
      </c>
      <c r="E10" s="1">
        <f>ROUND(AVERAGE(seed1!E10,seed2!E10,seed4!E10,seed5!E10,seed7!E10), 4)</f>
        <v>14.725199999999999</v>
      </c>
      <c r="F10" s="1"/>
      <c r="G10" s="1">
        <v>140</v>
      </c>
      <c r="H10" s="1">
        <f>ROUND(AVERAGE(seed1!H10,seed2!H10,seed4!H10,seed5!H10,seed7!H10), 4)</f>
        <v>13.5686</v>
      </c>
      <c r="I10" s="1">
        <f>ROUND(AVERAGE(seed1!I10,seed2!I10,seed4!I10,seed5!I10,seed7!I10), 4)</f>
        <v>14.9488</v>
      </c>
      <c r="J10" s="1">
        <f>ROUND(AVERAGE(seed1!J10,seed2!J10,seed4!J10,seed5!J10,seed7!J10), 4)</f>
        <v>14.056100000000001</v>
      </c>
    </row>
    <row r="11" spans="2:10">
      <c r="B11" s="1">
        <v>130</v>
      </c>
      <c r="C11" s="1">
        <f>ROUND(AVERAGE(seed1!C11,seed2!C11,seed4!C11,seed5!C11,seed7!C11), 4)</f>
        <v>14.6669</v>
      </c>
      <c r="D11" s="1">
        <f>ROUND(AVERAGE(seed1!D11,seed2!D11,seed4!D11,seed5!D11,seed7!D11), 4)</f>
        <v>14.732100000000001</v>
      </c>
      <c r="E11" s="1">
        <f>ROUND(AVERAGE(seed1!E11,seed2!E11,seed4!E11,seed5!E11,seed7!E11), 4)</f>
        <v>14.6981</v>
      </c>
      <c r="F11" s="1"/>
      <c r="G11" s="1">
        <v>130</v>
      </c>
      <c r="H11" s="1">
        <f>ROUND(AVERAGE(seed1!H11,seed2!H11,seed4!H11,seed5!H11,seed7!H11), 4)</f>
        <v>13.577999999999999</v>
      </c>
      <c r="I11" s="1">
        <f>ROUND(AVERAGE(seed1!I11,seed2!I11,seed4!I11,seed5!I11,seed7!I11), 4)</f>
        <v>14.9175</v>
      </c>
      <c r="J11" s="1">
        <f>ROUND(AVERAGE(seed1!J11,seed2!J11,seed4!J11,seed5!J11,seed7!J11), 4)</f>
        <v>14.050599999999999</v>
      </c>
    </row>
    <row r="12" spans="2:10">
      <c r="B12" s="1">
        <v>120</v>
      </c>
      <c r="C12" s="1">
        <f>ROUND(AVERAGE(seed1!C12,seed2!C12,seed4!C12,seed5!C12,seed7!C12), 4)</f>
        <v>14.728300000000001</v>
      </c>
      <c r="D12" s="1">
        <f>ROUND(AVERAGE(seed1!D12,seed2!D12,seed4!D12,seed5!D12,seed7!D12), 4)</f>
        <v>15.394399999999999</v>
      </c>
      <c r="E12" s="1">
        <f>ROUND(AVERAGE(seed1!E12,seed2!E12,seed4!E12,seed5!E12,seed7!E12), 4)</f>
        <v>15.0443</v>
      </c>
      <c r="F12" s="1"/>
      <c r="G12" s="1">
        <v>120</v>
      </c>
      <c r="H12" s="1">
        <f>ROUND(AVERAGE(seed1!H12,seed2!H12,seed4!H12,seed5!H12,seed7!H12), 4)</f>
        <v>13.5831</v>
      </c>
      <c r="I12" s="1">
        <f>ROUND(AVERAGE(seed1!I12,seed2!I12,seed4!I12,seed5!I12,seed7!I12), 4)</f>
        <v>14.9937</v>
      </c>
      <c r="J12" s="1">
        <f>ROUND(AVERAGE(seed1!J12,seed2!J12,seed4!J12,seed5!J12,seed7!J12), 4)</f>
        <v>14.081</v>
      </c>
    </row>
    <row r="13" spans="2:10">
      <c r="B13" s="1">
        <v>110</v>
      </c>
      <c r="C13" s="1">
        <f>ROUND(AVERAGE(seed1!C13,seed2!C13,seed4!C13,seed5!C13,seed7!C13), 4)</f>
        <v>14.032</v>
      </c>
      <c r="D13" s="1">
        <f>ROUND(AVERAGE(seed1!D13,seed2!D13,seed4!D13,seed5!D13,seed7!D13), 4)</f>
        <v>14.9262</v>
      </c>
      <c r="E13" s="1">
        <f>ROUND(AVERAGE(seed1!E13,seed2!E13,seed4!E13,seed5!E13,seed7!E13), 4)</f>
        <v>14.4589</v>
      </c>
      <c r="F13" s="1"/>
      <c r="G13" s="1">
        <v>110</v>
      </c>
      <c r="H13" s="1">
        <f>ROUND(AVERAGE(seed1!H13,seed2!H13,seed4!H13,seed5!H13,seed7!H13), 4)</f>
        <v>13.8163</v>
      </c>
      <c r="I13" s="1">
        <f>ROUND(AVERAGE(seed1!I13,seed2!I13,seed4!I13,seed5!I13,seed7!I13), 4)</f>
        <v>15.2211</v>
      </c>
      <c r="J13" s="1">
        <f>ROUND(AVERAGE(seed1!J13,seed2!J13,seed4!J13,seed5!J13,seed7!J13), 4)</f>
        <v>14.301299999999999</v>
      </c>
    </row>
    <row r="14" spans="2:10">
      <c r="B14" s="1">
        <v>100</v>
      </c>
      <c r="C14" s="1">
        <f>ROUND(AVERAGE(seed1!C14,seed2!C14,seed4!C14,seed5!C14,seed7!C14), 4)</f>
        <v>14.1974</v>
      </c>
      <c r="D14" s="1">
        <f>ROUND(AVERAGE(seed1!D14,seed2!D14,seed4!D14,seed5!D14,seed7!D14), 4)</f>
        <v>14.7989</v>
      </c>
      <c r="E14" s="1">
        <f>ROUND(AVERAGE(seed1!E14,seed2!E14,seed4!E14,seed5!E14,seed7!E14), 4)</f>
        <v>14.484999999999999</v>
      </c>
      <c r="F14" s="1"/>
      <c r="G14" s="1">
        <v>100</v>
      </c>
      <c r="H14" s="1">
        <f>ROUND(AVERAGE(seed1!H14,seed2!H14,seed4!H14,seed5!H14,seed7!H14), 4)</f>
        <v>14.0139</v>
      </c>
      <c r="I14" s="1">
        <f>ROUND(AVERAGE(seed1!I14,seed2!I14,seed4!I14,seed5!I14,seed7!I14), 4)</f>
        <v>14.971500000000001</v>
      </c>
      <c r="J14" s="1">
        <f>ROUND(AVERAGE(seed1!J14,seed2!J14,seed4!J14,seed5!J14,seed7!J14), 4)</f>
        <v>14.334300000000001</v>
      </c>
    </row>
    <row r="15" spans="2:10">
      <c r="B15" s="1">
        <v>90</v>
      </c>
      <c r="C15" s="1">
        <f>ROUND(AVERAGE(seed1!C15,seed2!C15,seed4!C15,seed5!C15,seed7!C15), 4)</f>
        <v>14.0899</v>
      </c>
      <c r="D15" s="1">
        <f>ROUND(AVERAGE(seed1!D15,seed2!D15,seed4!D15,seed5!D15,seed7!D15), 4)</f>
        <v>14.9291</v>
      </c>
      <c r="E15" s="1">
        <f>ROUND(AVERAGE(seed1!E15,seed2!E15,seed4!E15,seed5!E15,seed7!E15), 4)</f>
        <v>14.494899999999999</v>
      </c>
      <c r="F15" s="1"/>
      <c r="G15" s="1">
        <v>90</v>
      </c>
      <c r="H15" s="1">
        <f>ROUND(AVERAGE(seed1!H15,seed2!H15,seed4!H15,seed5!H15,seed7!H15), 4)</f>
        <v>13.7852</v>
      </c>
      <c r="I15" s="1">
        <f>ROUND(AVERAGE(seed1!I15,seed2!I15,seed4!I15,seed5!I15,seed7!I15), 4)</f>
        <v>14.9407</v>
      </c>
      <c r="J15" s="1">
        <f>ROUND(AVERAGE(seed1!J15,seed2!J15,seed4!J15,seed5!J15,seed7!J15), 4)</f>
        <v>14.182399999999999</v>
      </c>
    </row>
    <row r="16" spans="2:10">
      <c r="B16" s="1">
        <v>80</v>
      </c>
      <c r="C16" s="1">
        <f>ROUND(AVERAGE(seed1!C16,seed2!C16,seed4!C16,seed5!C16,seed7!C16), 4)</f>
        <v>14.3055</v>
      </c>
      <c r="D16" s="1">
        <f>ROUND(AVERAGE(seed1!D16,seed2!D16,seed4!D16,seed5!D16,seed7!D16), 4)</f>
        <v>15.7037</v>
      </c>
      <c r="E16" s="1">
        <f>ROUND(AVERAGE(seed1!E16,seed2!E16,seed4!E16,seed5!E16,seed7!E16), 4)</f>
        <v>14.974</v>
      </c>
      <c r="F16" s="1"/>
      <c r="G16" s="1">
        <v>80</v>
      </c>
      <c r="H16" s="1">
        <f>ROUND(AVERAGE(seed1!H16,seed2!H16,seed4!H16,seed5!H16,seed7!H16), 4)</f>
        <v>13.654</v>
      </c>
      <c r="I16" s="1">
        <f>ROUND(AVERAGE(seed1!I16,seed2!I16,seed4!I16,seed5!I16,seed7!I16), 4)</f>
        <v>15.3047</v>
      </c>
      <c r="J16" s="1">
        <f>ROUND(AVERAGE(seed1!J16,seed2!J16,seed4!J16,seed5!J16,seed7!J16), 4)</f>
        <v>14.213699999999999</v>
      </c>
    </row>
    <row r="17" spans="2:10">
      <c r="B17" s="1">
        <v>70</v>
      </c>
      <c r="C17" s="1">
        <f>ROUND(AVERAGE(seed1!C17,seed2!C17,seed4!C17,seed5!C17,seed7!C17), 4)</f>
        <v>14.3149</v>
      </c>
      <c r="D17" s="1">
        <f>ROUND(AVERAGE(seed1!D17,seed2!D17,seed4!D17,seed5!D17,seed7!D17), 4)</f>
        <v>15.1478</v>
      </c>
      <c r="E17" s="1">
        <f>ROUND(AVERAGE(seed1!E17,seed2!E17,seed4!E17,seed5!E17,seed7!E17), 4)</f>
        <v>14.719900000000001</v>
      </c>
      <c r="F17" s="1"/>
      <c r="G17" s="1">
        <v>70</v>
      </c>
      <c r="H17" s="1">
        <f>ROUND(AVERAGE(seed1!H17,seed2!H17,seed4!H17,seed5!H17,seed7!H17), 4)</f>
        <v>13.848699999999999</v>
      </c>
      <c r="I17" s="1">
        <f>ROUND(AVERAGE(seed1!I17,seed2!I17,seed4!I17,seed5!I17,seed7!I17), 4)</f>
        <v>15.523999999999999</v>
      </c>
      <c r="J17" s="1">
        <f>ROUND(AVERAGE(seed1!J17,seed2!J17,seed4!J17,seed5!J17,seed7!J17), 4)</f>
        <v>14.4381</v>
      </c>
    </row>
    <row r="18" spans="2:10">
      <c r="G18" s="1">
        <v>60</v>
      </c>
      <c r="H18" s="1">
        <f>ROUND(AVERAGE(seed1!H18,seed2!H18,seed4!H18,seed5!H18,seed7!H18), 4)</f>
        <v>14.0433</v>
      </c>
      <c r="I18" s="1">
        <f>ROUND(AVERAGE(seed1!I18,seed2!I18,seed4!I18,seed5!I18,seed7!I18), 4)</f>
        <v>15.694800000000001</v>
      </c>
      <c r="J18" s="1">
        <f>ROUND(AVERAGE(seed1!J18,seed2!J18,seed4!J18,seed5!J18,seed7!J18), 4)</f>
        <v>14.622999999999999</v>
      </c>
    </row>
    <row r="19" spans="2:10">
      <c r="G19" s="1">
        <v>50</v>
      </c>
      <c r="H19" s="1">
        <f>ROUND(AVERAGE(seed1!H19,seed2!H19,seed4!H19,seed5!H19,seed7!H19), 4)</f>
        <v>13.817399999999999</v>
      </c>
      <c r="I19" s="1">
        <f>ROUND(AVERAGE(seed1!I19,seed2!I19,seed4!I19,seed5!I19,seed7!I19), 4)</f>
        <v>15.520899999999999</v>
      </c>
      <c r="J19" s="1">
        <f>ROUND(AVERAGE(seed1!J19,seed2!J19,seed4!J19,seed5!J19,seed7!J19), 4)</f>
        <v>14.419499999999999</v>
      </c>
    </row>
    <row r="20" spans="2:10">
      <c r="G20" s="1">
        <v>40</v>
      </c>
      <c r="H20" s="1">
        <f>ROUND(AVERAGE(seed1!H20,seed2!H20,seed4!H20,seed5!H20,seed7!H20), 4)</f>
        <v>14.167899999999999</v>
      </c>
      <c r="I20" s="1">
        <f>ROUND(AVERAGE(seed1!I20,seed2!I20,seed4!I20,seed5!I20,seed7!I20), 4)</f>
        <v>14.911199999999999</v>
      </c>
      <c r="J20" s="1">
        <f>ROUND(AVERAGE(seed1!J20,seed2!J20,seed4!J20,seed5!J20,seed7!J20), 4)</f>
        <v>14.4358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A776-BE95-604C-A6A9-BC4A1425CE1A}">
  <dimension ref="B2:H21"/>
  <sheetViews>
    <sheetView tabSelected="1" workbookViewId="0">
      <selection activeCell="H20" sqref="H20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</row>
    <row r="4" spans="2:8">
      <c r="B4" s="2">
        <v>200</v>
      </c>
      <c r="C4" s="1"/>
      <c r="D4" s="1"/>
      <c r="E4" s="1"/>
    </row>
    <row r="5" spans="2:8">
      <c r="B5" s="2">
        <v>190</v>
      </c>
      <c r="C5" s="1"/>
      <c r="D5" s="1"/>
      <c r="E5" s="1"/>
    </row>
    <row r="6" spans="2:8">
      <c r="B6" s="2">
        <v>180</v>
      </c>
      <c r="C6" s="1"/>
      <c r="D6" s="1"/>
      <c r="E6" s="1"/>
    </row>
    <row r="7" spans="2:8">
      <c r="B7" s="2">
        <v>170</v>
      </c>
      <c r="C7" s="1">
        <v>15.6473</v>
      </c>
      <c r="D7" s="1">
        <v>16.288699999999999</v>
      </c>
      <c r="E7" s="1">
        <v>15.966100000000001</v>
      </c>
    </row>
    <row r="8" spans="2:8">
      <c r="B8" s="2">
        <v>160</v>
      </c>
      <c r="C8" s="1">
        <v>15.6473</v>
      </c>
      <c r="D8" s="1">
        <v>16.288699999999999</v>
      </c>
      <c r="E8" s="1">
        <v>15.966100000000001</v>
      </c>
    </row>
    <row r="9" spans="2:8">
      <c r="B9" s="2">
        <v>150</v>
      </c>
      <c r="C9" s="1">
        <v>15.6473</v>
      </c>
      <c r="D9" s="1">
        <v>16.288699999999999</v>
      </c>
      <c r="E9" s="1">
        <v>15.966100000000001</v>
      </c>
    </row>
    <row r="10" spans="2:8">
      <c r="B10" s="2">
        <v>140</v>
      </c>
      <c r="C10" s="1">
        <v>15.577</v>
      </c>
      <c r="D10" s="1">
        <v>16.317799999999998</v>
      </c>
      <c r="E10" s="1">
        <v>15.9452</v>
      </c>
    </row>
    <row r="11" spans="2:8">
      <c r="B11" s="2">
        <v>130</v>
      </c>
      <c r="C11" s="1">
        <v>15.6473</v>
      </c>
      <c r="D11" s="1">
        <v>16.288699999999999</v>
      </c>
      <c r="E11" s="1">
        <v>15.966100000000001</v>
      </c>
      <c r="H11" s="1">
        <v>7</v>
      </c>
    </row>
    <row r="12" spans="2:8">
      <c r="B12" s="1">
        <v>120</v>
      </c>
      <c r="C12" s="1">
        <v>15.6473</v>
      </c>
      <c r="D12" s="1">
        <v>16.288699999999999</v>
      </c>
      <c r="E12" s="1">
        <v>15.966100000000001</v>
      </c>
      <c r="H12" s="1">
        <v>7</v>
      </c>
    </row>
    <row r="13" spans="2:8">
      <c r="B13" s="1">
        <v>110</v>
      </c>
      <c r="C13" s="1">
        <v>15.6473</v>
      </c>
      <c r="D13" s="1">
        <v>16.288699999999999</v>
      </c>
      <c r="E13" s="1">
        <v>15.966100000000001</v>
      </c>
      <c r="H13" s="1">
        <v>7</v>
      </c>
    </row>
    <row r="14" spans="2:8">
      <c r="B14" s="1">
        <v>100</v>
      </c>
      <c r="C14" s="1">
        <v>15.6473</v>
      </c>
      <c r="D14" s="1">
        <v>16.288699999999999</v>
      </c>
      <c r="E14" s="1">
        <v>15.966100000000001</v>
      </c>
      <c r="H14" s="1">
        <v>7</v>
      </c>
    </row>
    <row r="15" spans="2:8">
      <c r="B15" s="1">
        <v>90</v>
      </c>
      <c r="C15" s="1">
        <v>13.944599999999999</v>
      </c>
      <c r="D15" s="1">
        <v>16.4392</v>
      </c>
      <c r="E15" s="1">
        <v>15.1347</v>
      </c>
      <c r="H15" s="1">
        <v>3</v>
      </c>
    </row>
    <row r="16" spans="2:8">
      <c r="B16" s="1">
        <v>80</v>
      </c>
      <c r="C16" s="1">
        <v>13.9818</v>
      </c>
      <c r="D16" s="1">
        <v>16.369700000000002</v>
      </c>
      <c r="E16" s="1">
        <v>15.121</v>
      </c>
      <c r="H16" s="1">
        <v>3</v>
      </c>
    </row>
    <row r="17" spans="2:8">
      <c r="B17" s="2">
        <v>70</v>
      </c>
      <c r="C17" s="1">
        <v>14.5128</v>
      </c>
      <c r="D17" s="1">
        <v>16.434000000000001</v>
      </c>
      <c r="E17" s="1">
        <v>15.435700000000001</v>
      </c>
      <c r="H17" s="1">
        <v>3</v>
      </c>
    </row>
    <row r="18" spans="2:8">
      <c r="B18" s="1">
        <v>60</v>
      </c>
      <c r="C18" s="1">
        <v>14.5128</v>
      </c>
      <c r="D18" s="1">
        <v>16.434000000000001</v>
      </c>
      <c r="E18" s="1">
        <v>15.435700000000001</v>
      </c>
      <c r="H18" s="1">
        <v>3</v>
      </c>
    </row>
    <row r="19" spans="2:8">
      <c r="B19" s="1">
        <v>50</v>
      </c>
      <c r="C19" s="1">
        <v>14.5128</v>
      </c>
      <c r="D19" s="1">
        <v>16.434000000000001</v>
      </c>
      <c r="E19" s="1">
        <v>15.435700000000001</v>
      </c>
      <c r="H19" s="1">
        <v>3</v>
      </c>
    </row>
    <row r="21" spans="2:8">
      <c r="D21" t="s">
        <v>13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6D0E-E0CA-FA42-9041-F51A1FFF3B9D}">
  <dimension ref="B2:H21"/>
  <sheetViews>
    <sheetView workbookViewId="0">
      <selection activeCell="E20" sqref="E20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</row>
    <row r="4" spans="2:8">
      <c r="B4" s="2">
        <v>200</v>
      </c>
      <c r="C4" s="1"/>
      <c r="D4" s="1"/>
      <c r="E4" s="1"/>
    </row>
    <row r="5" spans="2:8">
      <c r="B5" s="2">
        <v>190</v>
      </c>
      <c r="C5" s="1"/>
      <c r="D5" s="1"/>
      <c r="E5" s="1"/>
    </row>
    <row r="6" spans="2:8">
      <c r="B6" s="2">
        <v>180</v>
      </c>
      <c r="C6" s="1"/>
      <c r="D6" s="1"/>
      <c r="E6" s="1"/>
    </row>
    <row r="7" spans="2:8">
      <c r="B7" s="2">
        <v>170</v>
      </c>
      <c r="C7" s="1">
        <v>14.3581</v>
      </c>
      <c r="D7" s="1">
        <v>14.9521</v>
      </c>
      <c r="E7" s="1">
        <v>14.6396</v>
      </c>
    </row>
    <row r="8" spans="2:8">
      <c r="B8" s="2">
        <v>160</v>
      </c>
      <c r="C8" s="1">
        <v>14.3489</v>
      </c>
      <c r="D8" s="1">
        <v>14.9641</v>
      </c>
      <c r="E8" s="1">
        <v>14.640499999999999</v>
      </c>
    </row>
    <row r="9" spans="2:8">
      <c r="B9" s="2">
        <v>150</v>
      </c>
      <c r="C9" s="1">
        <v>14.3489</v>
      </c>
      <c r="D9" s="1">
        <v>14.9641</v>
      </c>
      <c r="E9" s="1">
        <v>14.640499999999999</v>
      </c>
    </row>
    <row r="10" spans="2:8">
      <c r="B10" s="2">
        <v>140</v>
      </c>
      <c r="C10" s="1">
        <v>14.3489</v>
      </c>
      <c r="D10" s="1">
        <v>14.9641</v>
      </c>
      <c r="E10" s="1">
        <v>14.640499999999999</v>
      </c>
    </row>
    <row r="11" spans="2:8">
      <c r="B11" s="2">
        <v>130</v>
      </c>
      <c r="C11" s="1">
        <v>14.350300000000001</v>
      </c>
      <c r="D11" s="1">
        <v>14.9536</v>
      </c>
      <c r="E11" s="1">
        <v>14.6363</v>
      </c>
    </row>
    <row r="12" spans="2:8">
      <c r="B12" s="1">
        <v>120</v>
      </c>
      <c r="C12" s="1">
        <v>14.350300000000001</v>
      </c>
      <c r="D12" s="1">
        <v>14.9536</v>
      </c>
      <c r="E12" s="1">
        <v>14.6363</v>
      </c>
      <c r="H12">
        <v>4</v>
      </c>
    </row>
    <row r="13" spans="2:8">
      <c r="B13" s="1">
        <v>110</v>
      </c>
      <c r="C13" s="1">
        <v>14.3489</v>
      </c>
      <c r="D13" s="1">
        <v>14.9641</v>
      </c>
      <c r="E13" s="1">
        <v>14.640499999999999</v>
      </c>
      <c r="H13">
        <v>4</v>
      </c>
    </row>
    <row r="14" spans="2:8">
      <c r="B14" s="1">
        <v>100</v>
      </c>
      <c r="C14" s="1">
        <v>14.3489</v>
      </c>
      <c r="D14" s="1">
        <v>14.9641</v>
      </c>
      <c r="E14" s="1">
        <v>14.640499999999999</v>
      </c>
      <c r="H14" s="1">
        <v>4</v>
      </c>
    </row>
    <row r="15" spans="2:8">
      <c r="B15" s="1">
        <v>90</v>
      </c>
      <c r="C15" s="1">
        <v>14.358599999999999</v>
      </c>
      <c r="D15" s="1">
        <v>14.9605</v>
      </c>
      <c r="E15" s="1">
        <v>14.6439</v>
      </c>
      <c r="H15" s="1">
        <v>4</v>
      </c>
    </row>
    <row r="16" spans="2:8">
      <c r="B16" s="1">
        <v>80</v>
      </c>
      <c r="C16" s="1">
        <v>14.358599999999999</v>
      </c>
      <c r="D16" s="1">
        <v>14.9605</v>
      </c>
      <c r="E16" s="1">
        <v>14.6439</v>
      </c>
      <c r="H16" s="1">
        <v>4</v>
      </c>
    </row>
    <row r="17" spans="2:8">
      <c r="B17" s="2">
        <v>70</v>
      </c>
      <c r="C17" s="1">
        <v>14.3581</v>
      </c>
      <c r="D17" s="1">
        <v>14.9521</v>
      </c>
      <c r="E17" s="1">
        <v>14.6396</v>
      </c>
      <c r="H17" s="1">
        <v>4</v>
      </c>
    </row>
    <row r="18" spans="2:8">
      <c r="B18" s="1">
        <v>60</v>
      </c>
      <c r="C18" s="1">
        <v>14.3581</v>
      </c>
      <c r="D18" s="1">
        <v>14.9521</v>
      </c>
      <c r="E18" s="1">
        <v>14.6396</v>
      </c>
      <c r="H18" s="1">
        <v>4</v>
      </c>
    </row>
    <row r="19" spans="2:8">
      <c r="B19" s="1">
        <v>50</v>
      </c>
      <c r="C19" s="1">
        <v>13.7234</v>
      </c>
      <c r="D19" s="1">
        <v>15.8078</v>
      </c>
      <c r="E19" s="1">
        <v>14.6686</v>
      </c>
    </row>
    <row r="21" spans="2:8">
      <c r="D21" t="s">
        <v>13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F8DB-4D1C-DB43-8843-04A339CEBE35}">
  <dimension ref="B2:H21"/>
  <sheetViews>
    <sheetView workbookViewId="0">
      <selection activeCell="H20" sqref="H20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</row>
    <row r="4" spans="2:8">
      <c r="B4" s="2">
        <v>200</v>
      </c>
      <c r="C4" s="1"/>
      <c r="D4" s="1"/>
      <c r="E4" s="1"/>
    </row>
    <row r="5" spans="2:8">
      <c r="B5" s="2">
        <v>190</v>
      </c>
      <c r="C5" s="1"/>
      <c r="D5" s="1"/>
      <c r="E5" s="1"/>
    </row>
    <row r="6" spans="2:8">
      <c r="B6" s="2">
        <v>180</v>
      </c>
      <c r="C6" s="1"/>
      <c r="D6" s="1"/>
      <c r="E6" s="1"/>
    </row>
    <row r="7" spans="2:8">
      <c r="B7" s="2">
        <v>170</v>
      </c>
      <c r="C7" s="1">
        <v>13.257199999999999</v>
      </c>
      <c r="D7" s="1">
        <v>13.5046</v>
      </c>
      <c r="E7" s="1">
        <v>13.3728</v>
      </c>
    </row>
    <row r="8" spans="2:8">
      <c r="B8" s="2">
        <v>160</v>
      </c>
      <c r="C8" s="1">
        <v>13.257199999999999</v>
      </c>
      <c r="D8" s="1">
        <v>13.5046</v>
      </c>
      <c r="E8" s="1">
        <v>13.3728</v>
      </c>
    </row>
    <row r="9" spans="2:8">
      <c r="B9" s="2">
        <v>150</v>
      </c>
      <c r="C9" s="1">
        <v>13.257199999999999</v>
      </c>
      <c r="D9" s="1">
        <v>13.5046</v>
      </c>
      <c r="E9" s="1">
        <v>13.3728</v>
      </c>
    </row>
    <row r="10" spans="2:8">
      <c r="B10" s="2">
        <v>140</v>
      </c>
      <c r="C10" s="1">
        <v>13.257199999999999</v>
      </c>
      <c r="D10" s="1">
        <v>13.5046</v>
      </c>
      <c r="E10" s="1">
        <v>13.3728</v>
      </c>
    </row>
    <row r="11" spans="2:8">
      <c r="B11" s="2">
        <v>130</v>
      </c>
      <c r="C11" s="1">
        <v>13.257199999999999</v>
      </c>
      <c r="D11" s="1">
        <v>13.5046</v>
      </c>
      <c r="E11" s="1">
        <v>13.3728</v>
      </c>
    </row>
    <row r="12" spans="2:8">
      <c r="B12" s="1">
        <v>120</v>
      </c>
      <c r="C12" s="1">
        <v>12.960900000000001</v>
      </c>
      <c r="D12" s="1">
        <v>14.2486</v>
      </c>
      <c r="E12" s="1">
        <v>13.562099999999999</v>
      </c>
      <c r="H12">
        <v>21</v>
      </c>
    </row>
    <row r="13" spans="2:8">
      <c r="B13" s="1">
        <v>110</v>
      </c>
      <c r="C13" s="1">
        <v>12.492100000000001</v>
      </c>
      <c r="D13" s="1">
        <v>14.5419</v>
      </c>
      <c r="E13" s="1">
        <v>13.4293</v>
      </c>
      <c r="H13" s="1">
        <v>45</v>
      </c>
    </row>
    <row r="14" spans="2:8">
      <c r="B14" s="1">
        <v>100</v>
      </c>
      <c r="C14" s="1">
        <v>12.492100000000001</v>
      </c>
      <c r="D14" s="1">
        <v>14.5419</v>
      </c>
      <c r="E14" s="1">
        <v>13.4293</v>
      </c>
      <c r="H14" s="1">
        <v>45</v>
      </c>
    </row>
    <row r="15" spans="2:8">
      <c r="B15" s="1">
        <v>90</v>
      </c>
      <c r="C15" s="1">
        <v>12.492100000000001</v>
      </c>
      <c r="D15" s="1">
        <v>14.5419</v>
      </c>
      <c r="E15" s="1">
        <v>13.4293</v>
      </c>
      <c r="H15" s="1">
        <v>45</v>
      </c>
    </row>
    <row r="16" spans="2:8">
      <c r="B16" s="1">
        <v>80</v>
      </c>
      <c r="C16" s="1">
        <v>12.492100000000001</v>
      </c>
      <c r="D16" s="1">
        <v>14.5419</v>
      </c>
      <c r="E16" s="1">
        <v>13.4293</v>
      </c>
      <c r="H16" s="1">
        <v>45</v>
      </c>
    </row>
    <row r="17" spans="2:8">
      <c r="B17" s="2">
        <v>70</v>
      </c>
      <c r="C17" s="1">
        <v>12.492100000000001</v>
      </c>
      <c r="D17" s="1">
        <v>14.5419</v>
      </c>
      <c r="E17" s="1">
        <v>13.4293</v>
      </c>
      <c r="H17" s="1">
        <v>45</v>
      </c>
    </row>
    <row r="18" spans="2:8">
      <c r="B18" s="1">
        <v>60</v>
      </c>
      <c r="C18" s="1">
        <v>12.9527</v>
      </c>
      <c r="D18" s="1">
        <v>14.8742</v>
      </c>
      <c r="E18" s="1">
        <v>13.820600000000001</v>
      </c>
      <c r="H18" s="1">
        <v>18</v>
      </c>
    </row>
    <row r="19" spans="2:8">
      <c r="B19" s="1">
        <v>50</v>
      </c>
      <c r="C19" s="1">
        <v>12.5425</v>
      </c>
      <c r="D19" s="1">
        <v>15.007899999999999</v>
      </c>
      <c r="E19" s="1">
        <v>13.6479</v>
      </c>
      <c r="H19" s="1">
        <v>37</v>
      </c>
    </row>
    <row r="21" spans="2:8">
      <c r="D21" t="s">
        <v>13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DFFA-B961-5F4D-AD56-786B773A162B}">
  <dimension ref="B2:H21"/>
  <sheetViews>
    <sheetView workbookViewId="0">
      <selection activeCell="H20" sqref="H20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</row>
    <row r="4" spans="2:8">
      <c r="B4" s="2">
        <v>200</v>
      </c>
      <c r="C4" s="1"/>
      <c r="D4" s="1"/>
      <c r="E4" s="1"/>
    </row>
    <row r="5" spans="2:8">
      <c r="B5" s="2">
        <v>190</v>
      </c>
      <c r="C5" s="1"/>
      <c r="D5" s="1"/>
      <c r="E5" s="1"/>
    </row>
    <row r="6" spans="2:8">
      <c r="B6" s="2">
        <v>180</v>
      </c>
      <c r="C6" s="1"/>
      <c r="D6" s="1"/>
      <c r="E6" s="1"/>
    </row>
    <row r="7" spans="2:8">
      <c r="B7" s="2">
        <v>170</v>
      </c>
      <c r="C7" s="1">
        <v>14.7881</v>
      </c>
      <c r="D7" s="1">
        <v>15.773899999999999</v>
      </c>
      <c r="E7" s="1">
        <v>15.280200000000001</v>
      </c>
    </row>
    <row r="8" spans="2:8">
      <c r="B8" s="2">
        <v>160</v>
      </c>
      <c r="C8" s="1">
        <v>14.7881</v>
      </c>
      <c r="D8" s="1">
        <v>15.773899999999999</v>
      </c>
      <c r="E8" s="1">
        <v>15.280200000000001</v>
      </c>
    </row>
    <row r="9" spans="2:8">
      <c r="B9" s="2">
        <v>150</v>
      </c>
      <c r="C9" s="1">
        <v>14.7881</v>
      </c>
      <c r="D9" s="1">
        <v>15.773899999999999</v>
      </c>
      <c r="E9" s="1">
        <v>15.280200000000001</v>
      </c>
    </row>
    <row r="10" spans="2:8">
      <c r="B10" s="2">
        <v>140</v>
      </c>
      <c r="C10" s="1">
        <v>14.7881</v>
      </c>
      <c r="D10" s="1">
        <v>15.773899999999999</v>
      </c>
      <c r="E10" s="1">
        <v>15.280200000000001</v>
      </c>
    </row>
    <row r="11" spans="2:8">
      <c r="B11" s="2">
        <v>130</v>
      </c>
      <c r="C11" s="1">
        <v>14.7881</v>
      </c>
      <c r="D11" s="1">
        <v>15.773899999999999</v>
      </c>
      <c r="E11" s="1">
        <v>15.280200000000001</v>
      </c>
    </row>
    <row r="12" spans="2:8">
      <c r="B12" s="1">
        <v>120</v>
      </c>
      <c r="C12" s="1">
        <v>14.7881</v>
      </c>
      <c r="D12" s="1">
        <v>15.773899999999999</v>
      </c>
      <c r="E12" s="1">
        <v>15.280200000000001</v>
      </c>
      <c r="H12">
        <v>1</v>
      </c>
    </row>
    <row r="13" spans="2:8">
      <c r="B13" s="1">
        <v>110</v>
      </c>
      <c r="C13" s="1">
        <v>14.7881</v>
      </c>
      <c r="D13" s="1">
        <v>15.773899999999999</v>
      </c>
      <c r="E13" s="1">
        <v>15.280200000000001</v>
      </c>
      <c r="H13" s="1">
        <v>1</v>
      </c>
    </row>
    <row r="14" spans="2:8">
      <c r="B14" s="1">
        <v>100</v>
      </c>
      <c r="C14" s="1">
        <v>14.7881</v>
      </c>
      <c r="D14" s="1">
        <v>15.773899999999999</v>
      </c>
      <c r="E14" s="1">
        <v>15.280200000000001</v>
      </c>
      <c r="H14" s="1">
        <v>1</v>
      </c>
    </row>
    <row r="15" spans="2:8">
      <c r="B15" s="1">
        <v>90</v>
      </c>
      <c r="C15" s="1">
        <v>14.9338</v>
      </c>
      <c r="D15" s="1">
        <v>15.032400000000001</v>
      </c>
      <c r="E15" s="1">
        <v>14.9831</v>
      </c>
      <c r="H15" s="1">
        <v>1</v>
      </c>
    </row>
    <row r="16" spans="2:8">
      <c r="B16" s="1">
        <v>80</v>
      </c>
      <c r="C16" s="1">
        <v>14.9338</v>
      </c>
      <c r="D16" s="1">
        <v>15.032400000000001</v>
      </c>
      <c r="E16" s="1">
        <v>14.9831</v>
      </c>
      <c r="H16" s="1">
        <v>1</v>
      </c>
    </row>
    <row r="17" spans="2:8">
      <c r="B17" s="2">
        <v>70</v>
      </c>
      <c r="C17" s="1">
        <v>14.7881</v>
      </c>
      <c r="D17" s="1">
        <v>15.773899999999999</v>
      </c>
      <c r="E17" s="1">
        <v>15.280200000000001</v>
      </c>
      <c r="H17" s="1">
        <v>1</v>
      </c>
    </row>
    <row r="18" spans="2:8">
      <c r="B18" s="1">
        <v>60</v>
      </c>
      <c r="C18" s="1">
        <v>14.7881</v>
      </c>
      <c r="D18" s="1">
        <v>15.773899999999999</v>
      </c>
      <c r="E18" s="1">
        <v>15.280200000000001</v>
      </c>
      <c r="H18" s="1">
        <v>1</v>
      </c>
    </row>
    <row r="19" spans="2:8">
      <c r="B19" s="1">
        <v>50</v>
      </c>
      <c r="C19" s="1">
        <v>14.7881</v>
      </c>
      <c r="D19" s="1">
        <v>15.773899999999999</v>
      </c>
      <c r="E19" s="1">
        <v>15.280200000000001</v>
      </c>
      <c r="H19" s="1">
        <v>1</v>
      </c>
    </row>
    <row r="21" spans="2:8">
      <c r="D21" t="s">
        <v>13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5462-8C12-A647-B546-6A2E179C830C}">
  <dimension ref="B2:M21"/>
  <sheetViews>
    <sheetView workbookViewId="0">
      <selection activeCell="J2" sqref="J2:M19"/>
    </sheetView>
  </sheetViews>
  <sheetFormatPr baseColWidth="10" defaultRowHeight="20"/>
  <sheetData>
    <row r="2" spans="2:13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</row>
    <row r="3" spans="2:13">
      <c r="B3" s="1" t="s">
        <v>0</v>
      </c>
      <c r="C3" s="1" t="s">
        <v>2</v>
      </c>
      <c r="D3" s="1" t="s">
        <v>3</v>
      </c>
      <c r="E3" s="1" t="s">
        <v>4</v>
      </c>
      <c r="J3" s="1" t="s">
        <v>0</v>
      </c>
      <c r="K3" s="1" t="s">
        <v>2</v>
      </c>
      <c r="L3" s="1" t="s">
        <v>3</v>
      </c>
      <c r="M3" s="1" t="s">
        <v>4</v>
      </c>
    </row>
    <row r="4" spans="2:13">
      <c r="B4" s="2">
        <v>200</v>
      </c>
      <c r="C4" s="1"/>
      <c r="D4" s="1"/>
      <c r="E4" s="1"/>
      <c r="J4" s="1">
        <v>200</v>
      </c>
      <c r="K4" s="1"/>
      <c r="L4" s="1"/>
      <c r="M4" s="1"/>
    </row>
    <row r="5" spans="2:13">
      <c r="B5" s="2">
        <v>190</v>
      </c>
      <c r="C5" s="1"/>
      <c r="D5" s="1"/>
      <c r="E5" s="1"/>
      <c r="J5" s="1">
        <v>190</v>
      </c>
      <c r="K5" s="1"/>
      <c r="L5" s="1"/>
      <c r="M5" s="1"/>
    </row>
    <row r="6" spans="2:13">
      <c r="B6" s="2">
        <v>180</v>
      </c>
      <c r="C6" s="1"/>
      <c r="D6" s="1"/>
      <c r="E6" s="1"/>
      <c r="J6" s="1">
        <v>180</v>
      </c>
      <c r="K6" s="1"/>
      <c r="L6" s="1"/>
      <c r="M6" s="1"/>
    </row>
    <row r="7" spans="2:13">
      <c r="B7" s="2">
        <v>170</v>
      </c>
      <c r="C7" s="1">
        <v>13.0663</v>
      </c>
      <c r="D7" s="1">
        <v>13.6723</v>
      </c>
      <c r="E7" s="1">
        <v>13.349</v>
      </c>
      <c r="J7" s="1">
        <v>170</v>
      </c>
      <c r="K7" s="1"/>
      <c r="L7" s="1"/>
      <c r="M7" s="1"/>
    </row>
    <row r="8" spans="2:13">
      <c r="B8" s="2">
        <v>160</v>
      </c>
      <c r="C8" s="1">
        <v>13.0663</v>
      </c>
      <c r="D8" s="1">
        <v>13.6723</v>
      </c>
      <c r="E8" s="1">
        <v>13.349</v>
      </c>
      <c r="H8" t="s">
        <v>17</v>
      </c>
      <c r="J8" s="1">
        <v>160</v>
      </c>
      <c r="K8" s="1"/>
      <c r="L8" s="1"/>
      <c r="M8" s="1"/>
    </row>
    <row r="9" spans="2:13">
      <c r="B9" s="2">
        <v>150</v>
      </c>
      <c r="C9" s="1">
        <v>13.0663</v>
      </c>
      <c r="D9" s="1">
        <v>13.6723</v>
      </c>
      <c r="E9" s="1">
        <v>13.349</v>
      </c>
      <c r="H9" s="1">
        <v>12</v>
      </c>
      <c r="J9" s="1">
        <v>150</v>
      </c>
      <c r="K9" s="1"/>
      <c r="L9" s="1"/>
      <c r="M9" s="1"/>
    </row>
    <row r="10" spans="2:13">
      <c r="B10" s="2">
        <v>140</v>
      </c>
      <c r="C10" s="1">
        <v>13.333600000000001</v>
      </c>
      <c r="D10" s="1">
        <v>15.790699999999999</v>
      </c>
      <c r="E10" s="1">
        <v>14.4046</v>
      </c>
      <c r="H10" s="1">
        <v>10</v>
      </c>
      <c r="J10" s="1">
        <v>140</v>
      </c>
      <c r="K10" s="1"/>
      <c r="L10" s="1"/>
      <c r="M10" s="1"/>
    </row>
    <row r="11" spans="2:13">
      <c r="B11" s="2">
        <v>130</v>
      </c>
      <c r="C11" s="1">
        <v>13.33</v>
      </c>
      <c r="D11" s="1">
        <v>15.7737</v>
      </c>
      <c r="E11" s="1">
        <v>14.395099999999999</v>
      </c>
      <c r="H11" s="1">
        <v>10</v>
      </c>
      <c r="J11" s="1">
        <v>130</v>
      </c>
      <c r="K11" s="1"/>
      <c r="L11" s="1"/>
      <c r="M11" s="1"/>
    </row>
    <row r="12" spans="2:13">
      <c r="B12" s="1">
        <v>120</v>
      </c>
      <c r="C12" s="1">
        <v>13.370100000000001</v>
      </c>
      <c r="D12" s="1">
        <v>15.724299999999999</v>
      </c>
      <c r="E12" s="1">
        <v>14.3962</v>
      </c>
      <c r="H12" s="1">
        <v>10</v>
      </c>
      <c r="J12" s="1">
        <v>120</v>
      </c>
      <c r="K12" s="1"/>
      <c r="L12" s="1"/>
      <c r="M12" s="1"/>
    </row>
    <row r="13" spans="2:13">
      <c r="B13" s="1">
        <v>110</v>
      </c>
      <c r="C13" s="1">
        <v>13.370100000000001</v>
      </c>
      <c r="D13" s="1">
        <v>15.724299999999999</v>
      </c>
      <c r="E13" s="1">
        <v>14.3962</v>
      </c>
      <c r="H13" s="1">
        <v>9</v>
      </c>
      <c r="J13" s="1">
        <v>110</v>
      </c>
      <c r="K13" s="1"/>
      <c r="L13" s="1"/>
      <c r="M13" s="1"/>
    </row>
    <row r="14" spans="2:13">
      <c r="B14" s="1">
        <v>100</v>
      </c>
      <c r="C14" s="1">
        <v>13.3368</v>
      </c>
      <c r="D14" s="1">
        <v>12.1958</v>
      </c>
      <c r="E14" s="1">
        <v>12.8028</v>
      </c>
      <c r="H14" s="1">
        <v>9</v>
      </c>
      <c r="J14" s="1">
        <v>100</v>
      </c>
      <c r="K14" s="1"/>
      <c r="L14" s="1"/>
      <c r="M14" s="1"/>
    </row>
    <row r="15" spans="2:13">
      <c r="B15" s="1">
        <v>90</v>
      </c>
      <c r="C15" s="1">
        <v>12.882</v>
      </c>
      <c r="D15" s="1">
        <v>15.847</v>
      </c>
      <c r="E15" s="1">
        <v>14.1713</v>
      </c>
      <c r="H15" s="1">
        <v>9</v>
      </c>
      <c r="J15" s="1">
        <v>90</v>
      </c>
      <c r="K15" s="1"/>
      <c r="L15" s="1"/>
      <c r="M15" s="1"/>
    </row>
    <row r="16" spans="2:13">
      <c r="B16" s="1">
        <v>80</v>
      </c>
      <c r="C16" s="1">
        <v>13.523099999999999</v>
      </c>
      <c r="D16" s="1">
        <v>15.665100000000001</v>
      </c>
      <c r="E16" s="1">
        <v>14.4727</v>
      </c>
      <c r="H16" s="1">
        <v>6</v>
      </c>
      <c r="J16" s="1">
        <v>80</v>
      </c>
      <c r="K16" s="1"/>
      <c r="L16" s="1"/>
      <c r="M16" s="1"/>
    </row>
    <row r="17" spans="2:13">
      <c r="B17" s="2">
        <v>70</v>
      </c>
      <c r="C17" s="1">
        <v>12.560700000000001</v>
      </c>
      <c r="D17" s="1">
        <v>15.966100000000001</v>
      </c>
      <c r="E17" s="1">
        <v>14.001099999999999</v>
      </c>
      <c r="H17" s="1">
        <v>14</v>
      </c>
      <c r="J17" s="1">
        <v>70</v>
      </c>
      <c r="K17" s="1"/>
      <c r="L17" s="1"/>
      <c r="M17" s="1"/>
    </row>
    <row r="18" spans="2:13">
      <c r="B18" s="1">
        <v>60</v>
      </c>
      <c r="C18" s="1">
        <v>12.158300000000001</v>
      </c>
      <c r="D18" s="1">
        <v>15.9762</v>
      </c>
      <c r="E18" s="1">
        <v>13.7516</v>
      </c>
      <c r="H18" s="1">
        <v>11</v>
      </c>
      <c r="J18" s="1">
        <v>60</v>
      </c>
      <c r="K18" s="1"/>
      <c r="L18" s="1"/>
      <c r="M18" s="1"/>
    </row>
    <row r="19" spans="2:13">
      <c r="B19" s="1">
        <v>50</v>
      </c>
      <c r="C19" s="1">
        <v>12.4224</v>
      </c>
      <c r="D19" s="1">
        <v>15.5616</v>
      </c>
      <c r="E19" s="1">
        <v>13.7507</v>
      </c>
      <c r="J19" s="1">
        <v>50</v>
      </c>
      <c r="K19" s="1"/>
      <c r="L19" s="1"/>
      <c r="M19" s="1"/>
    </row>
    <row r="21" spans="2:13">
      <c r="D21" t="s">
        <v>12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673C-D8D1-804B-939D-D517F43A4952}">
  <dimension ref="B2:M21"/>
  <sheetViews>
    <sheetView workbookViewId="0">
      <selection activeCell="J2" sqref="J2:M19"/>
    </sheetView>
  </sheetViews>
  <sheetFormatPr baseColWidth="10" defaultRowHeight="20"/>
  <sheetData>
    <row r="2" spans="2:13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</row>
    <row r="3" spans="2:13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  <c r="J3" s="1" t="s">
        <v>0</v>
      </c>
      <c r="K3" s="1" t="s">
        <v>2</v>
      </c>
      <c r="L3" s="1" t="s">
        <v>3</v>
      </c>
      <c r="M3" s="1" t="s">
        <v>4</v>
      </c>
    </row>
    <row r="4" spans="2:13">
      <c r="B4" s="2">
        <v>200</v>
      </c>
      <c r="C4" s="1"/>
      <c r="D4" s="1"/>
      <c r="E4" s="1"/>
      <c r="J4" s="1">
        <v>200</v>
      </c>
      <c r="K4" s="1"/>
      <c r="L4" s="1"/>
      <c r="M4" s="1"/>
    </row>
    <row r="5" spans="2:13">
      <c r="B5" s="2">
        <v>190</v>
      </c>
      <c r="C5" s="1"/>
      <c r="D5" s="1"/>
      <c r="E5" s="1"/>
      <c r="J5" s="1">
        <v>190</v>
      </c>
      <c r="K5" s="1"/>
      <c r="L5" s="1"/>
      <c r="M5" s="1"/>
    </row>
    <row r="6" spans="2:13">
      <c r="B6" s="2">
        <v>180</v>
      </c>
      <c r="C6" s="1"/>
      <c r="D6" s="1"/>
      <c r="E6" s="1"/>
      <c r="J6" s="1">
        <v>180</v>
      </c>
      <c r="K6" s="1"/>
      <c r="L6" s="1"/>
      <c r="M6" s="1"/>
    </row>
    <row r="7" spans="2:13">
      <c r="B7" s="2">
        <v>170</v>
      </c>
      <c r="C7" s="1">
        <v>12.2957</v>
      </c>
      <c r="D7" s="1">
        <v>13.4955</v>
      </c>
      <c r="E7" s="1">
        <v>12.8674</v>
      </c>
      <c r="H7" s="1">
        <v>24</v>
      </c>
      <c r="J7" s="1">
        <v>170</v>
      </c>
      <c r="K7" s="1"/>
      <c r="L7" s="1"/>
      <c r="M7" s="1"/>
    </row>
    <row r="8" spans="2:13">
      <c r="B8" s="2">
        <v>160</v>
      </c>
      <c r="C8" s="1">
        <v>12.2864</v>
      </c>
      <c r="D8" s="1">
        <v>13.5039</v>
      </c>
      <c r="E8" s="1">
        <v>12.8666</v>
      </c>
      <c r="H8" s="1">
        <v>24</v>
      </c>
      <c r="J8" s="1">
        <v>160</v>
      </c>
      <c r="K8" s="1"/>
      <c r="L8" s="1"/>
      <c r="M8" s="1"/>
    </row>
    <row r="9" spans="2:13">
      <c r="B9" s="2">
        <v>150</v>
      </c>
      <c r="C9" s="1">
        <v>12.2941</v>
      </c>
      <c r="D9" s="1">
        <v>13.502800000000001</v>
      </c>
      <c r="E9" s="1">
        <v>12.870100000000001</v>
      </c>
      <c r="H9" s="1">
        <v>24</v>
      </c>
      <c r="J9" s="1">
        <v>150</v>
      </c>
      <c r="K9" s="1"/>
      <c r="L9" s="1"/>
      <c r="M9" s="1"/>
    </row>
    <row r="10" spans="2:13">
      <c r="B10" s="2">
        <v>140</v>
      </c>
      <c r="C10" s="1">
        <v>12.2941</v>
      </c>
      <c r="D10" s="1">
        <v>13.502800000000001</v>
      </c>
      <c r="E10" s="1">
        <v>12.870100000000001</v>
      </c>
      <c r="H10" s="1">
        <v>24</v>
      </c>
      <c r="J10" s="1">
        <v>140</v>
      </c>
      <c r="K10" s="1"/>
      <c r="L10" s="1"/>
      <c r="M10" s="1"/>
    </row>
    <row r="11" spans="2:13">
      <c r="B11" s="2">
        <v>130</v>
      </c>
      <c r="C11" s="1">
        <v>12.2864</v>
      </c>
      <c r="D11" s="1">
        <v>13.5039</v>
      </c>
      <c r="E11" s="1">
        <v>12.8666</v>
      </c>
      <c r="H11" s="1">
        <v>24</v>
      </c>
      <c r="J11" s="1">
        <v>130</v>
      </c>
      <c r="K11" s="1"/>
      <c r="L11" s="1"/>
      <c r="M11" s="1"/>
    </row>
    <row r="12" spans="2:13">
      <c r="B12" s="1">
        <v>120</v>
      </c>
      <c r="C12" s="1">
        <v>12.2864</v>
      </c>
      <c r="D12" s="1">
        <v>13.5039</v>
      </c>
      <c r="E12" s="1">
        <v>12.8666</v>
      </c>
      <c r="H12" s="1">
        <v>24</v>
      </c>
      <c r="J12" s="1">
        <v>120</v>
      </c>
      <c r="K12" s="1"/>
      <c r="L12" s="1"/>
      <c r="M12" s="1"/>
    </row>
    <row r="13" spans="2:13">
      <c r="B13" s="1">
        <v>110</v>
      </c>
      <c r="C13" s="1">
        <v>12.2864</v>
      </c>
      <c r="D13" s="1">
        <v>13.5039</v>
      </c>
      <c r="E13" s="1">
        <v>12.8666</v>
      </c>
      <c r="H13" s="1">
        <v>24</v>
      </c>
      <c r="J13" s="1">
        <v>110</v>
      </c>
      <c r="K13" s="1"/>
      <c r="L13" s="1"/>
      <c r="M13" s="1"/>
    </row>
    <row r="14" spans="2:13">
      <c r="B14" s="1">
        <v>100</v>
      </c>
      <c r="C14" s="1">
        <v>12.2864</v>
      </c>
      <c r="D14" s="1">
        <v>13.5039</v>
      </c>
      <c r="E14" s="1">
        <v>12.8666</v>
      </c>
      <c r="H14" s="1">
        <v>24</v>
      </c>
      <c r="J14" s="1">
        <v>100</v>
      </c>
      <c r="K14" s="1"/>
      <c r="L14" s="1"/>
      <c r="M14" s="1"/>
    </row>
    <row r="15" spans="2:13">
      <c r="B15" s="1">
        <v>90</v>
      </c>
      <c r="C15" s="1">
        <v>11.766999999999999</v>
      </c>
      <c r="D15" s="1">
        <v>14.787599999999999</v>
      </c>
      <c r="E15" s="1">
        <v>13.115500000000001</v>
      </c>
      <c r="H15" s="1">
        <v>21</v>
      </c>
      <c r="J15" s="1">
        <v>90</v>
      </c>
      <c r="K15" s="1"/>
      <c r="L15" s="1"/>
      <c r="M15" s="1"/>
    </row>
    <row r="16" spans="2:13">
      <c r="B16" s="1">
        <v>80</v>
      </c>
      <c r="C16" s="1">
        <v>12.944100000000001</v>
      </c>
      <c r="D16" s="1">
        <v>15.6296</v>
      </c>
      <c r="E16" s="1">
        <v>14.149699999999999</v>
      </c>
      <c r="H16" s="1">
        <v>12</v>
      </c>
      <c r="J16" s="1">
        <v>80</v>
      </c>
      <c r="K16" s="1"/>
      <c r="L16" s="1"/>
      <c r="M16" s="1"/>
    </row>
    <row r="17" spans="2:13">
      <c r="B17" s="2">
        <v>70</v>
      </c>
      <c r="C17" s="1">
        <v>12.944100000000001</v>
      </c>
      <c r="D17" s="1">
        <v>15.6296</v>
      </c>
      <c r="E17" s="1">
        <v>14.149699999999999</v>
      </c>
      <c r="H17" s="1">
        <v>12</v>
      </c>
      <c r="J17" s="1">
        <v>70</v>
      </c>
      <c r="K17" s="1"/>
      <c r="L17" s="1"/>
      <c r="M17" s="1"/>
    </row>
    <row r="18" spans="2:13">
      <c r="B18" s="1">
        <v>60</v>
      </c>
      <c r="C18" s="1">
        <v>12.944100000000001</v>
      </c>
      <c r="D18" s="1">
        <v>15.6296</v>
      </c>
      <c r="E18" s="1">
        <v>14.149699999999999</v>
      </c>
      <c r="H18" s="1">
        <v>12</v>
      </c>
      <c r="J18" s="1">
        <v>60</v>
      </c>
      <c r="K18" s="1"/>
      <c r="L18" s="1"/>
      <c r="M18" s="1"/>
    </row>
    <row r="19" spans="2:13">
      <c r="B19" s="1">
        <v>50</v>
      </c>
      <c r="C19" s="1">
        <v>11.1708</v>
      </c>
      <c r="D19" s="1">
        <v>14.6151</v>
      </c>
      <c r="E19" s="1">
        <v>12.705399999999999</v>
      </c>
      <c r="G19" s="1">
        <v>2</v>
      </c>
      <c r="H19" s="1">
        <v>15</v>
      </c>
      <c r="J19" s="1">
        <v>50</v>
      </c>
      <c r="K19" s="1"/>
      <c r="L19" s="1"/>
      <c r="M19" s="1"/>
    </row>
    <row r="21" spans="2:13">
      <c r="D21" t="s">
        <v>12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F018-46D2-2B42-8203-DB1C25E2F065}">
  <dimension ref="B2:H21"/>
  <sheetViews>
    <sheetView workbookViewId="0">
      <selection activeCell="J19" sqref="J19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</row>
    <row r="4" spans="2:8">
      <c r="B4" s="2">
        <v>200</v>
      </c>
      <c r="C4" s="1"/>
      <c r="D4" s="1"/>
      <c r="E4" s="1"/>
    </row>
    <row r="5" spans="2:8">
      <c r="B5" s="2">
        <v>190</v>
      </c>
      <c r="C5" s="1"/>
      <c r="D5" s="1"/>
      <c r="E5" s="1"/>
    </row>
    <row r="6" spans="2:8">
      <c r="B6" s="2">
        <v>180</v>
      </c>
      <c r="C6" s="1"/>
      <c r="D6" s="1"/>
      <c r="E6" s="1"/>
    </row>
    <row r="7" spans="2:8">
      <c r="B7" s="2">
        <v>170</v>
      </c>
      <c r="C7" s="1">
        <v>11.351699999999999</v>
      </c>
      <c r="D7" s="1">
        <v>13.965199999999999</v>
      </c>
      <c r="E7" s="1">
        <v>12.6082</v>
      </c>
      <c r="H7" s="1">
        <v>18</v>
      </c>
    </row>
    <row r="8" spans="2:8">
      <c r="B8" s="2">
        <v>160</v>
      </c>
      <c r="C8" s="1">
        <v>11.351699999999999</v>
      </c>
      <c r="D8" s="1">
        <v>13.965199999999999</v>
      </c>
      <c r="E8" s="1">
        <v>12.6082</v>
      </c>
      <c r="H8">
        <v>18</v>
      </c>
    </row>
    <row r="9" spans="2:8">
      <c r="B9" s="2">
        <v>150</v>
      </c>
      <c r="C9" s="1">
        <v>11.351699999999999</v>
      </c>
      <c r="D9" s="1">
        <v>13.965199999999999</v>
      </c>
      <c r="E9" s="1">
        <v>12.6082</v>
      </c>
      <c r="H9" s="1">
        <v>18</v>
      </c>
    </row>
    <row r="10" spans="2:8">
      <c r="B10" s="2">
        <v>140</v>
      </c>
      <c r="C10" s="1">
        <v>11.0761</v>
      </c>
      <c r="D10" s="1">
        <v>14.4413</v>
      </c>
      <c r="E10" s="1">
        <v>12.576499999999999</v>
      </c>
      <c r="H10" s="1">
        <v>13</v>
      </c>
    </row>
    <row r="11" spans="2:8">
      <c r="B11" s="2">
        <v>130</v>
      </c>
      <c r="C11" s="1">
        <v>10.9892</v>
      </c>
      <c r="D11" s="1">
        <v>14.822900000000001</v>
      </c>
      <c r="E11" s="1">
        <v>12.698399999999999</v>
      </c>
      <c r="H11" s="1">
        <v>13</v>
      </c>
    </row>
    <row r="12" spans="2:8">
      <c r="B12" s="1">
        <v>120</v>
      </c>
      <c r="C12" s="1">
        <v>11.0029</v>
      </c>
      <c r="D12" s="1">
        <v>15.6013</v>
      </c>
      <c r="E12" s="1">
        <v>13.0494</v>
      </c>
      <c r="H12" s="1">
        <v>15</v>
      </c>
    </row>
    <row r="13" spans="2:8">
      <c r="B13" s="1">
        <v>110</v>
      </c>
      <c r="C13" s="1">
        <v>11.2361</v>
      </c>
      <c r="D13" s="1">
        <v>14.9602</v>
      </c>
      <c r="E13" s="1">
        <v>12.8988</v>
      </c>
      <c r="H13" s="1">
        <v>22</v>
      </c>
    </row>
    <row r="14" spans="2:8">
      <c r="B14" s="1">
        <v>100</v>
      </c>
      <c r="C14" s="1">
        <v>11.2361</v>
      </c>
      <c r="D14" s="1">
        <v>14.9602</v>
      </c>
      <c r="E14" s="1">
        <v>12.8988</v>
      </c>
      <c r="H14" s="1">
        <v>22</v>
      </c>
    </row>
    <row r="15" spans="2:8">
      <c r="B15" s="1">
        <v>90</v>
      </c>
      <c r="C15" s="1">
        <v>11.9481</v>
      </c>
      <c r="D15" s="1">
        <v>15.031700000000001</v>
      </c>
      <c r="E15" s="1">
        <v>13.389200000000001</v>
      </c>
      <c r="H15" s="1">
        <v>5</v>
      </c>
    </row>
    <row r="16" spans="2:8">
      <c r="B16" s="1">
        <v>80</v>
      </c>
      <c r="C16" s="1">
        <v>11.9481</v>
      </c>
      <c r="D16" s="1">
        <v>15.031700000000001</v>
      </c>
      <c r="E16" s="1">
        <v>13.389200000000001</v>
      </c>
      <c r="H16" s="1">
        <v>5</v>
      </c>
    </row>
    <row r="17" spans="2:8">
      <c r="B17" s="2">
        <v>70</v>
      </c>
      <c r="C17" s="1">
        <v>11.5245</v>
      </c>
      <c r="D17" s="1">
        <v>12.9024</v>
      </c>
      <c r="E17" s="1">
        <v>12.2012</v>
      </c>
      <c r="H17" s="1">
        <v>7</v>
      </c>
    </row>
    <row r="18" spans="2:8">
      <c r="B18" s="1">
        <v>60</v>
      </c>
      <c r="C18" s="1">
        <v>10.601800000000001</v>
      </c>
      <c r="D18" s="1">
        <v>12.1036</v>
      </c>
      <c r="E18" s="1">
        <v>11.327199999999999</v>
      </c>
      <c r="G18" s="1">
        <v>2</v>
      </c>
      <c r="H18" s="1">
        <v>32</v>
      </c>
    </row>
    <row r="19" spans="2:8">
      <c r="B19" s="1">
        <v>50</v>
      </c>
      <c r="C19" s="1">
        <v>10.505599999999999</v>
      </c>
      <c r="D19" s="1">
        <v>12.0609</v>
      </c>
      <c r="E19" s="1">
        <v>11.3032</v>
      </c>
      <c r="G19" s="1">
        <v>1</v>
      </c>
      <c r="H19" s="1">
        <v>36</v>
      </c>
    </row>
    <row r="21" spans="2:8">
      <c r="D21" t="s">
        <v>13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D78F-1F14-B64A-80C6-04BCE90A9BA1}">
  <dimension ref="B2:M21"/>
  <sheetViews>
    <sheetView workbookViewId="0">
      <selection activeCell="H19" sqref="H19"/>
    </sheetView>
  </sheetViews>
  <sheetFormatPr baseColWidth="10" defaultRowHeight="20"/>
  <sheetData>
    <row r="2" spans="2:13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</row>
    <row r="3" spans="2:13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  <c r="J3" s="1" t="s">
        <v>0</v>
      </c>
      <c r="K3" s="1" t="s">
        <v>2</v>
      </c>
      <c r="L3" s="1" t="s">
        <v>3</v>
      </c>
      <c r="M3" s="1" t="s">
        <v>4</v>
      </c>
    </row>
    <row r="4" spans="2:13">
      <c r="B4" s="2">
        <v>200</v>
      </c>
      <c r="C4" s="1"/>
      <c r="D4" s="1"/>
      <c r="E4" s="1"/>
      <c r="J4" s="1">
        <v>200</v>
      </c>
      <c r="K4" s="1"/>
      <c r="L4" s="1"/>
      <c r="M4" s="1"/>
    </row>
    <row r="5" spans="2:13">
      <c r="B5" s="2">
        <v>190</v>
      </c>
      <c r="C5" s="1"/>
      <c r="D5" s="1"/>
      <c r="E5" s="1"/>
      <c r="J5" s="1">
        <v>190</v>
      </c>
      <c r="K5" s="1"/>
      <c r="L5" s="1"/>
      <c r="M5" s="1"/>
    </row>
    <row r="6" spans="2:13">
      <c r="B6" s="2">
        <v>180</v>
      </c>
      <c r="C6" s="1"/>
      <c r="D6" s="1"/>
      <c r="E6" s="1"/>
      <c r="J6" s="1">
        <v>180</v>
      </c>
      <c r="K6" s="1"/>
      <c r="L6" s="1"/>
      <c r="M6" s="1"/>
    </row>
    <row r="7" spans="2:13">
      <c r="B7" s="2">
        <v>170</v>
      </c>
      <c r="C7" s="1">
        <v>10.944000000000001</v>
      </c>
      <c r="D7" s="1">
        <v>14.337</v>
      </c>
      <c r="E7" s="1">
        <v>12.5441</v>
      </c>
      <c r="H7" s="1">
        <v>17</v>
      </c>
      <c r="J7" s="1">
        <v>170</v>
      </c>
      <c r="K7" s="1"/>
      <c r="L7" s="1"/>
      <c r="M7" s="1"/>
    </row>
    <row r="8" spans="2:13">
      <c r="B8" s="2">
        <v>160</v>
      </c>
      <c r="C8" s="1">
        <v>10.944000000000001</v>
      </c>
      <c r="D8" s="1">
        <v>14.337</v>
      </c>
      <c r="E8" s="1">
        <v>12.5441</v>
      </c>
      <c r="H8">
        <v>17</v>
      </c>
      <c r="J8" s="1">
        <v>160</v>
      </c>
      <c r="K8" s="1"/>
      <c r="L8" s="1"/>
      <c r="M8" s="1"/>
    </row>
    <row r="9" spans="2:13">
      <c r="B9" s="2">
        <v>150</v>
      </c>
      <c r="C9" s="1">
        <v>11.2622</v>
      </c>
      <c r="D9" s="1">
        <v>15.160500000000001</v>
      </c>
      <c r="E9" s="1">
        <v>13.0762</v>
      </c>
      <c r="H9" s="1">
        <v>14</v>
      </c>
      <c r="J9" s="1">
        <v>150</v>
      </c>
      <c r="K9" s="1"/>
      <c r="L9" s="1"/>
      <c r="M9" s="1"/>
    </row>
    <row r="10" spans="2:13">
      <c r="B10" s="2">
        <v>140</v>
      </c>
      <c r="C10" s="1">
        <v>11.2622</v>
      </c>
      <c r="D10" s="1">
        <v>15.160500000000001</v>
      </c>
      <c r="E10" s="1">
        <v>13.0762</v>
      </c>
      <c r="H10" s="1">
        <v>14</v>
      </c>
      <c r="J10" s="1">
        <v>140</v>
      </c>
      <c r="K10" s="1"/>
      <c r="L10" s="1"/>
      <c r="M10" s="1"/>
    </row>
    <row r="11" spans="2:13">
      <c r="B11" s="2">
        <v>130</v>
      </c>
      <c r="C11" s="1">
        <v>11.305300000000001</v>
      </c>
      <c r="D11" s="1">
        <v>15.043900000000001</v>
      </c>
      <c r="E11" s="1">
        <v>13.0456</v>
      </c>
      <c r="H11" s="1">
        <v>15</v>
      </c>
      <c r="J11" s="1">
        <v>130</v>
      </c>
      <c r="K11" s="1"/>
      <c r="L11" s="1"/>
      <c r="M11" s="1"/>
    </row>
    <row r="12" spans="2:13">
      <c r="B12" s="1">
        <v>120</v>
      </c>
      <c r="C12" s="1">
        <v>11.2187</v>
      </c>
      <c r="D12" s="1">
        <v>15.1541</v>
      </c>
      <c r="E12" s="1">
        <v>13.050599999999999</v>
      </c>
      <c r="H12" s="1">
        <v>15</v>
      </c>
      <c r="J12" s="1">
        <v>120</v>
      </c>
      <c r="K12" s="1"/>
      <c r="L12" s="1"/>
      <c r="M12" s="1"/>
    </row>
    <row r="13" spans="2:13">
      <c r="B13" s="1">
        <v>110</v>
      </c>
      <c r="C13" s="1">
        <v>12.0855</v>
      </c>
      <c r="D13" s="1">
        <v>14.763299999999999</v>
      </c>
      <c r="E13" s="1">
        <v>13.3909</v>
      </c>
      <c r="H13" s="1">
        <v>27</v>
      </c>
      <c r="J13" s="1">
        <v>110</v>
      </c>
      <c r="K13" s="1"/>
      <c r="L13" s="1"/>
      <c r="M13" s="1"/>
    </row>
    <row r="14" spans="2:13">
      <c r="B14" s="1">
        <v>100</v>
      </c>
      <c r="C14" s="1">
        <v>11.2187</v>
      </c>
      <c r="D14" s="1">
        <v>15.1541</v>
      </c>
      <c r="E14" s="1">
        <v>13.050599999999999</v>
      </c>
      <c r="H14" s="1">
        <v>15</v>
      </c>
      <c r="J14" s="1">
        <v>100</v>
      </c>
      <c r="K14" s="1"/>
      <c r="L14" s="1"/>
      <c r="M14" s="1"/>
    </row>
    <row r="15" spans="2:13">
      <c r="B15" s="1">
        <v>90</v>
      </c>
      <c r="C15" s="1">
        <v>11.218999999999999</v>
      </c>
      <c r="D15" s="1">
        <v>15.0435</v>
      </c>
      <c r="E15" s="1">
        <v>12.9993</v>
      </c>
      <c r="H15" s="1">
        <v>15</v>
      </c>
      <c r="J15" s="1">
        <v>90</v>
      </c>
      <c r="K15" s="1"/>
      <c r="L15" s="1"/>
      <c r="M15" s="1"/>
    </row>
    <row r="16" spans="2:13">
      <c r="B16" s="1">
        <v>80</v>
      </c>
      <c r="C16" s="1">
        <v>11.218999999999999</v>
      </c>
      <c r="D16" s="1">
        <v>15.0435</v>
      </c>
      <c r="E16" s="1">
        <v>12.9993</v>
      </c>
      <c r="H16" s="1">
        <v>15</v>
      </c>
      <c r="J16" s="1">
        <v>80</v>
      </c>
      <c r="K16" s="1"/>
      <c r="L16" s="1"/>
      <c r="M16" s="1"/>
    </row>
    <row r="17" spans="2:13">
      <c r="B17" s="2">
        <v>70</v>
      </c>
      <c r="C17" s="1">
        <v>11.4285</v>
      </c>
      <c r="D17" s="1">
        <v>15.0434</v>
      </c>
      <c r="E17" s="1">
        <v>13.1112</v>
      </c>
      <c r="H17" s="1">
        <v>15</v>
      </c>
      <c r="J17" s="1">
        <v>70</v>
      </c>
      <c r="K17" s="1"/>
      <c r="L17" s="1"/>
      <c r="M17" s="1"/>
    </row>
    <row r="18" spans="2:13">
      <c r="B18" s="1">
        <v>60</v>
      </c>
      <c r="C18" s="1">
        <v>11.4368</v>
      </c>
      <c r="D18" s="1">
        <v>14.9224</v>
      </c>
      <c r="E18" s="1">
        <v>13.071899999999999</v>
      </c>
      <c r="H18" s="1">
        <v>11</v>
      </c>
      <c r="J18" s="1">
        <v>60</v>
      </c>
      <c r="K18" s="1"/>
      <c r="L18" s="1"/>
      <c r="M18" s="1"/>
    </row>
    <row r="19" spans="2:13">
      <c r="B19" s="1">
        <v>50</v>
      </c>
      <c r="J19" s="1">
        <v>50</v>
      </c>
      <c r="K19" s="1"/>
      <c r="L19" s="1"/>
      <c r="M19" s="1"/>
    </row>
    <row r="21" spans="2:13">
      <c r="D21" t="s">
        <v>13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2677-3194-014C-9C95-4B939708C4A1}">
  <dimension ref="B2:M21"/>
  <sheetViews>
    <sheetView workbookViewId="0">
      <selection activeCell="H20" sqref="H20"/>
    </sheetView>
  </sheetViews>
  <sheetFormatPr baseColWidth="10" defaultRowHeight="20"/>
  <sheetData>
    <row r="2" spans="2:13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</row>
    <row r="3" spans="2:13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  <c r="J3" s="1" t="s">
        <v>0</v>
      </c>
      <c r="K3" s="1" t="s">
        <v>2</v>
      </c>
      <c r="L3" s="1" t="s">
        <v>3</v>
      </c>
      <c r="M3" s="1" t="s">
        <v>4</v>
      </c>
    </row>
    <row r="4" spans="2:13">
      <c r="B4" s="2">
        <v>200</v>
      </c>
      <c r="C4" s="1"/>
      <c r="D4" s="1"/>
      <c r="E4" s="1"/>
      <c r="J4" s="1">
        <v>200</v>
      </c>
      <c r="K4" s="1"/>
      <c r="L4" s="1"/>
      <c r="M4" s="1"/>
    </row>
    <row r="5" spans="2:13">
      <c r="B5" s="2">
        <v>190</v>
      </c>
      <c r="C5" s="1"/>
      <c r="D5" s="1"/>
      <c r="E5" s="1"/>
      <c r="J5" s="1">
        <v>190</v>
      </c>
      <c r="K5" s="1"/>
      <c r="L5" s="1"/>
      <c r="M5" s="1"/>
    </row>
    <row r="6" spans="2:13">
      <c r="B6" s="2">
        <v>180</v>
      </c>
      <c r="C6" s="1"/>
      <c r="D6" s="1"/>
      <c r="E6" s="1"/>
      <c r="J6" s="1">
        <v>180</v>
      </c>
      <c r="K6" s="1"/>
      <c r="L6" s="1"/>
      <c r="M6" s="1"/>
    </row>
    <row r="7" spans="2:13">
      <c r="B7" s="2">
        <v>170</v>
      </c>
      <c r="C7" s="1">
        <v>10.8804</v>
      </c>
      <c r="D7" s="1">
        <v>13.115600000000001</v>
      </c>
      <c r="E7" s="1">
        <v>11.861499999999999</v>
      </c>
      <c r="J7" s="1">
        <v>170</v>
      </c>
      <c r="K7" s="1"/>
      <c r="L7" s="1"/>
      <c r="M7" s="1"/>
    </row>
    <row r="8" spans="2:13">
      <c r="B8" s="2">
        <v>160</v>
      </c>
      <c r="C8" s="1">
        <v>10.764699999999999</v>
      </c>
      <c r="D8" s="1">
        <v>11.9777</v>
      </c>
      <c r="E8" s="1">
        <v>11.3079</v>
      </c>
      <c r="H8">
        <v>11</v>
      </c>
      <c r="J8" s="1">
        <v>160</v>
      </c>
      <c r="K8" s="1"/>
      <c r="L8" s="1"/>
      <c r="M8" s="1"/>
    </row>
    <row r="9" spans="2:13">
      <c r="B9" s="2">
        <v>150</v>
      </c>
      <c r="C9" s="1">
        <v>10.964600000000001</v>
      </c>
      <c r="D9" s="1">
        <v>12.848000000000001</v>
      </c>
      <c r="E9" s="1">
        <v>11.7912</v>
      </c>
      <c r="H9" s="1">
        <v>18</v>
      </c>
      <c r="J9" s="1">
        <v>150</v>
      </c>
      <c r="K9" s="1"/>
      <c r="L9" s="1"/>
      <c r="M9" s="1"/>
    </row>
    <row r="10" spans="2:13">
      <c r="B10" s="2">
        <v>140</v>
      </c>
      <c r="C10" s="1">
        <v>10.7791</v>
      </c>
      <c r="D10" s="1">
        <v>11.9391</v>
      </c>
      <c r="E10" s="1">
        <v>11.298500000000001</v>
      </c>
      <c r="H10" s="1">
        <v>11</v>
      </c>
      <c r="J10" s="1">
        <v>140</v>
      </c>
      <c r="K10" s="1"/>
      <c r="L10" s="1"/>
      <c r="M10" s="1"/>
    </row>
    <row r="11" spans="2:13">
      <c r="B11" s="2">
        <v>130</v>
      </c>
      <c r="C11" s="1">
        <v>10.6259</v>
      </c>
      <c r="D11" s="1">
        <v>13.5244</v>
      </c>
      <c r="E11" s="1">
        <v>11.866400000000001</v>
      </c>
      <c r="H11" s="1">
        <v>36</v>
      </c>
      <c r="J11" s="1">
        <v>130</v>
      </c>
      <c r="K11" s="1"/>
      <c r="L11" s="1"/>
      <c r="M11" s="1"/>
    </row>
    <row r="12" spans="2:13">
      <c r="B12" s="1">
        <v>120</v>
      </c>
      <c r="C12" s="1">
        <v>10.881399999999999</v>
      </c>
      <c r="D12" s="1">
        <v>13.1151</v>
      </c>
      <c r="E12" s="1">
        <v>11.861800000000001</v>
      </c>
      <c r="H12" s="1">
        <v>20</v>
      </c>
      <c r="J12" s="1">
        <v>120</v>
      </c>
      <c r="K12" s="1"/>
      <c r="L12" s="1"/>
      <c r="M12" s="1"/>
    </row>
    <row r="13" spans="2:13">
      <c r="B13" s="1">
        <v>110</v>
      </c>
      <c r="C13" s="1">
        <v>10.881399999999999</v>
      </c>
      <c r="D13" s="1">
        <v>13.1151</v>
      </c>
      <c r="E13" s="1">
        <v>11.861800000000001</v>
      </c>
      <c r="H13" s="1">
        <v>22</v>
      </c>
      <c r="J13" s="1">
        <v>110</v>
      </c>
      <c r="K13" s="1"/>
      <c r="L13" s="1"/>
      <c r="M13" s="1"/>
    </row>
    <row r="14" spans="2:13">
      <c r="B14" s="1">
        <v>100</v>
      </c>
      <c r="C14" s="1">
        <v>10.6259</v>
      </c>
      <c r="D14" s="1">
        <v>13.5244</v>
      </c>
      <c r="E14" s="1">
        <v>11.866400000000001</v>
      </c>
      <c r="H14" s="1">
        <v>34</v>
      </c>
      <c r="J14" s="1">
        <v>100</v>
      </c>
      <c r="K14" s="1"/>
      <c r="L14" s="1"/>
      <c r="M14" s="1"/>
    </row>
    <row r="15" spans="2:13">
      <c r="B15" s="1">
        <v>90</v>
      </c>
      <c r="C15" s="1">
        <v>10.616300000000001</v>
      </c>
      <c r="D15" s="1">
        <v>13.3908</v>
      </c>
      <c r="E15" s="1">
        <v>11.8041</v>
      </c>
      <c r="H15" s="1">
        <v>38</v>
      </c>
      <c r="J15" s="1">
        <v>90</v>
      </c>
      <c r="K15" s="1"/>
      <c r="L15" s="1"/>
      <c r="M15" s="1"/>
    </row>
    <row r="16" spans="2:13">
      <c r="B16" s="1">
        <v>80</v>
      </c>
      <c r="C16" s="1">
        <v>10.616300000000001</v>
      </c>
      <c r="D16" s="1">
        <v>13.3908</v>
      </c>
      <c r="E16" s="1">
        <v>11.8041</v>
      </c>
      <c r="H16" s="1">
        <v>38</v>
      </c>
      <c r="J16" s="1">
        <v>80</v>
      </c>
      <c r="K16" s="1"/>
      <c r="L16" s="1"/>
      <c r="M16" s="1"/>
    </row>
    <row r="17" spans="2:13">
      <c r="B17" s="2">
        <v>70</v>
      </c>
      <c r="C17" s="1">
        <v>10.9239</v>
      </c>
      <c r="D17" s="1">
        <v>12.7982</v>
      </c>
      <c r="E17" s="1">
        <v>11.746600000000001</v>
      </c>
      <c r="H17" s="1">
        <v>23</v>
      </c>
      <c r="J17" s="1">
        <v>70</v>
      </c>
      <c r="K17" s="1"/>
      <c r="L17" s="1"/>
      <c r="M17" s="1"/>
    </row>
    <row r="18" spans="2:13">
      <c r="B18" s="1">
        <v>60</v>
      </c>
      <c r="C18" s="1">
        <v>10.840400000000001</v>
      </c>
      <c r="D18" s="1">
        <v>11.652200000000001</v>
      </c>
      <c r="E18" s="1">
        <v>11.195</v>
      </c>
      <c r="H18" s="1">
        <v>16</v>
      </c>
      <c r="J18" s="1">
        <v>60</v>
      </c>
      <c r="K18" s="1"/>
      <c r="L18" s="1"/>
      <c r="M18" s="1"/>
    </row>
    <row r="19" spans="2:13">
      <c r="B19" s="1">
        <v>50</v>
      </c>
      <c r="C19" s="1">
        <v>11.032400000000001</v>
      </c>
      <c r="D19" s="1">
        <v>12.472099999999999</v>
      </c>
      <c r="E19" s="1">
        <v>11.664999999999999</v>
      </c>
      <c r="H19" s="1">
        <v>14</v>
      </c>
      <c r="J19" s="1">
        <v>50</v>
      </c>
      <c r="K19" s="1"/>
      <c r="L19" s="1"/>
      <c r="M19" s="1"/>
    </row>
    <row r="21" spans="2:13">
      <c r="D21" t="s">
        <v>13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2179-A951-A046-9B16-1E2CCBBC8D45}">
  <dimension ref="B2:H21"/>
  <sheetViews>
    <sheetView workbookViewId="0">
      <selection activeCell="H20" sqref="H20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</row>
    <row r="4" spans="2:8">
      <c r="B4" s="2">
        <v>200</v>
      </c>
      <c r="C4" s="1"/>
      <c r="D4" s="1"/>
      <c r="E4" s="1"/>
    </row>
    <row r="5" spans="2:8">
      <c r="B5" s="2">
        <v>190</v>
      </c>
      <c r="C5" s="1"/>
      <c r="D5" s="1"/>
      <c r="E5" s="1"/>
    </row>
    <row r="6" spans="2:8">
      <c r="B6" s="2">
        <v>180</v>
      </c>
      <c r="C6" s="1"/>
      <c r="D6" s="1"/>
      <c r="E6" s="1"/>
    </row>
    <row r="7" spans="2:8">
      <c r="B7" s="2">
        <v>170</v>
      </c>
      <c r="C7" s="1">
        <v>12.9605</v>
      </c>
      <c r="D7" s="1">
        <v>16.383500000000002</v>
      </c>
      <c r="E7" s="1">
        <v>14.5588</v>
      </c>
      <c r="H7" s="1">
        <v>6</v>
      </c>
    </row>
    <row r="8" spans="2:8">
      <c r="B8" s="2">
        <v>160</v>
      </c>
      <c r="C8" s="1">
        <v>12.9605</v>
      </c>
      <c r="D8" s="1">
        <v>16.383500000000002</v>
      </c>
      <c r="E8" s="1">
        <v>14.5588</v>
      </c>
      <c r="H8">
        <v>7</v>
      </c>
    </row>
    <row r="9" spans="2:8">
      <c r="B9" s="2">
        <v>150</v>
      </c>
      <c r="C9" s="1">
        <v>12.9605</v>
      </c>
      <c r="D9" s="1">
        <v>16.383500000000002</v>
      </c>
      <c r="E9" s="1">
        <v>14.5588</v>
      </c>
      <c r="H9">
        <v>7</v>
      </c>
    </row>
    <row r="10" spans="2:8">
      <c r="B10" s="2">
        <v>140</v>
      </c>
      <c r="C10" s="1">
        <v>12.9605</v>
      </c>
      <c r="D10" s="1">
        <v>16.383500000000002</v>
      </c>
      <c r="E10" s="1">
        <v>14.5588</v>
      </c>
      <c r="H10">
        <v>7</v>
      </c>
    </row>
    <row r="11" spans="2:8">
      <c r="B11" s="2">
        <v>130</v>
      </c>
      <c r="C11" s="1">
        <v>12.9605</v>
      </c>
      <c r="D11" s="1">
        <v>16.383500000000002</v>
      </c>
      <c r="E11" s="1">
        <v>14.5588</v>
      </c>
      <c r="H11" s="1">
        <v>6</v>
      </c>
    </row>
    <row r="12" spans="2:8">
      <c r="B12" s="1">
        <v>120</v>
      </c>
      <c r="C12" s="1">
        <v>13.2341</v>
      </c>
      <c r="D12" s="1">
        <v>13.946300000000001</v>
      </c>
      <c r="E12" s="1">
        <v>13.5809</v>
      </c>
      <c r="H12" s="1">
        <v>1</v>
      </c>
    </row>
    <row r="13" spans="2:8">
      <c r="B13" s="1">
        <v>110</v>
      </c>
      <c r="C13" s="1">
        <v>12.536099999999999</v>
      </c>
      <c r="D13" s="1">
        <v>16.484400000000001</v>
      </c>
      <c r="E13" s="1">
        <v>14.334099999999999</v>
      </c>
      <c r="H13" s="1">
        <v>7</v>
      </c>
    </row>
    <row r="14" spans="2:8">
      <c r="B14" s="1">
        <v>100</v>
      </c>
      <c r="C14" s="1">
        <v>12.925700000000001</v>
      </c>
      <c r="D14" s="1">
        <v>16.3231</v>
      </c>
      <c r="E14" s="1">
        <v>14.5121</v>
      </c>
    </row>
    <row r="15" spans="2:8">
      <c r="B15" s="1">
        <v>90</v>
      </c>
      <c r="C15" s="1">
        <v>12.925700000000001</v>
      </c>
      <c r="D15" s="1">
        <v>16.350300000000001</v>
      </c>
      <c r="E15" s="1">
        <v>14.524699999999999</v>
      </c>
      <c r="H15" s="1">
        <v>6</v>
      </c>
    </row>
    <row r="16" spans="2:8">
      <c r="B16" s="1">
        <v>80</v>
      </c>
      <c r="C16" s="1">
        <v>12.925700000000001</v>
      </c>
      <c r="D16" s="1">
        <v>16.350300000000001</v>
      </c>
      <c r="E16" s="1">
        <v>14.524699999999999</v>
      </c>
      <c r="H16" s="1">
        <v>6</v>
      </c>
    </row>
    <row r="17" spans="2:8">
      <c r="B17" s="2">
        <v>70</v>
      </c>
      <c r="C17" s="1">
        <v>13.063000000000001</v>
      </c>
      <c r="D17" s="1">
        <v>15.945600000000001</v>
      </c>
      <c r="E17" s="1">
        <v>14.408099999999999</v>
      </c>
      <c r="H17" s="1">
        <v>5</v>
      </c>
    </row>
    <row r="18" spans="2:8">
      <c r="B18" s="1">
        <v>60</v>
      </c>
      <c r="C18" s="1">
        <v>11.8574</v>
      </c>
      <c r="D18" s="1">
        <v>15.162000000000001</v>
      </c>
      <c r="E18" s="1">
        <v>13.380699999999999</v>
      </c>
    </row>
    <row r="19" spans="2:8">
      <c r="B19" s="1">
        <v>50</v>
      </c>
      <c r="C19" s="1">
        <v>12.7193</v>
      </c>
      <c r="D19" s="1">
        <v>15.520799999999999</v>
      </c>
      <c r="E19" s="1">
        <v>14.0204</v>
      </c>
      <c r="H19" s="1">
        <v>6</v>
      </c>
    </row>
    <row r="21" spans="2:8">
      <c r="D21" t="s">
        <v>13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2A2B-C917-5B42-B79F-C35EA3F764A3}">
  <dimension ref="B2:M21"/>
  <sheetViews>
    <sheetView workbookViewId="0">
      <selection activeCell="J2" sqref="J2:M19"/>
    </sheetView>
  </sheetViews>
  <sheetFormatPr baseColWidth="10" defaultRowHeight="20"/>
  <sheetData>
    <row r="2" spans="2:13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</row>
    <row r="3" spans="2:13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  <c r="J3" s="1" t="s">
        <v>0</v>
      </c>
      <c r="K3" s="1" t="s">
        <v>2</v>
      </c>
      <c r="L3" s="1" t="s">
        <v>3</v>
      </c>
      <c r="M3" s="1" t="s">
        <v>4</v>
      </c>
    </row>
    <row r="4" spans="2:13">
      <c r="B4" s="2">
        <v>200</v>
      </c>
      <c r="C4" s="1"/>
      <c r="D4" s="1"/>
      <c r="E4" s="1"/>
      <c r="J4" s="1">
        <v>200</v>
      </c>
      <c r="K4" s="1"/>
      <c r="L4" s="1"/>
      <c r="M4" s="1"/>
    </row>
    <row r="5" spans="2:13">
      <c r="B5" s="2">
        <v>190</v>
      </c>
      <c r="C5" s="1"/>
      <c r="D5" s="1"/>
      <c r="E5" s="1"/>
      <c r="J5" s="1">
        <v>190</v>
      </c>
      <c r="K5" s="1"/>
      <c r="L5" s="1"/>
      <c r="M5" s="1"/>
    </row>
    <row r="6" spans="2:13">
      <c r="B6" s="2">
        <v>180</v>
      </c>
      <c r="C6" s="1"/>
      <c r="D6" s="1"/>
      <c r="E6" s="1"/>
      <c r="J6" s="1">
        <v>180</v>
      </c>
      <c r="K6" s="1"/>
      <c r="L6" s="1"/>
      <c r="M6" s="1"/>
    </row>
    <row r="7" spans="2:13">
      <c r="B7" s="2">
        <v>170</v>
      </c>
      <c r="C7" s="1">
        <v>11.9579</v>
      </c>
      <c r="D7" s="1">
        <v>13.4093</v>
      </c>
      <c r="E7" s="1">
        <v>12.651899999999999</v>
      </c>
      <c r="J7" s="1">
        <v>170</v>
      </c>
      <c r="K7" s="1"/>
      <c r="L7" s="1"/>
      <c r="M7" s="1"/>
    </row>
    <row r="8" spans="2:13">
      <c r="B8" s="2">
        <v>160</v>
      </c>
      <c r="C8" s="1">
        <v>11.590999999999999</v>
      </c>
      <c r="D8" s="1">
        <v>14.361800000000001</v>
      </c>
      <c r="E8" s="1">
        <v>12.9137</v>
      </c>
      <c r="H8" s="1">
        <v>36</v>
      </c>
      <c r="J8" s="1">
        <v>160</v>
      </c>
      <c r="K8" s="1"/>
      <c r="L8" s="1"/>
      <c r="M8" s="1"/>
    </row>
    <row r="9" spans="2:13">
      <c r="B9" s="2">
        <v>150</v>
      </c>
      <c r="C9" s="1">
        <v>11.851699999999999</v>
      </c>
      <c r="D9" s="1">
        <v>13.569100000000001</v>
      </c>
      <c r="E9" s="1">
        <v>12.676299999999999</v>
      </c>
      <c r="H9" s="1">
        <v>26</v>
      </c>
      <c r="J9" s="1">
        <v>150</v>
      </c>
      <c r="K9" s="1"/>
      <c r="L9" s="1"/>
      <c r="M9" s="1"/>
    </row>
    <row r="10" spans="2:13">
      <c r="B10" s="2">
        <v>140</v>
      </c>
      <c r="C10" s="1">
        <v>12.0585</v>
      </c>
      <c r="D10" s="1">
        <v>13.5654</v>
      </c>
      <c r="E10" s="1">
        <v>12.7759</v>
      </c>
      <c r="H10" s="1">
        <v>26</v>
      </c>
      <c r="J10" s="1">
        <v>140</v>
      </c>
      <c r="K10" s="1"/>
      <c r="L10" s="1"/>
      <c r="M10" s="1"/>
    </row>
    <row r="11" spans="2:13">
      <c r="B11" s="2">
        <v>130</v>
      </c>
      <c r="C11" s="1">
        <v>12.0389</v>
      </c>
      <c r="D11" s="1">
        <v>14.4</v>
      </c>
      <c r="E11" s="1">
        <v>13.1645</v>
      </c>
      <c r="H11" s="1">
        <v>34</v>
      </c>
      <c r="J11" s="1">
        <v>130</v>
      </c>
      <c r="K11" s="1"/>
      <c r="L11" s="1"/>
      <c r="M11" s="1"/>
    </row>
    <row r="12" spans="2:13">
      <c r="B12" s="1">
        <v>120</v>
      </c>
      <c r="C12" s="1">
        <v>11.973100000000001</v>
      </c>
      <c r="D12" s="1">
        <v>14.299799999999999</v>
      </c>
      <c r="E12" s="1">
        <v>13.0823</v>
      </c>
      <c r="H12" s="1">
        <v>34</v>
      </c>
      <c r="J12" s="1">
        <v>120</v>
      </c>
      <c r="K12" s="1"/>
      <c r="L12" s="1"/>
      <c r="M12" s="1"/>
    </row>
    <row r="13" spans="2:13">
      <c r="B13" s="1">
        <v>110</v>
      </c>
      <c r="C13" s="1">
        <v>11.9611</v>
      </c>
      <c r="D13" s="1">
        <v>13.3188</v>
      </c>
      <c r="E13" s="1">
        <v>12.610300000000001</v>
      </c>
      <c r="H13" s="1">
        <v>26</v>
      </c>
      <c r="J13" s="1">
        <v>110</v>
      </c>
      <c r="K13" s="1"/>
      <c r="L13" s="1"/>
      <c r="M13" s="1"/>
    </row>
    <row r="14" spans="2:13">
      <c r="B14" s="1">
        <v>100</v>
      </c>
      <c r="C14" s="1">
        <v>11.9611</v>
      </c>
      <c r="D14" s="1">
        <v>13.3188</v>
      </c>
      <c r="E14" s="1">
        <v>12.610300000000001</v>
      </c>
      <c r="H14" s="1">
        <v>26</v>
      </c>
      <c r="J14" s="1">
        <v>100</v>
      </c>
      <c r="K14" s="1"/>
      <c r="L14" s="1"/>
      <c r="M14" s="1"/>
    </row>
    <row r="15" spans="2:13">
      <c r="B15" s="1">
        <v>90</v>
      </c>
      <c r="C15" s="1">
        <v>12.0189</v>
      </c>
      <c r="D15" s="1">
        <v>14.160299999999999</v>
      </c>
      <c r="E15" s="1">
        <v>13.0398</v>
      </c>
      <c r="H15" s="1">
        <v>34</v>
      </c>
      <c r="J15" s="1">
        <v>90</v>
      </c>
      <c r="K15" s="1"/>
      <c r="L15" s="1"/>
      <c r="M15" s="1"/>
    </row>
    <row r="16" spans="2:13">
      <c r="B16" s="1">
        <v>80</v>
      </c>
      <c r="C16" s="1">
        <v>12.1691</v>
      </c>
      <c r="D16" s="1">
        <v>13.8957</v>
      </c>
      <c r="E16" s="1">
        <v>12.9922</v>
      </c>
      <c r="H16" s="1">
        <v>34</v>
      </c>
      <c r="J16" s="1">
        <v>80</v>
      </c>
      <c r="K16" s="1"/>
      <c r="L16" s="1"/>
      <c r="M16" s="1"/>
    </row>
    <row r="17" spans="2:13">
      <c r="B17" s="2">
        <v>70</v>
      </c>
      <c r="C17" s="1">
        <v>12.7201</v>
      </c>
      <c r="D17" s="1">
        <v>14.917999999999999</v>
      </c>
      <c r="E17" s="1">
        <v>13.755100000000001</v>
      </c>
      <c r="H17" s="1">
        <v>21</v>
      </c>
      <c r="J17" s="1">
        <v>70</v>
      </c>
      <c r="K17" s="1"/>
      <c r="L17" s="1"/>
      <c r="M17" s="1"/>
    </row>
    <row r="18" spans="2:13">
      <c r="B18" s="1">
        <v>60</v>
      </c>
      <c r="C18" s="1">
        <v>12.091799999999999</v>
      </c>
      <c r="D18" s="1">
        <v>13.8324</v>
      </c>
      <c r="E18" s="1">
        <v>12.9216</v>
      </c>
      <c r="H18" s="1">
        <v>34</v>
      </c>
      <c r="J18" s="1">
        <v>60</v>
      </c>
      <c r="K18" s="1"/>
      <c r="L18" s="1"/>
      <c r="M18" s="1"/>
    </row>
    <row r="19" spans="2:13">
      <c r="B19" s="1">
        <v>50</v>
      </c>
      <c r="J19" s="1">
        <v>50</v>
      </c>
      <c r="K19" s="1"/>
      <c r="L19" s="1"/>
      <c r="M19" s="1"/>
    </row>
    <row r="21" spans="2:13">
      <c r="D21" t="s">
        <v>12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E65B-B8A7-E84A-9DB9-D1437157352F}">
  <dimension ref="B2:H21"/>
  <sheetViews>
    <sheetView workbookViewId="0">
      <selection activeCell="B20" sqref="B20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</row>
    <row r="4" spans="2:8">
      <c r="B4" s="1">
        <v>200</v>
      </c>
      <c r="C4" s="1"/>
      <c r="D4" s="1"/>
      <c r="E4" s="1"/>
    </row>
    <row r="5" spans="2:8">
      <c r="B5" s="1">
        <v>190</v>
      </c>
      <c r="C5" s="1"/>
      <c r="D5" s="1"/>
      <c r="E5" s="1"/>
    </row>
    <row r="6" spans="2:8">
      <c r="B6" s="1">
        <v>180</v>
      </c>
      <c r="C6" s="1"/>
      <c r="D6" s="1"/>
      <c r="E6" s="1"/>
    </row>
    <row r="7" spans="2:8">
      <c r="B7" s="1">
        <v>170</v>
      </c>
      <c r="C7" s="1">
        <v>14.9605</v>
      </c>
      <c r="D7" s="1">
        <v>15.078099999999999</v>
      </c>
      <c r="E7" s="1">
        <v>15.0206</v>
      </c>
      <c r="H7">
        <v>0</v>
      </c>
    </row>
    <row r="8" spans="2:8">
      <c r="B8" s="1">
        <v>160</v>
      </c>
      <c r="C8" s="1">
        <v>14.9605</v>
      </c>
      <c r="D8" s="1">
        <v>15.078099999999999</v>
      </c>
      <c r="E8" s="1">
        <v>15.0206</v>
      </c>
      <c r="H8" s="1">
        <v>0</v>
      </c>
    </row>
    <row r="9" spans="2:8">
      <c r="B9" s="1">
        <v>150</v>
      </c>
      <c r="C9" s="1">
        <v>14.9605</v>
      </c>
      <c r="D9" s="1">
        <v>15.078099999999999</v>
      </c>
      <c r="E9" s="1">
        <v>15.0206</v>
      </c>
      <c r="H9" s="1">
        <v>0</v>
      </c>
    </row>
    <row r="10" spans="2:8">
      <c r="B10" s="1">
        <v>140</v>
      </c>
      <c r="C10" s="1">
        <v>14.9605</v>
      </c>
      <c r="D10" s="1">
        <v>15.078099999999999</v>
      </c>
      <c r="E10" s="1">
        <v>15.0206</v>
      </c>
      <c r="H10" s="1">
        <v>0</v>
      </c>
    </row>
    <row r="11" spans="2:8">
      <c r="B11" s="1">
        <v>130</v>
      </c>
      <c r="C11" s="1">
        <v>14.9605</v>
      </c>
      <c r="D11" s="1">
        <v>15.078099999999999</v>
      </c>
      <c r="E11" s="1">
        <v>15.0206</v>
      </c>
      <c r="H11" s="1">
        <v>0</v>
      </c>
    </row>
    <row r="12" spans="2:8">
      <c r="B12" s="1">
        <v>120</v>
      </c>
      <c r="C12" s="1">
        <v>14.9605</v>
      </c>
      <c r="D12" s="1">
        <v>15.078099999999999</v>
      </c>
      <c r="E12" s="1">
        <v>15.0206</v>
      </c>
      <c r="H12" s="1">
        <v>0</v>
      </c>
    </row>
    <row r="13" spans="2:8">
      <c r="B13" s="1">
        <v>110</v>
      </c>
      <c r="C13" s="1">
        <v>14.9605</v>
      </c>
      <c r="D13" s="1">
        <v>15.078099999999999</v>
      </c>
      <c r="E13" s="1">
        <v>15.0206</v>
      </c>
      <c r="H13" s="1">
        <v>0</v>
      </c>
    </row>
    <row r="14" spans="2:8">
      <c r="B14" s="1">
        <v>100</v>
      </c>
      <c r="C14" s="1"/>
      <c r="D14" s="1"/>
      <c r="E14" s="1"/>
    </row>
    <row r="15" spans="2:8">
      <c r="B15" s="1">
        <v>90</v>
      </c>
      <c r="C15" s="1">
        <v>14.9605</v>
      </c>
      <c r="D15" s="1">
        <v>15.078099999999999</v>
      </c>
      <c r="E15" s="1">
        <v>15.0206</v>
      </c>
      <c r="H15" s="1">
        <v>0</v>
      </c>
    </row>
    <row r="16" spans="2:8">
      <c r="B16" s="1">
        <v>80</v>
      </c>
      <c r="C16" s="1"/>
      <c r="D16" s="1"/>
      <c r="E16" s="1"/>
    </row>
    <row r="17" spans="2:8">
      <c r="B17" s="1">
        <v>70</v>
      </c>
      <c r="C17" s="1">
        <v>14.918699999999999</v>
      </c>
      <c r="D17" s="1">
        <v>15.149100000000001</v>
      </c>
      <c r="E17" s="1">
        <v>15.036300000000001</v>
      </c>
      <c r="H17" s="1">
        <v>0</v>
      </c>
    </row>
    <row r="18" spans="2:8">
      <c r="B18" s="1">
        <v>60</v>
      </c>
      <c r="C18" s="1"/>
      <c r="D18" s="1"/>
      <c r="E18" s="1"/>
    </row>
    <row r="19" spans="2:8">
      <c r="B19" s="1">
        <v>50</v>
      </c>
    </row>
    <row r="21" spans="2:8">
      <c r="D21" t="s">
        <v>12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C8AA-933E-F24B-AB36-A23B98B0690B}">
  <dimension ref="B2:M21"/>
  <sheetViews>
    <sheetView workbookViewId="0">
      <selection activeCell="M20" sqref="M20"/>
    </sheetView>
  </sheetViews>
  <sheetFormatPr baseColWidth="10" defaultRowHeight="20"/>
  <sheetData>
    <row r="2" spans="2:13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</row>
    <row r="3" spans="2:13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  <c r="J3" s="1" t="s">
        <v>0</v>
      </c>
      <c r="K3" s="1" t="s">
        <v>2</v>
      </c>
      <c r="L3" s="1" t="s">
        <v>3</v>
      </c>
      <c r="M3" s="1" t="s">
        <v>4</v>
      </c>
    </row>
    <row r="4" spans="2:13">
      <c r="B4" s="1">
        <v>200</v>
      </c>
      <c r="C4" s="1"/>
      <c r="D4" s="1"/>
      <c r="E4" s="1"/>
      <c r="J4" s="1">
        <v>200</v>
      </c>
      <c r="K4" s="1"/>
      <c r="L4" s="1"/>
      <c r="M4" s="1"/>
    </row>
    <row r="5" spans="2:13">
      <c r="B5" s="1">
        <v>190</v>
      </c>
      <c r="C5" s="1"/>
      <c r="D5" s="1"/>
      <c r="E5" s="1"/>
      <c r="J5" s="1">
        <v>190</v>
      </c>
      <c r="K5" s="1"/>
      <c r="L5" s="1"/>
      <c r="M5" s="1"/>
    </row>
    <row r="6" spans="2:13">
      <c r="B6" s="1">
        <v>180</v>
      </c>
      <c r="C6" s="1"/>
      <c r="D6" s="1"/>
      <c r="E6" s="1"/>
      <c r="J6" s="1">
        <v>180</v>
      </c>
      <c r="K6" s="1"/>
      <c r="L6" s="1"/>
      <c r="M6" s="1"/>
    </row>
    <row r="7" spans="2:13">
      <c r="B7" s="1">
        <v>170</v>
      </c>
      <c r="C7" s="1">
        <v>10.9444</v>
      </c>
      <c r="D7" s="1">
        <v>14.3992</v>
      </c>
      <c r="E7" s="1">
        <v>12.503399999999999</v>
      </c>
      <c r="H7" s="1">
        <v>39</v>
      </c>
      <c r="J7" s="1">
        <v>170</v>
      </c>
      <c r="K7" s="1">
        <v>10.0002</v>
      </c>
      <c r="L7" s="1">
        <v>14.021000000000001</v>
      </c>
      <c r="M7" s="1">
        <v>11.8163</v>
      </c>
    </row>
    <row r="8" spans="2:13">
      <c r="B8" s="1">
        <v>160</v>
      </c>
      <c r="C8" s="1">
        <v>10.976100000000001</v>
      </c>
      <c r="D8" s="1">
        <v>13.734299999999999</v>
      </c>
      <c r="E8" s="1">
        <v>12.2043</v>
      </c>
      <c r="H8" s="1">
        <v>29</v>
      </c>
      <c r="J8" s="1">
        <v>160</v>
      </c>
      <c r="K8" s="1">
        <v>9.7620000000000005</v>
      </c>
      <c r="L8" s="1">
        <v>12.975099999999999</v>
      </c>
      <c r="M8" s="1">
        <v>11.183</v>
      </c>
    </row>
    <row r="9" spans="2:13">
      <c r="B9" s="1">
        <v>150</v>
      </c>
      <c r="C9" s="1">
        <v>10.5771</v>
      </c>
      <c r="D9" s="1">
        <v>11.367800000000001</v>
      </c>
      <c r="E9" s="1">
        <v>10.9381</v>
      </c>
      <c r="H9" s="1">
        <v>19</v>
      </c>
      <c r="I9" t="s">
        <v>18</v>
      </c>
      <c r="J9" s="1">
        <v>150</v>
      </c>
      <c r="K9" s="1">
        <v>11.9237</v>
      </c>
      <c r="L9" s="1">
        <v>15.7979</v>
      </c>
      <c r="M9" s="1">
        <v>13.6343</v>
      </c>
    </row>
    <row r="10" spans="2:13">
      <c r="B10" s="1">
        <v>140</v>
      </c>
      <c r="C10" s="1">
        <v>10.976100000000001</v>
      </c>
      <c r="D10" s="1">
        <v>13.734299999999999</v>
      </c>
      <c r="E10" s="1">
        <v>12.2043</v>
      </c>
      <c r="H10" s="1">
        <v>29</v>
      </c>
      <c r="J10" s="1">
        <v>140</v>
      </c>
      <c r="K10" s="1">
        <v>9.5033999999999992</v>
      </c>
      <c r="L10" s="1">
        <v>14.0952</v>
      </c>
      <c r="M10" s="1">
        <v>11.529400000000001</v>
      </c>
    </row>
    <row r="11" spans="2:13">
      <c r="B11" s="1">
        <v>130</v>
      </c>
      <c r="C11" s="1">
        <v>10.848000000000001</v>
      </c>
      <c r="D11" s="1">
        <v>15.042400000000001</v>
      </c>
      <c r="E11" s="1">
        <v>12.725099999999999</v>
      </c>
      <c r="H11" s="1"/>
      <c r="J11" s="1">
        <v>130</v>
      </c>
      <c r="K11" s="1">
        <v>10.8119</v>
      </c>
      <c r="L11" s="1">
        <v>14.926600000000001</v>
      </c>
      <c r="M11" s="1">
        <v>12.634</v>
      </c>
    </row>
    <row r="12" spans="2:13">
      <c r="B12" s="1">
        <v>120</v>
      </c>
      <c r="C12" s="1">
        <v>10.976100000000001</v>
      </c>
      <c r="D12" s="1">
        <v>13.734299999999999</v>
      </c>
      <c r="E12" s="1">
        <v>12.2043</v>
      </c>
      <c r="H12" s="1">
        <v>29</v>
      </c>
      <c r="J12" s="1">
        <v>120</v>
      </c>
      <c r="K12" s="1">
        <v>9.7017000000000007</v>
      </c>
      <c r="L12" s="1">
        <v>13.8118</v>
      </c>
      <c r="M12" s="1">
        <v>11.5037</v>
      </c>
    </row>
    <row r="13" spans="2:13">
      <c r="B13" s="1">
        <v>110</v>
      </c>
      <c r="C13" s="1">
        <v>10.836399999999999</v>
      </c>
      <c r="D13" s="1">
        <v>14.7117</v>
      </c>
      <c r="E13" s="1">
        <v>12.5486</v>
      </c>
      <c r="H13" s="1">
        <v>34</v>
      </c>
      <c r="J13" s="1">
        <v>110</v>
      </c>
      <c r="K13" s="1">
        <v>11.681100000000001</v>
      </c>
      <c r="L13" s="1">
        <v>16.055499999999999</v>
      </c>
      <c r="M13" s="1">
        <v>13.595000000000001</v>
      </c>
    </row>
    <row r="14" spans="2:13">
      <c r="B14" s="1">
        <v>100</v>
      </c>
      <c r="C14" s="1">
        <v>10.5426</v>
      </c>
      <c r="D14" s="1">
        <v>13.9742</v>
      </c>
      <c r="E14" s="1">
        <v>12.0563</v>
      </c>
      <c r="H14" s="1">
        <v>43</v>
      </c>
      <c r="J14" s="1">
        <v>100</v>
      </c>
      <c r="K14" s="1">
        <v>11.4383</v>
      </c>
      <c r="L14" s="1">
        <v>15.947900000000001</v>
      </c>
      <c r="M14" s="1">
        <v>13.4156</v>
      </c>
    </row>
    <row r="15" spans="2:13">
      <c r="B15" s="1">
        <v>90</v>
      </c>
      <c r="C15" s="1">
        <v>10.5426</v>
      </c>
      <c r="D15" s="1">
        <v>13.9742</v>
      </c>
      <c r="E15" s="1">
        <v>12.0563</v>
      </c>
      <c r="H15" s="1">
        <v>43</v>
      </c>
      <c r="J15" s="1">
        <v>90</v>
      </c>
      <c r="K15" s="1">
        <v>10.8744</v>
      </c>
      <c r="L15" s="1">
        <v>14.685700000000001</v>
      </c>
      <c r="M15" s="1">
        <v>12.5434</v>
      </c>
    </row>
    <row r="16" spans="2:13">
      <c r="B16" s="1">
        <v>80</v>
      </c>
      <c r="C16" s="1">
        <v>10.694100000000001</v>
      </c>
      <c r="D16" s="1">
        <v>14.3485</v>
      </c>
      <c r="E16" s="1">
        <v>12.313499999999999</v>
      </c>
      <c r="H16" s="1">
        <v>37</v>
      </c>
      <c r="J16" s="1">
        <v>80</v>
      </c>
      <c r="K16" s="1">
        <v>10.8744</v>
      </c>
      <c r="L16" s="1">
        <v>14.685700000000001</v>
      </c>
      <c r="M16" s="1">
        <v>12.5434</v>
      </c>
    </row>
    <row r="17" spans="2:13">
      <c r="B17" s="1">
        <v>70</v>
      </c>
      <c r="C17" s="1">
        <v>11.0861</v>
      </c>
      <c r="D17" s="1">
        <v>14.3118</v>
      </c>
      <c r="E17" s="1">
        <v>12.519399999999999</v>
      </c>
      <c r="H17" s="1">
        <v>28</v>
      </c>
      <c r="J17" s="1">
        <v>70</v>
      </c>
      <c r="K17" s="1">
        <v>10.8744</v>
      </c>
      <c r="L17" s="1">
        <v>14.685700000000001</v>
      </c>
      <c r="M17" s="1">
        <v>12.5434</v>
      </c>
    </row>
    <row r="18" spans="2:13">
      <c r="B18" s="1">
        <v>60</v>
      </c>
      <c r="C18" s="1">
        <v>10.7933</v>
      </c>
      <c r="D18" s="1">
        <v>14.161099999999999</v>
      </c>
      <c r="E18" s="1">
        <v>12.3034</v>
      </c>
      <c r="H18" s="1">
        <v>29</v>
      </c>
      <c r="J18" s="1">
        <v>60</v>
      </c>
      <c r="K18" s="1">
        <v>10.4992</v>
      </c>
      <c r="L18" s="1">
        <v>13.9863</v>
      </c>
      <c r="M18" s="1">
        <v>12.0648</v>
      </c>
    </row>
    <row r="19" spans="2:13">
      <c r="B19" s="1">
        <v>50</v>
      </c>
      <c r="C19" s="1">
        <v>10.7933</v>
      </c>
      <c r="D19" s="1">
        <v>14.161099999999999</v>
      </c>
      <c r="E19" s="1">
        <v>12.3034</v>
      </c>
      <c r="H19" s="1">
        <v>29</v>
      </c>
      <c r="J19" s="1">
        <v>50</v>
      </c>
      <c r="K19" s="1">
        <v>10.4857</v>
      </c>
      <c r="L19" s="1">
        <v>14.1958</v>
      </c>
      <c r="M19" s="1">
        <v>12.149100000000001</v>
      </c>
    </row>
    <row r="21" spans="2:13">
      <c r="D21" t="s">
        <v>12</v>
      </c>
      <c r="L21" t="s">
        <v>12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D44D-309E-CD49-BE2E-C2E186CFB108}">
  <dimension ref="B2:N21"/>
  <sheetViews>
    <sheetView workbookViewId="0">
      <selection activeCell="K23" sqref="K23"/>
    </sheetView>
  </sheetViews>
  <sheetFormatPr baseColWidth="10" defaultRowHeight="20"/>
  <sheetData>
    <row r="2" spans="2:14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  <c r="N2" s="1"/>
    </row>
    <row r="3" spans="2:14">
      <c r="B3" s="1" t="s">
        <v>0</v>
      </c>
      <c r="C3" s="1" t="s">
        <v>2</v>
      </c>
      <c r="D3" s="1" t="s">
        <v>3</v>
      </c>
      <c r="E3" s="1" t="s">
        <v>4</v>
      </c>
      <c r="H3" s="1" t="s">
        <v>17</v>
      </c>
      <c r="J3" s="1" t="s">
        <v>0</v>
      </c>
      <c r="K3" s="1" t="s">
        <v>2</v>
      </c>
      <c r="L3" s="1" t="s">
        <v>3</v>
      </c>
      <c r="M3" s="1" t="s">
        <v>4</v>
      </c>
      <c r="N3" s="1"/>
    </row>
    <row r="4" spans="2:14">
      <c r="B4" s="2">
        <v>200</v>
      </c>
      <c r="C4" s="1"/>
      <c r="D4" s="1"/>
      <c r="E4" s="1"/>
      <c r="J4" s="1">
        <v>200</v>
      </c>
      <c r="K4" s="1"/>
      <c r="L4" s="1"/>
      <c r="M4" s="1"/>
      <c r="N4" s="1"/>
    </row>
    <row r="5" spans="2:14">
      <c r="B5" s="2">
        <v>190</v>
      </c>
      <c r="C5" s="1"/>
      <c r="D5" s="1"/>
      <c r="E5" s="1"/>
      <c r="J5" s="1">
        <v>190</v>
      </c>
      <c r="K5" s="1"/>
      <c r="L5" s="1"/>
      <c r="M5" s="1"/>
      <c r="N5" s="1"/>
    </row>
    <row r="6" spans="2:14">
      <c r="B6" s="2">
        <v>180</v>
      </c>
      <c r="C6" s="1"/>
      <c r="D6" s="1"/>
      <c r="E6" s="1"/>
      <c r="J6" s="1">
        <v>180</v>
      </c>
      <c r="K6" s="1"/>
      <c r="L6" s="1"/>
      <c r="M6" s="1"/>
      <c r="N6" s="1"/>
    </row>
    <row r="7" spans="2:14">
      <c r="B7" s="2">
        <v>170</v>
      </c>
      <c r="C7" s="1">
        <v>13.46</v>
      </c>
      <c r="D7" s="1">
        <v>16.122699999999998</v>
      </c>
      <c r="E7" s="1">
        <v>14.692299999999999</v>
      </c>
      <c r="H7" s="1">
        <v>1</v>
      </c>
      <c r="J7" s="1">
        <v>170</v>
      </c>
      <c r="K7" s="1"/>
      <c r="L7" s="1"/>
      <c r="M7" s="1"/>
      <c r="N7" s="1"/>
    </row>
    <row r="8" spans="2:14">
      <c r="B8" s="2">
        <v>160</v>
      </c>
      <c r="C8" s="1">
        <v>13.46</v>
      </c>
      <c r="D8" s="1">
        <v>16.122699999999998</v>
      </c>
      <c r="E8" s="1">
        <v>14.692299999999999</v>
      </c>
      <c r="H8" s="1">
        <v>1</v>
      </c>
      <c r="J8" s="1">
        <v>160</v>
      </c>
      <c r="K8" s="1"/>
      <c r="L8" s="1"/>
      <c r="M8" s="1"/>
      <c r="N8" s="1"/>
    </row>
    <row r="9" spans="2:14">
      <c r="B9" s="2">
        <v>150</v>
      </c>
      <c r="C9" s="1">
        <v>13.343</v>
      </c>
      <c r="D9" s="1">
        <v>16.071000000000002</v>
      </c>
      <c r="E9" s="1">
        <v>14.605499999999999</v>
      </c>
      <c r="H9" s="1">
        <v>1</v>
      </c>
      <c r="J9" s="1">
        <v>150</v>
      </c>
      <c r="K9" s="1"/>
      <c r="L9" s="1"/>
      <c r="M9" s="1"/>
      <c r="N9" s="1"/>
    </row>
    <row r="10" spans="2:14">
      <c r="B10" s="2">
        <v>140</v>
      </c>
      <c r="C10" s="1">
        <v>13.343</v>
      </c>
      <c r="D10" s="1">
        <v>16.071000000000002</v>
      </c>
      <c r="E10" s="1">
        <v>14.605499999999999</v>
      </c>
      <c r="H10" s="1">
        <v>1</v>
      </c>
      <c r="J10" s="1">
        <v>140</v>
      </c>
      <c r="K10" s="1"/>
      <c r="L10" s="1"/>
      <c r="M10" s="1"/>
      <c r="N10" s="1"/>
    </row>
    <row r="11" spans="2:14">
      <c r="B11" s="2">
        <v>130</v>
      </c>
      <c r="C11" s="1">
        <v>13.8004</v>
      </c>
      <c r="D11" s="1">
        <v>15.702</v>
      </c>
      <c r="E11" s="1">
        <v>14.6884</v>
      </c>
      <c r="H11" s="1">
        <v>1</v>
      </c>
      <c r="J11" s="1">
        <v>130</v>
      </c>
      <c r="K11" s="1"/>
      <c r="L11" s="1"/>
      <c r="M11" s="1"/>
      <c r="N11" s="1"/>
    </row>
    <row r="12" spans="2:14">
      <c r="B12" s="1">
        <v>120</v>
      </c>
      <c r="C12" s="1">
        <v>13.7677</v>
      </c>
      <c r="D12" s="1">
        <v>15.8</v>
      </c>
      <c r="E12" s="1">
        <v>14.716799999999999</v>
      </c>
      <c r="H12" s="1">
        <v>1</v>
      </c>
      <c r="J12" s="1">
        <v>120</v>
      </c>
      <c r="K12" s="1"/>
      <c r="L12" s="1"/>
      <c r="M12" s="1"/>
      <c r="N12" s="1"/>
    </row>
    <row r="13" spans="2:14">
      <c r="B13" s="1">
        <v>110</v>
      </c>
      <c r="C13" s="1">
        <v>13.7677</v>
      </c>
      <c r="D13" s="1">
        <v>15.8</v>
      </c>
      <c r="E13" s="1">
        <v>14.716799999999999</v>
      </c>
      <c r="H13" s="1">
        <v>1</v>
      </c>
      <c r="J13" s="1">
        <v>110</v>
      </c>
      <c r="K13" s="1"/>
      <c r="L13" s="1"/>
      <c r="M13" s="1"/>
      <c r="N13" s="1"/>
    </row>
    <row r="14" spans="2:14">
      <c r="B14" s="1">
        <v>100</v>
      </c>
      <c r="C14" s="1">
        <v>13.7677</v>
      </c>
      <c r="D14" s="1">
        <v>15.8</v>
      </c>
      <c r="E14" s="1">
        <v>14.716799999999999</v>
      </c>
      <c r="H14" s="1">
        <v>1</v>
      </c>
      <c r="J14" s="1">
        <v>100</v>
      </c>
      <c r="K14" s="1"/>
      <c r="L14" s="1"/>
      <c r="M14" s="1"/>
      <c r="N14" s="1"/>
    </row>
    <row r="15" spans="2:14">
      <c r="B15" s="1">
        <v>90</v>
      </c>
      <c r="C15" s="1">
        <v>14.1652</v>
      </c>
      <c r="D15" s="1">
        <v>15.5807</v>
      </c>
      <c r="E15" s="1">
        <v>14.8431</v>
      </c>
      <c r="H15" s="1">
        <v>2</v>
      </c>
      <c r="J15" s="1">
        <v>90</v>
      </c>
      <c r="K15" s="1"/>
      <c r="L15" s="1"/>
      <c r="M15" s="1"/>
      <c r="N15" s="1"/>
    </row>
    <row r="16" spans="2:14">
      <c r="B16" s="1">
        <v>80</v>
      </c>
      <c r="C16" s="1">
        <v>14.234500000000001</v>
      </c>
      <c r="D16" s="1">
        <v>15.500400000000001</v>
      </c>
      <c r="E16" s="1">
        <v>14.840299999999999</v>
      </c>
      <c r="H16" s="1">
        <v>2</v>
      </c>
      <c r="J16" s="1">
        <v>80</v>
      </c>
      <c r="K16" s="1"/>
      <c r="L16" s="1"/>
      <c r="M16" s="1"/>
      <c r="N16" s="1"/>
    </row>
    <row r="17" spans="2:14">
      <c r="B17" s="2">
        <v>70</v>
      </c>
      <c r="C17" s="1">
        <v>14.234</v>
      </c>
      <c r="D17" s="1">
        <v>15.506</v>
      </c>
      <c r="E17" s="1">
        <v>14.8432</v>
      </c>
      <c r="H17" s="1">
        <v>2</v>
      </c>
      <c r="J17" s="1">
        <v>70</v>
      </c>
      <c r="K17" s="1"/>
      <c r="L17" s="1"/>
      <c r="M17" s="1"/>
      <c r="N17" s="1"/>
    </row>
    <row r="18" spans="2:14">
      <c r="B18" s="1">
        <v>60</v>
      </c>
      <c r="C18" s="1">
        <v>14.2355</v>
      </c>
      <c r="D18" s="1">
        <v>15.506</v>
      </c>
      <c r="E18" s="1">
        <v>14.843999999999999</v>
      </c>
      <c r="H18" s="1">
        <v>2</v>
      </c>
      <c r="J18" s="1">
        <v>60</v>
      </c>
      <c r="K18" s="1"/>
      <c r="L18" s="1"/>
      <c r="M18" s="1"/>
      <c r="N18" s="1"/>
    </row>
    <row r="19" spans="2:14">
      <c r="B19" s="1">
        <v>50</v>
      </c>
      <c r="C19" s="1">
        <v>14.2355</v>
      </c>
      <c r="D19" s="1">
        <v>15.506</v>
      </c>
      <c r="E19" s="1">
        <v>14.843999999999999</v>
      </c>
      <c r="H19" s="1">
        <v>2</v>
      </c>
      <c r="J19" s="1">
        <v>50</v>
      </c>
      <c r="K19" s="1"/>
      <c r="L19" s="1"/>
      <c r="M19" s="1"/>
      <c r="N19" s="1"/>
    </row>
    <row r="21" spans="2:14">
      <c r="D21" t="s">
        <v>12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04E3-6FB3-0C4E-B5C9-77DE8D974F7C}">
  <dimension ref="B2:H21"/>
  <sheetViews>
    <sheetView workbookViewId="0">
      <selection activeCell="H19" sqref="H19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  <c r="F2" s="1"/>
      <c r="G2" s="1"/>
      <c r="H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F3" s="1"/>
      <c r="G3" s="1"/>
      <c r="H3" s="1" t="s">
        <v>16</v>
      </c>
    </row>
    <row r="4" spans="2:8">
      <c r="B4" s="1">
        <v>200</v>
      </c>
      <c r="C4" s="1"/>
      <c r="D4" s="1"/>
      <c r="E4" s="1"/>
      <c r="F4" s="1"/>
      <c r="G4" s="1"/>
      <c r="H4" s="1"/>
    </row>
    <row r="5" spans="2:8">
      <c r="B5" s="1">
        <v>190</v>
      </c>
      <c r="C5" s="1"/>
      <c r="D5" s="1"/>
      <c r="E5" s="1"/>
      <c r="F5" s="1"/>
      <c r="G5" s="1"/>
      <c r="H5" s="1"/>
    </row>
    <row r="6" spans="2:8">
      <c r="B6" s="1">
        <v>180</v>
      </c>
      <c r="C6" s="1"/>
      <c r="D6" s="1"/>
      <c r="E6" s="1"/>
      <c r="F6" s="1"/>
      <c r="G6" s="1"/>
      <c r="H6" s="1"/>
    </row>
    <row r="7" spans="2:8">
      <c r="B7" s="1">
        <v>170</v>
      </c>
      <c r="C7" s="1">
        <v>12.4808</v>
      </c>
      <c r="D7" s="1">
        <v>14.958500000000001</v>
      </c>
      <c r="E7" s="1">
        <v>13.616099999999999</v>
      </c>
      <c r="F7" s="1"/>
      <c r="G7" s="1"/>
      <c r="H7" s="1"/>
    </row>
    <row r="8" spans="2:8">
      <c r="B8" s="1">
        <v>160</v>
      </c>
      <c r="C8" s="1">
        <v>12.5588</v>
      </c>
      <c r="D8" s="1">
        <v>14.6097</v>
      </c>
      <c r="E8" s="1">
        <v>13.4985</v>
      </c>
      <c r="F8" s="1"/>
      <c r="G8" s="1"/>
      <c r="H8" s="1">
        <v>16</v>
      </c>
    </row>
    <row r="9" spans="2:8">
      <c r="B9" s="1">
        <v>150</v>
      </c>
      <c r="C9" s="1">
        <v>12.5588</v>
      </c>
      <c r="D9" s="1">
        <v>14.6097</v>
      </c>
      <c r="E9" s="1">
        <v>13.4985</v>
      </c>
      <c r="F9" s="1"/>
      <c r="G9" s="1"/>
      <c r="H9" s="1">
        <v>16</v>
      </c>
    </row>
    <row r="10" spans="2:8">
      <c r="B10" s="1">
        <v>140</v>
      </c>
      <c r="C10" s="1">
        <v>12.5588</v>
      </c>
      <c r="D10" s="1">
        <v>14.6097</v>
      </c>
      <c r="E10" s="1">
        <v>13.4985</v>
      </c>
      <c r="F10" s="1"/>
      <c r="G10" s="1"/>
      <c r="H10" s="1">
        <v>16</v>
      </c>
    </row>
    <row r="11" spans="2:8">
      <c r="B11" s="1">
        <v>130</v>
      </c>
      <c r="C11" s="1">
        <v>12.5588</v>
      </c>
      <c r="D11" s="1">
        <v>14.6097</v>
      </c>
      <c r="E11" s="1">
        <v>13.4985</v>
      </c>
      <c r="F11" s="1"/>
      <c r="G11" s="1"/>
      <c r="H11" s="1">
        <v>16</v>
      </c>
    </row>
    <row r="12" spans="2:8">
      <c r="B12" s="1">
        <v>120</v>
      </c>
      <c r="C12" s="1">
        <v>12.446199999999999</v>
      </c>
      <c r="D12" s="1">
        <v>15.5139</v>
      </c>
      <c r="E12" s="1">
        <v>13.8186</v>
      </c>
      <c r="F12" s="1"/>
      <c r="G12" s="1"/>
      <c r="H12" s="1">
        <v>8</v>
      </c>
    </row>
    <row r="13" spans="2:8">
      <c r="B13" s="1">
        <v>110</v>
      </c>
      <c r="C13" s="1">
        <v>12.446199999999999</v>
      </c>
      <c r="D13" s="1">
        <v>15.5139</v>
      </c>
      <c r="E13" s="1">
        <v>13.8186</v>
      </c>
      <c r="F13" s="1"/>
      <c r="G13" s="1"/>
      <c r="H13" s="1">
        <v>8</v>
      </c>
    </row>
    <row r="14" spans="2:8">
      <c r="B14" s="1">
        <v>100</v>
      </c>
      <c r="C14" s="1">
        <v>12.446199999999999</v>
      </c>
      <c r="D14" s="1">
        <v>15.5139</v>
      </c>
      <c r="E14" s="1">
        <v>13.8186</v>
      </c>
      <c r="F14" s="1"/>
      <c r="G14" s="1"/>
      <c r="H14" s="1">
        <v>8</v>
      </c>
    </row>
    <row r="15" spans="2:8">
      <c r="B15" s="1">
        <v>90</v>
      </c>
      <c r="C15" s="1">
        <v>12.4457</v>
      </c>
      <c r="D15" s="1">
        <v>15.5138</v>
      </c>
      <c r="E15" s="1">
        <v>13.818300000000001</v>
      </c>
      <c r="F15" s="1"/>
      <c r="G15" s="1"/>
      <c r="H15" s="1">
        <v>8</v>
      </c>
    </row>
    <row r="16" spans="2:8">
      <c r="B16" s="1">
        <v>80</v>
      </c>
      <c r="C16" s="1">
        <v>12.4457</v>
      </c>
      <c r="D16" s="1">
        <v>15.5138</v>
      </c>
      <c r="E16" s="1">
        <v>13.818300000000001</v>
      </c>
      <c r="F16" s="1"/>
      <c r="G16" s="1"/>
      <c r="H16" s="1">
        <v>8</v>
      </c>
    </row>
    <row r="17" spans="2:8">
      <c r="B17" s="1">
        <v>70</v>
      </c>
      <c r="C17" s="1">
        <v>12.8659</v>
      </c>
      <c r="D17" s="1">
        <v>16.1738</v>
      </c>
      <c r="E17" s="1">
        <v>14.359500000000001</v>
      </c>
      <c r="F17" s="1"/>
      <c r="G17" s="1"/>
      <c r="H17" s="1">
        <v>14</v>
      </c>
    </row>
    <row r="18" spans="2:8">
      <c r="B18" s="1">
        <v>60</v>
      </c>
      <c r="C18" s="1">
        <v>12.8528</v>
      </c>
      <c r="D18" s="1">
        <v>16.093</v>
      </c>
      <c r="E18" s="1">
        <v>14.315300000000001</v>
      </c>
      <c r="F18" s="1"/>
      <c r="G18" s="1"/>
      <c r="H18" s="1">
        <v>13</v>
      </c>
    </row>
    <row r="19" spans="2:8">
      <c r="B19" s="1">
        <v>50</v>
      </c>
      <c r="C19" s="1">
        <v>13.296099999999999</v>
      </c>
      <c r="D19" s="1">
        <v>15.8927</v>
      </c>
      <c r="E19" s="1">
        <v>14.4763</v>
      </c>
      <c r="F19" s="1"/>
      <c r="G19" s="1"/>
      <c r="H19" s="1">
        <v>8</v>
      </c>
    </row>
    <row r="20" spans="2:8">
      <c r="B20" s="1"/>
      <c r="C20" s="1"/>
      <c r="D20" s="1"/>
      <c r="E20" s="1"/>
      <c r="F20" s="1"/>
      <c r="G20" s="1"/>
      <c r="H20" s="1"/>
    </row>
    <row r="21" spans="2:8">
      <c r="B21" s="1"/>
      <c r="C21" s="1"/>
      <c r="D21" s="1" t="s">
        <v>11</v>
      </c>
      <c r="E21" s="1"/>
      <c r="F21" s="1"/>
      <c r="G21" s="1"/>
      <c r="H21" s="1"/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BB31-F4D0-E24B-AE7F-9A1B36A08765}">
  <dimension ref="B2:H21"/>
  <sheetViews>
    <sheetView workbookViewId="0">
      <selection activeCell="B2" sqref="B2:F19"/>
    </sheetView>
  </sheetViews>
  <sheetFormatPr baseColWidth="10" defaultRowHeight="20"/>
  <sheetData>
    <row r="2" spans="2:8">
      <c r="B2" s="1"/>
      <c r="C2" s="1" t="s">
        <v>5</v>
      </c>
      <c r="D2" s="1" t="s">
        <v>9</v>
      </c>
      <c r="E2" s="1"/>
      <c r="F2" s="1"/>
      <c r="G2" s="1"/>
      <c r="H2" s="1"/>
    </row>
    <row r="3" spans="2:8">
      <c r="B3" s="1" t="s">
        <v>0</v>
      </c>
      <c r="C3" s="1" t="s">
        <v>2</v>
      </c>
      <c r="D3" s="1" t="s">
        <v>3</v>
      </c>
      <c r="E3" s="1" t="s">
        <v>4</v>
      </c>
      <c r="F3" s="1"/>
      <c r="G3" s="1"/>
      <c r="H3" s="1" t="s">
        <v>16</v>
      </c>
    </row>
    <row r="4" spans="2:8">
      <c r="B4" s="1">
        <v>200</v>
      </c>
      <c r="C4" s="1"/>
      <c r="D4" s="1"/>
      <c r="E4" s="1"/>
      <c r="F4" s="1"/>
      <c r="G4" s="1"/>
      <c r="H4" s="1"/>
    </row>
    <row r="5" spans="2:8">
      <c r="B5" s="1">
        <v>190</v>
      </c>
      <c r="C5" s="1"/>
      <c r="D5" s="1"/>
      <c r="E5" s="1"/>
      <c r="F5" s="1"/>
      <c r="G5" s="1"/>
      <c r="H5" s="1"/>
    </row>
    <row r="6" spans="2:8">
      <c r="B6" s="1">
        <v>180</v>
      </c>
      <c r="C6" s="1"/>
      <c r="D6" s="1"/>
      <c r="E6" s="1"/>
      <c r="F6" s="1"/>
      <c r="G6" s="1"/>
      <c r="H6" s="1"/>
    </row>
    <row r="7" spans="2:8">
      <c r="B7" s="1">
        <v>170</v>
      </c>
      <c r="C7" s="1"/>
      <c r="D7" s="1"/>
      <c r="E7" s="1"/>
      <c r="F7" s="1"/>
      <c r="G7" s="1"/>
      <c r="H7" s="1"/>
    </row>
    <row r="8" spans="2:8">
      <c r="B8" s="1">
        <v>160</v>
      </c>
      <c r="C8" s="1"/>
      <c r="D8" s="1"/>
      <c r="E8" s="1"/>
      <c r="F8" s="1"/>
      <c r="G8" s="1"/>
      <c r="H8" s="1"/>
    </row>
    <row r="9" spans="2:8">
      <c r="B9" s="1">
        <v>150</v>
      </c>
      <c r="C9" s="1"/>
      <c r="D9" s="1"/>
      <c r="E9" s="1"/>
      <c r="F9" s="1"/>
      <c r="G9" s="1"/>
      <c r="H9" s="1"/>
    </row>
    <row r="10" spans="2:8">
      <c r="B10" s="1">
        <v>140</v>
      </c>
      <c r="C10" s="1"/>
      <c r="D10" s="1"/>
      <c r="E10" s="1"/>
      <c r="F10" s="1"/>
      <c r="G10" s="1"/>
      <c r="H10" s="1"/>
    </row>
    <row r="11" spans="2:8">
      <c r="B11" s="1">
        <v>130</v>
      </c>
      <c r="C11" s="1"/>
      <c r="D11" s="1"/>
      <c r="E11" s="1"/>
      <c r="F11" s="1"/>
      <c r="G11" s="1"/>
      <c r="H11" s="1"/>
    </row>
    <row r="12" spans="2:8">
      <c r="B12" s="1">
        <v>120</v>
      </c>
      <c r="C12" s="1"/>
      <c r="D12" s="1"/>
      <c r="E12" s="1"/>
      <c r="F12" s="1"/>
      <c r="G12" s="1"/>
      <c r="H12" s="1"/>
    </row>
    <row r="13" spans="2:8">
      <c r="B13" s="1">
        <v>110</v>
      </c>
      <c r="C13" s="1"/>
      <c r="D13" s="1"/>
      <c r="E13" s="1"/>
      <c r="F13" s="1"/>
      <c r="G13" s="1"/>
      <c r="H13" s="1"/>
    </row>
    <row r="14" spans="2:8">
      <c r="B14" s="1">
        <v>100</v>
      </c>
      <c r="C14" s="1"/>
      <c r="D14" s="1"/>
      <c r="E14" s="1"/>
      <c r="F14" s="1"/>
      <c r="G14" s="1"/>
      <c r="H14" s="1"/>
    </row>
    <row r="15" spans="2:8">
      <c r="B15" s="1">
        <v>90</v>
      </c>
      <c r="C15" s="1"/>
      <c r="D15" s="1"/>
      <c r="E15" s="1"/>
      <c r="F15" s="1"/>
      <c r="G15" s="1"/>
      <c r="H15" s="1"/>
    </row>
    <row r="16" spans="2:8">
      <c r="B16" s="1">
        <v>80</v>
      </c>
      <c r="C16" s="1"/>
      <c r="D16" s="1"/>
      <c r="E16" s="1"/>
      <c r="F16" s="1"/>
      <c r="G16" s="1"/>
      <c r="H16" s="1"/>
    </row>
    <row r="17" spans="2:8">
      <c r="B17" s="1">
        <v>70</v>
      </c>
      <c r="C17" s="1"/>
      <c r="D17" s="1"/>
      <c r="E17" s="1"/>
      <c r="F17" s="1"/>
      <c r="G17" s="1"/>
      <c r="H17" s="1"/>
    </row>
    <row r="18" spans="2:8">
      <c r="B18" s="1">
        <v>60</v>
      </c>
      <c r="C18" s="1"/>
      <c r="D18" s="1"/>
      <c r="E18" s="1"/>
      <c r="F18" s="1"/>
      <c r="G18" s="1"/>
      <c r="H18" s="1"/>
    </row>
    <row r="19" spans="2:8">
      <c r="B19" s="1">
        <v>50</v>
      </c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  <row r="21" spans="2:8">
      <c r="B21" s="1"/>
      <c r="C21" s="1"/>
      <c r="D21" s="1" t="s">
        <v>11</v>
      </c>
      <c r="E21" s="1"/>
      <c r="F21" s="1"/>
      <c r="G21" s="1"/>
      <c r="H21" s="1"/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6FCB-1FDC-8048-B8F9-21E963015D25}">
  <dimension ref="B2:M19"/>
  <sheetViews>
    <sheetView workbookViewId="0">
      <selection activeCell="G7" sqref="G7:H18"/>
    </sheetView>
  </sheetViews>
  <sheetFormatPr baseColWidth="10" defaultRowHeight="20"/>
  <sheetData>
    <row r="2" spans="2:13">
      <c r="B2" s="1"/>
      <c r="C2" s="1" t="s">
        <v>5</v>
      </c>
      <c r="D2" s="1" t="s">
        <v>9</v>
      </c>
      <c r="E2" s="1"/>
      <c r="J2" s="1"/>
      <c r="K2" s="1" t="s">
        <v>5</v>
      </c>
      <c r="L2" s="1" t="s">
        <v>19</v>
      </c>
      <c r="M2" s="1"/>
    </row>
    <row r="3" spans="2:13">
      <c r="B3" s="1" t="s">
        <v>0</v>
      </c>
      <c r="C3" s="1" t="s">
        <v>2</v>
      </c>
      <c r="D3" s="1" t="s">
        <v>3</v>
      </c>
      <c r="E3" s="1" t="s">
        <v>4</v>
      </c>
      <c r="J3" s="1" t="s">
        <v>0</v>
      </c>
      <c r="K3" s="1" t="s">
        <v>2</v>
      </c>
      <c r="L3" s="1" t="s">
        <v>3</v>
      </c>
      <c r="M3" s="1" t="s">
        <v>4</v>
      </c>
    </row>
    <row r="4" spans="2:13">
      <c r="B4" s="2">
        <v>200</v>
      </c>
      <c r="C4" s="1">
        <f>ROUND(AVERAGE(seed1!C4,seed2!C4,seed4!C4,seed5!C4,seed7!C4,seed8!C4,seed9!C4,seed10!C4,seed11!C4,seed12!C4,seed13!C4,seed14!C4,seed15!C4,seed16!C4,seed17!C4),4)</f>
        <v>14.5305</v>
      </c>
      <c r="D4" s="1">
        <f>ROUND(AVERAGE(seed1!D4,seed2!D4,seed4!D4,seed5!D4,seed7!D4,seed8!D4,seed9!D4,seed10!D4,seed11!D4,seed12!D4,seed13!D4,seed14!D4,seed15!D4,seed16!D4,seed17!D4),4)</f>
        <v>15.018700000000001</v>
      </c>
      <c r="E4" s="1">
        <f>ROUND(AVERAGE(seed1!E4,seed2!E4,seed4!E4,seed5!E4,seed7!E4,seed8!E4,seed9!E4,seed10!E4,seed11!E4,seed12!E4,seed13!E4,seed14!E4,seed15!E4,seed16!E4,seed17!E4),4)</f>
        <v>14.760300000000001</v>
      </c>
      <c r="J4" s="1">
        <v>200</v>
      </c>
      <c r="K4" s="1"/>
      <c r="L4" s="1"/>
      <c r="M4" s="1"/>
    </row>
    <row r="5" spans="2:13">
      <c r="B5" s="2">
        <v>190</v>
      </c>
      <c r="C5" s="1"/>
      <c r="D5" s="1"/>
      <c r="E5" s="1"/>
      <c r="J5" s="1">
        <v>190</v>
      </c>
      <c r="K5" s="1"/>
      <c r="L5" s="1"/>
      <c r="M5" s="1"/>
    </row>
    <row r="6" spans="2:13">
      <c r="B6" s="2">
        <v>180</v>
      </c>
      <c r="C6" s="1"/>
      <c r="D6" s="1"/>
      <c r="E6" s="1"/>
      <c r="J6" s="1">
        <v>180</v>
      </c>
      <c r="K6" s="1"/>
      <c r="L6" s="1"/>
      <c r="M6" s="1"/>
    </row>
    <row r="7" spans="2:13">
      <c r="B7" s="2">
        <v>170</v>
      </c>
      <c r="C7" s="1">
        <f>ROUND(AVERAGE(seed1!C7,seed2!C7,seed4!C7,seed5!C7,seed7!C7,seed8!C7,seed9!C7,seed10!C7,seed11!C7,seed12!C7,seed13!C7,seed14!C7,seed15!C7,seed16!C7,seed17!C7,seed18!C7,seed20!C7,seed21!C7,seed22!C7),4)</f>
        <v>13.2043</v>
      </c>
      <c r="D7" s="1">
        <f>ROUND(AVERAGE(seed1!D7,seed2!D7,seed4!D7,seed5!D7,seed7!D7,seed8!D7,seed9!D7,seed10!D7,seed11!D7,seed12!D7,seed13!D7,seed14!D7,seed15!D7,seed16!D7,seed17!D7,seed18!D7,seed20!D7,seed21!D7,seed22!D7),4)</f>
        <v>14.7597</v>
      </c>
      <c r="E7" s="1">
        <f>ROUND(AVERAGE(seed1!E7,seed2!E7,seed4!E7,seed5!E7,seed7!E7,seed8!E7,seed9!E7,seed10!E7,seed11!E7,seed12!E7,seed13!E7,seed14!E7,seed15!E7,seed16!E7,seed17!E7,seed18!E7,seed20!E7,seed21!E7,seed22!E7),4)</f>
        <v>13.9298</v>
      </c>
      <c r="G7">
        <v>170</v>
      </c>
      <c r="H7">
        <v>13.9298</v>
      </c>
      <c r="J7" s="1">
        <v>170</v>
      </c>
      <c r="K7" s="1"/>
      <c r="L7" s="1"/>
      <c r="M7" s="1"/>
    </row>
    <row r="8" spans="2:13">
      <c r="B8" s="2">
        <v>160</v>
      </c>
      <c r="C8" s="1">
        <f>ROUND(AVERAGE(seed1!C8,seed2!C8,seed4!C8,seed5!C8,seed7!C8,seed8!C8,seed9!C8,seed10!C8,seed11!C8,seed12!C8,seed13!C8,seed14!C8,seed15!C8,seed16!C8,seed17!C8,seed18!C8,seed20!C8,seed21!C8,seed22!C8),4)</f>
        <v>13.1859</v>
      </c>
      <c r="D8" s="1">
        <f>ROUND(AVERAGE(seed1!D8,seed2!D8,seed4!D8,seed5!D8,seed7!D8,seed8!D8,seed9!D8,seed10!D8,seed11!D8,seed12!D8,seed13!D8,seed14!D8,seed15!D8,seed16!D8,seed17!D8,seed18!D8,seed20!D8,seed21!D8,seed22!D8),4)</f>
        <v>14.6736</v>
      </c>
      <c r="E8" s="1">
        <f>ROUND(AVERAGE(seed1!E8,seed2!E8,seed4!E8,seed5!E8,seed7!E8,seed8!E8,seed9!E8,seed10!E8,seed11!E8,seed12!E8,seed13!E8,seed14!E8,seed15!E8,seed16!E8,seed17!E8,seed18!E8,seed20!E8,seed21!E8,seed22!E8),4)</f>
        <v>13.8849</v>
      </c>
      <c r="G8">
        <v>160</v>
      </c>
      <c r="H8">
        <v>13.8849</v>
      </c>
      <c r="J8" s="1">
        <v>160</v>
      </c>
      <c r="K8" s="1"/>
      <c r="L8" s="1"/>
      <c r="M8" s="1"/>
    </row>
    <row r="9" spans="2:13">
      <c r="B9" s="2">
        <v>150</v>
      </c>
      <c r="C9" s="1">
        <f>ROUND(AVERAGE(seed1!C9,seed2!C9,seed4!C9,seed5!C9,seed7!C9,seed8!C9,seed9!C9,seed10!C9,seed11!C9,seed12!C9,seed13!C9,seed14!C9,seed15!C9,seed16!C9,seed17!C9,seed18!C9,seed20!C9,seed21!C9,seed22!C9),4)</f>
        <v>13.175599999999999</v>
      </c>
      <c r="D9" s="1">
        <f>ROUND(AVERAGE(seed1!D9,seed2!D9,seed4!D9,seed5!D9,seed7!D9,seed8!D9,seed9!D9,seed10!D9,seed11!D9,seed12!D9,seed13!D9,seed14!D9,seed15!D9,seed16!D9,seed17!D9,seed18!D9,seed20!D9,seed21!D9,seed22!D9),4)</f>
        <v>14.5535</v>
      </c>
      <c r="E9" s="1">
        <f>ROUND(AVERAGE(seed1!E9,seed2!E9,seed4!E9,seed5!E9,seed7!E9,seed8!E9,seed9!E9,seed10!E9,seed11!E9,seed12!E9,seed13!E9,seed14!E9,seed15!E9,seed16!E9,seed17!E9,seed18!E9,seed20!E9,seed21!E9,seed22!E9),4)</f>
        <v>13.8231</v>
      </c>
      <c r="G9">
        <v>150</v>
      </c>
      <c r="H9">
        <v>13.8231</v>
      </c>
      <c r="J9" s="1">
        <v>150</v>
      </c>
      <c r="K9" s="1"/>
      <c r="L9" s="1"/>
      <c r="M9" s="1"/>
    </row>
    <row r="10" spans="2:13">
      <c r="B10" s="2">
        <v>140</v>
      </c>
      <c r="C10" s="1">
        <f>ROUND(AVERAGE(seed1!C10,seed2!C10,seed4!C10,seed5!C10,seed7!C10,seed8!C10,seed9!C10,seed10!C10,seed11!C10,seed12!C10,seed13!C10,seed14!C10,seed15!C10,seed16!C10,seed17!C10,seed18!C10,seed20!C10,seed21!C10,seed22!C10),4)</f>
        <v>13.2081</v>
      </c>
      <c r="D10" s="1">
        <f>ROUND(AVERAGE(seed1!D10,seed2!D10,seed4!D10,seed5!D10,seed7!D10,seed8!D10,seed9!D10,seed10!D10,seed11!D10,seed12!D10,seed13!D10,seed14!D10,seed15!D10,seed16!D10,seed17!D10,seed18!D10,seed20!D10,seed21!D10,seed22!D10),4)</f>
        <v>14.775700000000001</v>
      </c>
      <c r="E10" s="1">
        <f>ROUND(AVERAGE(seed1!E10,seed2!E10,seed4!E10,seed5!E10,seed7!E10,seed8!E10,seed9!E10,seed10!E10,seed11!E10,seed12!E10,seed13!E10,seed14!E10,seed15!E10,seed16!E10,seed17!E10,seed18!E10,seed20!E10,seed21!E10,seed22!E10),4)</f>
        <v>13.933400000000001</v>
      </c>
      <c r="G10">
        <v>140</v>
      </c>
      <c r="H10">
        <v>13.933400000000001</v>
      </c>
      <c r="J10" s="1">
        <v>140</v>
      </c>
      <c r="K10" s="1"/>
      <c r="L10" s="1"/>
      <c r="M10" s="1"/>
    </row>
    <row r="11" spans="2:13">
      <c r="B11" s="2">
        <v>130</v>
      </c>
      <c r="C11" s="1">
        <f>ROUND(AVERAGE(seed1!C11,seed2!C11,seed4!C11,seed5!C11,seed7!C11,seed8!C11,seed9!C11,seed10!C11,seed11!C11,seed12!C11,seed13!C11,seed14!C11,seed15!C11,seed16!C11,seed17!C11,seed18!C11,seed20!C11,seed21!C11,seed22!C11),4)</f>
        <v>13.269500000000001</v>
      </c>
      <c r="D11" s="1">
        <f>ROUND(AVERAGE(seed1!D11,seed2!D11,seed4!D11,seed5!D11,seed7!D11,seed8!D11,seed9!D11,seed10!D11,seed11!D11,seed12!D11,seed13!D11,seed14!D11,seed15!D11,seed16!D11,seed17!D11,seed18!D11,seed20!D11,seed21!D11,seed22!D11),4)</f>
        <v>14.8941</v>
      </c>
      <c r="E11" s="1">
        <f>ROUND(AVERAGE(seed1!E11,seed2!E11,seed4!E11,seed5!E11,seed7!E11,seed8!E11,seed9!E11,seed10!E11,seed11!E11,seed12!E11,seed13!E11,seed14!E11,seed15!E11,seed16!E11,seed17!E11,seed18!E11,seed20!E11,seed21!E11,seed22!E11),4)</f>
        <v>14.013299999999999</v>
      </c>
      <c r="G11">
        <v>130</v>
      </c>
      <c r="H11">
        <v>14.013299999999999</v>
      </c>
      <c r="J11" s="1">
        <v>130</v>
      </c>
      <c r="K11" s="1"/>
      <c r="L11" s="1"/>
      <c r="M11" s="1"/>
    </row>
    <row r="12" spans="2:13">
      <c r="B12" s="1">
        <v>120</v>
      </c>
      <c r="C12" s="1">
        <f>ROUND(AVERAGE(seed1!C12,seed2!C12,seed4!C12,seed5!C12,seed7!C12,seed8!C12,seed9!C12,seed10!C12,seed11!C12,seed12!C12,seed13!C12,seed14!C12,seed15!C12,seed16!C12,seed17!C12,seed18!C12,seed20!C12,seed21!C12,seed22!C12),4)</f>
        <v>13.2918</v>
      </c>
      <c r="D12" s="1">
        <f>ROUND(AVERAGE(seed1!D12,seed2!D12,seed4!D12,seed5!D12,seed7!D12,seed8!D12,seed9!D12,seed10!D12,seed11!D12,seed12!D12,seed13!D12,seed14!D12,seed15!D12,seed16!D12,seed17!D12,seed18!D12,seed20!D12,seed21!D12,seed22!D12),4)</f>
        <v>14.980499999999999</v>
      </c>
      <c r="E12" s="1">
        <f>ROUND(AVERAGE(seed1!E12,seed2!E12,seed4!E12,seed5!E12,seed7!E12,seed8!E12,seed9!E12,seed10!E12,seed11!E12,seed12!E12,seed13!E12,seed14!E12,seed15!E12,seed16!E12,seed17!E12,seed18!E12,seed20!E12,seed21!E12,seed22!E12),4)</f>
        <v>14.068099999999999</v>
      </c>
      <c r="G12">
        <v>120</v>
      </c>
      <c r="H12">
        <v>14.068099999999999</v>
      </c>
      <c r="J12" s="1">
        <v>120</v>
      </c>
      <c r="K12" s="1"/>
      <c r="L12" s="1"/>
      <c r="M12" s="1"/>
    </row>
    <row r="13" spans="2:13">
      <c r="B13" s="1">
        <v>110</v>
      </c>
      <c r="C13" s="1">
        <f>ROUND(AVERAGE(seed1!C13,seed2!C13,seed4!C13,seed5!C13,seed7!C13,seed8!C13,seed9!C13,seed10!C13,seed11!C13,seed12!C13,seed13!C13,seed14!C13,seed15!C13,seed16!C13,seed17!C13,seed18!C13,seed20!C13,seed21!C13,seed22!C13),4)</f>
        <v>13.097</v>
      </c>
      <c r="D13" s="1">
        <f>ROUND(AVERAGE(seed1!D13,seed2!D13,seed4!D13,seed5!D13,seed7!D13,seed8!D13,seed9!D13,seed10!D13,seed11!D13,seed12!D13,seed13!D13,seed14!D13,seed15!D13,seed16!D13,seed17!D13,seed18!D13,seed20!D13,seed21!D13,seed22!D13),4)</f>
        <v>14.952400000000001</v>
      </c>
      <c r="E13" s="1">
        <f>ROUND(AVERAGE(seed1!E13,seed2!E13,seed4!E13,seed5!E13,seed7!E13,seed8!E13,seed9!E13,seed10!E13,seed11!E13,seed12!E13,seed13!E13,seed14!E13,seed15!E13,seed16!E13,seed17!E13,seed18!E13,seed20!E13,seed21!E13,seed22!E13),4)</f>
        <v>13.950200000000001</v>
      </c>
      <c r="G13">
        <v>110</v>
      </c>
      <c r="H13">
        <v>13.950200000000001</v>
      </c>
      <c r="J13" s="1">
        <v>110</v>
      </c>
      <c r="K13" s="1"/>
      <c r="L13" s="1"/>
      <c r="M13" s="1"/>
    </row>
    <row r="14" spans="2:13">
      <c r="B14" s="1">
        <v>100</v>
      </c>
      <c r="C14" s="1">
        <f>ROUND(AVERAGE(seed1!C14,seed2!C14,seed4!C14,seed5!C14,seed7!C14,seed8!C14,seed9!C14,seed10!C14,seed11!C14,seed12!C14,seed13!C14,seed14!C14,seed15!C14,seed16!C14,seed17!C14,seed18!C14,seed20!C14,seed21!C14,seed22!C14),4)</f>
        <v>13.0848</v>
      </c>
      <c r="D14" s="1">
        <f>ROUND(AVERAGE(seed1!D14,seed2!D14,seed4!D14,seed5!D14,seed7!D14,seed8!D14,seed9!D14,seed10!D14,seed11!D14,seed12!D14,seed13!D14,seed14!D14,seed15!D14,seed16!D14,seed17!D14,seed18!D14,seed20!D14,seed21!D14,seed22!D14),4)</f>
        <v>14.728</v>
      </c>
      <c r="E14" s="1">
        <f>ROUND(AVERAGE(seed1!E14,seed2!E14,seed4!E14,seed5!E14,seed7!E14,seed8!E14,seed9!E14,seed10!E14,seed11!E14,seed12!E14,seed13!E14,seed14!E14,seed15!E14,seed16!E14,seed17!E14,seed18!E14,seed20!E14,seed21!E14,seed22!E14),4)</f>
        <v>13.839</v>
      </c>
      <c r="G14">
        <v>100</v>
      </c>
      <c r="H14">
        <v>13.839</v>
      </c>
      <c r="J14" s="1">
        <v>100</v>
      </c>
      <c r="K14" s="1"/>
      <c r="L14" s="1"/>
      <c r="M14" s="1"/>
    </row>
    <row r="15" spans="2:13">
      <c r="B15" s="1">
        <v>90</v>
      </c>
      <c r="C15" s="1">
        <f>ROUND(AVERAGE(seed1!C15,seed2!C15,seed4!C15,seed5!C15,seed7!C15,seed8!C15,seed9!C15,seed10!C15,seed11!C15,seed12!C15,seed13!C15,seed14!C15,seed15!C15,seed16!C15,seed17!C15,seed18!C15,seed20!C15,seed21!C15,seed22!C15),4)</f>
        <v>12.9847</v>
      </c>
      <c r="D15" s="1">
        <f>ROUND(AVERAGE(seed1!D15,seed2!D15,seed4!D15,seed5!D15,seed7!D15,seed8!D15,seed9!D15,seed10!D15,seed11!D15,seed12!D15,seed13!D15,seed14!D15,seed15!D15,seed16!D15,seed17!D15,seed18!D15,seed20!D15,seed21!D15,seed22!D15),4)</f>
        <v>15.0158</v>
      </c>
      <c r="E15" s="1">
        <f>ROUND(AVERAGE(seed1!E15,seed2!E15,seed4!E15,seed5!E15,seed7!E15,seed8!E15,seed9!E15,seed10!E15,seed11!E15,seed12!E15,seed13!E15,seed14!E15,seed15!E15,seed16!E15,seed17!E15,seed18!E15,seed20!E15,seed21!E15,seed22!E15),4)</f>
        <v>13.917199999999999</v>
      </c>
      <c r="G15">
        <v>90</v>
      </c>
      <c r="H15">
        <v>13.917199999999999</v>
      </c>
      <c r="J15" s="1">
        <v>90</v>
      </c>
      <c r="K15" s="1"/>
      <c r="L15" s="1"/>
      <c r="M15" s="1"/>
    </row>
    <row r="16" spans="2:13">
      <c r="B16" s="1">
        <v>80</v>
      </c>
      <c r="C16" s="1">
        <f>ROUND(AVERAGE(seed1!C16,seed2!C16,seed4!C16,seed5!C16,seed7!C16,seed8!C16,seed9!C16,seed10!C16,seed11!C16,seed12!C16,seed13!C16,seed14!C16,seed15!C16,seed16!C16,seed17!C16,seed18!C16,seed20!C16,seed21!C16,seed22!C16),4)</f>
        <v>13.1586</v>
      </c>
      <c r="D16" s="1">
        <f>ROUND(AVERAGE(seed1!D16,seed2!D16,seed4!D16,seed5!D16,seed7!D16,seed8!D16,seed9!D16,seed10!D16,seed11!D16,seed12!D16,seed13!D16,seed14!D16,seed15!D16,seed16!D16,seed17!D16,seed18!D16,seed20!D16,seed21!D16,seed22!D16),4)</f>
        <v>15.2522</v>
      </c>
      <c r="E16" s="1">
        <f>ROUND(AVERAGE(seed1!E16,seed2!E16,seed4!E16,seed5!E16,seed7!E16,seed8!E16,seed9!E16,seed10!E16,seed11!E16,seed12!E16,seed13!E16,seed14!E16,seed15!E16,seed16!E16,seed17!E16,seed18!E16,seed20!E16,seed21!E16,seed22!E16),4)</f>
        <v>14.123699999999999</v>
      </c>
      <c r="G16">
        <v>80</v>
      </c>
      <c r="H16">
        <v>14.123699999999999</v>
      </c>
      <c r="J16" s="1">
        <v>80</v>
      </c>
      <c r="K16" s="1"/>
      <c r="L16" s="1"/>
      <c r="M16" s="1"/>
    </row>
    <row r="17" spans="2:13">
      <c r="B17" s="2">
        <v>70</v>
      </c>
      <c r="C17" s="1">
        <f>ROUND(AVERAGE(seed1!C17,seed2!C17,seed4!C17,seed5!C17,seed7!C17,seed8!C17,seed9!C17,seed10!C17,seed11!C17,seed12!C17,seed13!C17,seed14!C17,seed15!C17,seed16!C17,seed17!C17,seed18!C17,seed20!C17,seed21!C17,seed22!C17),4)</f>
        <v>13.214499999999999</v>
      </c>
      <c r="D17" s="1">
        <f>ROUND(AVERAGE(seed1!D17,seed2!D17,seed4!D17,seed5!D17,seed7!D17,seed8!D17,seed9!D17,seed10!D17,seed11!D17,seed12!D17,seed13!D17,seed14!D17,seed15!D17,seed16!D17,seed17!D17,seed18!D17,seed20!D17,seed21!D17,seed22!D17),4)</f>
        <v>15.0861</v>
      </c>
      <c r="E17" s="1">
        <f>ROUND(AVERAGE(seed1!E17,seed2!E17,seed4!E17,seed5!E17,seed7!E17,seed8!E17,seed9!E17,seed10!E17,seed11!E17,seed12!E17,seed13!E17,seed14!E17,seed15!E17,seed16!E17,seed17!E17,seed18!E17,seed20!E17,seed21!E17,seed22!E17),4)</f>
        <v>14.0779</v>
      </c>
      <c r="G17">
        <v>70</v>
      </c>
      <c r="H17">
        <v>14.0779</v>
      </c>
      <c r="J17" s="1">
        <v>70</v>
      </c>
      <c r="K17" s="1"/>
      <c r="L17" s="1"/>
      <c r="M17" s="1"/>
    </row>
    <row r="18" spans="2:13">
      <c r="B18" s="1">
        <v>60</v>
      </c>
      <c r="C18" s="1">
        <f>ROUND(AVERAGE(seed1!C18,seed2!C18,seed4!C18,seed5!C18,seed7!C18,seed8!C18,seed9!C18,seed10!C18,seed11!C18,seed12!C18,seed13!C18,seed14!C18,seed15!C18,seed16!C18,seed17!C18,seed18!C18,seed20!C18,seed21!C18,seed22!C18),4)</f>
        <v>12.6975</v>
      </c>
      <c r="D18" s="1">
        <f>ROUND(AVERAGE(seed1!D18,seed2!D18,seed4!D18,seed5!D18,seed7!D18,seed8!D18,seed9!D18,seed10!D18,seed11!D18,seed12!D18,seed13!D18,seed14!D18,seed15!D18,seed16!D18,seed17!D18,seed18!D18,seed20!D18,seed21!D18,seed22!D18),4)</f>
        <v>14.788399999999999</v>
      </c>
      <c r="E18" s="1">
        <f>ROUND(AVERAGE(seed1!E18,seed2!E18,seed4!E18,seed5!E18,seed7!E18,seed8!E18,seed9!E18,seed10!E18,seed11!E18,seed12!E18,seed13!E18,seed14!E18,seed15!E18,seed16!E18,seed17!E18,seed18!E18,seed20!E18,seed21!E18,seed22!E18),4)</f>
        <v>13.655099999999999</v>
      </c>
      <c r="G18">
        <v>60</v>
      </c>
      <c r="H18">
        <v>13.655099999999999</v>
      </c>
      <c r="J18" s="1">
        <v>60</v>
      </c>
      <c r="K18" s="1"/>
      <c r="L18" s="1"/>
      <c r="M18" s="1"/>
    </row>
    <row r="19" spans="2:13">
      <c r="J19" s="1">
        <v>50</v>
      </c>
      <c r="K19" s="1"/>
      <c r="L19" s="1"/>
      <c r="M19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seed1</vt:lpstr>
      <vt:lpstr>seed2</vt:lpstr>
      <vt:lpstr>seed4</vt:lpstr>
      <vt:lpstr>seed5</vt:lpstr>
      <vt:lpstr>seed7</vt:lpstr>
      <vt:lpstr>average1-7</vt:lpstr>
      <vt:lpstr>seed8</vt:lpstr>
      <vt:lpstr>seed9</vt:lpstr>
      <vt:lpstr>seed10</vt:lpstr>
      <vt:lpstr>seed11</vt:lpstr>
      <vt:lpstr>seed12</vt:lpstr>
      <vt:lpstr>seed13</vt:lpstr>
      <vt:lpstr>seed14</vt:lpstr>
      <vt:lpstr>seed15</vt:lpstr>
      <vt:lpstr>seed16</vt:lpstr>
      <vt:lpstr>seed17</vt:lpstr>
      <vt:lpstr>seed18</vt:lpstr>
      <vt:lpstr>seed19</vt:lpstr>
      <vt:lpstr>seed20</vt:lpstr>
      <vt:lpstr>seed21</vt:lpstr>
      <vt:lpstr>seed22</vt:lpstr>
      <vt:lpstr>seed23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2023-12-14T01:43:11Z</dcterms:created>
  <dcterms:modified xsi:type="dcterms:W3CDTF">2023-12-23T10:18:10Z</dcterms:modified>
</cp:coreProperties>
</file>