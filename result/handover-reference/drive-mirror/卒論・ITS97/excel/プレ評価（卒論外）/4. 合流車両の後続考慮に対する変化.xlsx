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8_{95BC8ED0-EFF8-A145-9AAA-5BDA764F3D69}" xr6:coauthVersionLast="47" xr6:coauthVersionMax="47" xr10:uidLastSave="{00000000-0000-0000-0000-000000000000}"/>
  <bookViews>
    <workbookView xWindow="0" yWindow="0" windowWidth="28800" windowHeight="18000" activeTab="5" xr2:uid="{A77A549E-8CE7-0944-AB2A-A7F3F343C12C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average1-5" sheetId="6" r:id="rId6"/>
    <sheet name="seed6" sheetId="7" r:id="rId7"/>
    <sheet name="seed7" sheetId="8" r:id="rId8"/>
    <sheet name="seed8" sheetId="9" r:id="rId9"/>
    <sheet name="seed9" sheetId="10" r:id="rId10"/>
    <sheet name="seed10" sheetId="11" r:id="rId11"/>
    <sheet name="average1-10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6" l="1"/>
  <c r="R15" i="6"/>
  <c r="R12" i="6"/>
  <c r="R11" i="6"/>
  <c r="Q7" i="6"/>
  <c r="H5" i="12"/>
  <c r="I5" i="12"/>
  <c r="J5" i="12"/>
  <c r="H6" i="12"/>
  <c r="I6" i="12"/>
  <c r="J6" i="12"/>
  <c r="H7" i="12"/>
  <c r="I7" i="12"/>
  <c r="J7" i="12"/>
  <c r="H8" i="12"/>
  <c r="I8" i="12"/>
  <c r="J8" i="12"/>
  <c r="H9" i="12"/>
  <c r="I9" i="12"/>
  <c r="J9" i="12"/>
  <c r="H10" i="12"/>
  <c r="I10" i="12"/>
  <c r="J10" i="12"/>
  <c r="H11" i="12"/>
  <c r="I11" i="12"/>
  <c r="J11" i="12"/>
  <c r="H12" i="12"/>
  <c r="I12" i="12"/>
  <c r="J12" i="12"/>
  <c r="H13" i="12"/>
  <c r="I13" i="12"/>
  <c r="J13" i="12"/>
  <c r="H14" i="12"/>
  <c r="I14" i="12"/>
  <c r="J14" i="12"/>
  <c r="I4" i="12"/>
  <c r="J4" i="12"/>
  <c r="H4" i="12"/>
  <c r="C5" i="12"/>
  <c r="D5" i="12"/>
  <c r="E5" i="12"/>
  <c r="C6" i="12"/>
  <c r="D6" i="12"/>
  <c r="E6" i="12"/>
  <c r="C7" i="12"/>
  <c r="D7" i="12"/>
  <c r="E7" i="12"/>
  <c r="C8" i="12"/>
  <c r="D8" i="12"/>
  <c r="E8" i="12"/>
  <c r="C9" i="12"/>
  <c r="D9" i="12"/>
  <c r="E9" i="12"/>
  <c r="C10" i="12"/>
  <c r="D10" i="12"/>
  <c r="E10" i="12"/>
  <c r="C11" i="12"/>
  <c r="D11" i="12"/>
  <c r="E11" i="12"/>
  <c r="C12" i="12"/>
  <c r="D12" i="12"/>
  <c r="E12" i="12"/>
  <c r="C13" i="12"/>
  <c r="D13" i="12"/>
  <c r="E13" i="12"/>
  <c r="C14" i="12"/>
  <c r="D14" i="12"/>
  <c r="E14" i="12"/>
  <c r="D4" i="12"/>
  <c r="E4" i="12"/>
  <c r="C4" i="12"/>
  <c r="M4" i="12"/>
  <c r="R5" i="12"/>
  <c r="S5" i="12"/>
  <c r="T5" i="12"/>
  <c r="R6" i="12"/>
  <c r="S6" i="12"/>
  <c r="T6" i="12"/>
  <c r="R7" i="12"/>
  <c r="S7" i="12"/>
  <c r="T7" i="12"/>
  <c r="R8" i="12"/>
  <c r="S8" i="12"/>
  <c r="T8" i="12"/>
  <c r="R9" i="12"/>
  <c r="S9" i="12"/>
  <c r="T9" i="12"/>
  <c r="R10" i="12"/>
  <c r="S10" i="12"/>
  <c r="T10" i="12"/>
  <c r="R11" i="12"/>
  <c r="S11" i="12"/>
  <c r="T11" i="12"/>
  <c r="R12" i="12"/>
  <c r="S12" i="12"/>
  <c r="T12" i="12"/>
  <c r="R13" i="12"/>
  <c r="S13" i="12"/>
  <c r="T13" i="12"/>
  <c r="R14" i="12"/>
  <c r="S14" i="12"/>
  <c r="T14" i="12"/>
  <c r="S4" i="12"/>
  <c r="T4" i="12"/>
  <c r="R4" i="12"/>
  <c r="M5" i="12"/>
  <c r="N5" i="12"/>
  <c r="O5" i="12"/>
  <c r="M6" i="12"/>
  <c r="N6" i="12"/>
  <c r="O6" i="12"/>
  <c r="M7" i="12"/>
  <c r="N7" i="12"/>
  <c r="O7" i="12"/>
  <c r="M8" i="12"/>
  <c r="N8" i="12"/>
  <c r="O8" i="12"/>
  <c r="M9" i="12"/>
  <c r="N9" i="12"/>
  <c r="O9" i="12"/>
  <c r="M10" i="12"/>
  <c r="N10" i="12"/>
  <c r="O10" i="12"/>
  <c r="M11" i="12"/>
  <c r="N11" i="12"/>
  <c r="O11" i="12"/>
  <c r="M12" i="12"/>
  <c r="N12" i="12"/>
  <c r="O12" i="12"/>
  <c r="M13" i="12"/>
  <c r="N13" i="12"/>
  <c r="O13" i="12"/>
  <c r="M14" i="12"/>
  <c r="N14" i="12"/>
  <c r="O14" i="12"/>
  <c r="N4" i="12"/>
  <c r="O4" i="12"/>
  <c r="D20" i="6"/>
  <c r="E20" i="6"/>
  <c r="D21" i="6"/>
  <c r="E21" i="6"/>
  <c r="D22" i="6"/>
  <c r="E22" i="6"/>
  <c r="D23" i="6"/>
  <c r="E23" i="6"/>
  <c r="C21" i="6"/>
  <c r="C22" i="6"/>
  <c r="C23" i="6"/>
  <c r="C20" i="6"/>
  <c r="I20" i="6"/>
  <c r="J20" i="6"/>
  <c r="H20" i="6"/>
  <c r="N5" i="6"/>
  <c r="N7" i="6"/>
  <c r="N8" i="6"/>
  <c r="N9" i="6"/>
  <c r="N10" i="6"/>
  <c r="N11" i="6"/>
  <c r="N12" i="6"/>
  <c r="N13" i="6"/>
  <c r="N14" i="6"/>
  <c r="N4" i="6"/>
  <c r="M5" i="6"/>
  <c r="M6" i="6"/>
  <c r="M7" i="6"/>
  <c r="M8" i="6"/>
  <c r="M9" i="6"/>
  <c r="M10" i="6"/>
  <c r="M11" i="6"/>
  <c r="M12" i="6"/>
  <c r="M13" i="6"/>
  <c r="M14" i="6"/>
  <c r="M4" i="6"/>
  <c r="H5" i="6"/>
  <c r="I5" i="6"/>
  <c r="J5" i="6"/>
  <c r="H6" i="6"/>
  <c r="I6" i="6"/>
  <c r="J6" i="6"/>
  <c r="N6" i="6" s="1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I4" i="6"/>
  <c r="J4" i="6"/>
  <c r="H4" i="6"/>
  <c r="C4" i="6"/>
  <c r="D4" i="6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E5" i="6"/>
  <c r="E6" i="6"/>
  <c r="E7" i="6"/>
  <c r="E8" i="6"/>
  <c r="E9" i="6"/>
  <c r="E10" i="6"/>
  <c r="E11" i="6"/>
  <c r="E12" i="6"/>
  <c r="E13" i="6"/>
  <c r="E14" i="6"/>
  <c r="E4" i="6"/>
</calcChain>
</file>

<file path=xl/sharedStrings.xml><?xml version="1.0" encoding="utf-8"?>
<sst xmlns="http://schemas.openxmlformats.org/spreadsheetml/2006/main" count="162" uniqueCount="18">
  <si>
    <t>合流位置100m</t>
  </si>
  <si>
    <t>合流位置100m</t>
    <rPh sb="0" eb="4">
      <t>ゴウリュウ</t>
    </rPh>
    <phoneticPr fontId="1"/>
  </si>
  <si>
    <t>α</t>
  </si>
  <si>
    <t>vehicle0</t>
  </si>
  <si>
    <t>vehicle1</t>
  </si>
  <si>
    <t>all</t>
  </si>
  <si>
    <t>後続考慮なし</t>
  </si>
  <si>
    <t>後続考慮なし</t>
    <rPh sb="0" eb="4">
      <t>コウゾク</t>
    </rPh>
    <phoneticPr fontId="1"/>
  </si>
  <si>
    <t>デスク 100</t>
    <phoneticPr fontId="1"/>
  </si>
  <si>
    <t>mac 合流200</t>
    <rPh sb="4" eb="6">
      <t>ゴウリュウ</t>
    </rPh>
    <phoneticPr fontId="1"/>
  </si>
  <si>
    <t>mac</t>
    <phoneticPr fontId="1"/>
  </si>
  <si>
    <t>hpc</t>
    <phoneticPr fontId="1"/>
  </si>
  <si>
    <t>後続考慮あり</t>
    <rPh sb="0" eb="4">
      <t>コウゾクコウル</t>
    </rPh>
    <phoneticPr fontId="1"/>
  </si>
  <si>
    <t>α</t>
    <phoneticPr fontId="1"/>
  </si>
  <si>
    <t>譲る判定が300m以降も残っている</t>
    <rPh sb="0" eb="1">
      <t>ユズル</t>
    </rPh>
    <rPh sb="2" eb="4">
      <t>ハンテイ</t>
    </rPh>
    <rPh sb="9" eb="11">
      <t>イコウ</t>
    </rPh>
    <phoneticPr fontId="1"/>
  </si>
  <si>
    <t>1-10ave</t>
    <phoneticPr fontId="1"/>
  </si>
  <si>
    <t>6-10ave</t>
    <phoneticPr fontId="1"/>
  </si>
  <si>
    <t>シミュレーション内部で計算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</si>
</sst>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00B050"/>
      <name val="游ゴシック"/>
      <family val="2"/>
      <charset val="128"/>
      <scheme val="minor"/>
    </font>
    <font>
      <sz val="12"/>
      <color rgb="FFFFC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100"/>
              <a:t>図：合流車両の後続考慮の有無による平均速度の変化</a:t>
            </a:r>
          </a:p>
        </c:rich>
      </c:tx>
      <c:layout>
        <c:manualLayout>
          <c:xMode val="edge"/>
          <c:yMode val="edge"/>
          <c:x val="0.13055555555555556"/>
          <c:y val="0.84722222222222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167825896762903"/>
          <c:y val="9.4514071157771939E-2"/>
          <c:w val="0.81865507436570428"/>
          <c:h val="0.598641367745698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'average1-5'!$M$3</c:f>
              <c:strCache>
                <c:ptCount val="1"/>
                <c:pt idx="0">
                  <c:v>後続考慮あり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'average1-5'!$L$4:$L$14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'average1-5'!$M$4:$M$14</c:f>
              <c:numCache>
                <c:formatCode>General</c:formatCode>
                <c:ptCount val="11"/>
                <c:pt idx="0">
                  <c:v>14.7942</c:v>
                </c:pt>
                <c:pt idx="1">
                  <c:v>14.7942</c:v>
                </c:pt>
                <c:pt idx="2">
                  <c:v>14.952</c:v>
                </c:pt>
                <c:pt idx="3">
                  <c:v>14.9483</c:v>
                </c:pt>
                <c:pt idx="4">
                  <c:v>14.9695</c:v>
                </c:pt>
                <c:pt idx="5">
                  <c:v>15.1737</c:v>
                </c:pt>
                <c:pt idx="6">
                  <c:v>15.3749</c:v>
                </c:pt>
                <c:pt idx="7">
                  <c:v>15.2079</c:v>
                </c:pt>
                <c:pt idx="8">
                  <c:v>14.6898</c:v>
                </c:pt>
                <c:pt idx="9">
                  <c:v>14.231199999999999</c:v>
                </c:pt>
                <c:pt idx="10">
                  <c:v>14.231199999999999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0-C146-A9C0-58061477D7B5}"/>
            </c:ext>
          </c:extLst>
        </c:ser>
        <c:ser>
          <c:idx val="1"/>
          <c:order val="1"/>
          <c:tx>
            <c:strRef>
              <c:f>'average1-5'!$N$3</c:f>
              <c:strCache>
                <c:ptCount val="1"/>
                <c:pt idx="0">
                  <c:v>後続考慮なし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'average1-5'!$L$4:$L$14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'average1-5'!$N$4:$N$14</c:f>
              <c:numCache>
                <c:formatCode>General</c:formatCode>
                <c:ptCount val="11"/>
                <c:pt idx="0">
                  <c:v>14.7942</c:v>
                </c:pt>
                <c:pt idx="1">
                  <c:v>15.0669</c:v>
                </c:pt>
                <c:pt idx="2">
                  <c:v>15.360200000000001</c:v>
                </c:pt>
                <c:pt idx="3">
                  <c:v>15.3157</c:v>
                </c:pt>
                <c:pt idx="4">
                  <c:v>15.175800000000001</c:v>
                </c:pt>
                <c:pt idx="5">
                  <c:v>14.396599999999999</c:v>
                </c:pt>
                <c:pt idx="6">
                  <c:v>14.2441</c:v>
                </c:pt>
                <c:pt idx="7">
                  <c:v>14.231199999999999</c:v>
                </c:pt>
                <c:pt idx="8">
                  <c:v>14.231199999999999</c:v>
                </c:pt>
                <c:pt idx="9">
                  <c:v>14.231199999999999</c:v>
                </c:pt>
                <c:pt idx="10">
                  <c:v>14.231199999999999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0-C146-A9C0-58061477D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324111"/>
        <c:axId val="1442467631"/>
      </c:scatterChart>
      <c:valAx>
        <c:axId val="144232411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2467631"/>
        <c:crosses val="autoZero"/>
        <c:crossBetween val="midCat"/>
      </c:valAx>
      <c:valAx>
        <c:axId val="14424676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232411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66666666666667"/>
          <c:y val="0.51446704578594338"/>
          <c:w val="0.24777777777777774"/>
          <c:h val="0.15219962088072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100"/>
              <a:t>図：合流車両の後続考慮の有無による平均速度の変化</a:t>
            </a:r>
          </a:p>
        </c:rich>
      </c:tx>
      <c:layout>
        <c:manualLayout>
          <c:xMode val="edge"/>
          <c:yMode val="edge"/>
          <c:x val="0.13333333333333333"/>
          <c:y val="0.87037037037037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8.5185185185185169E-2"/>
          <c:w val="0.81865507436570428"/>
          <c:h val="0.626488772236803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'average1-5'!$Q$3</c:f>
              <c:strCache>
                <c:ptCount val="1"/>
                <c:pt idx="0">
                  <c:v>後続考慮あり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'average1-5'!$P$4:$P$19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0.55000000000000004</c:v>
                </c:pt>
                <c:pt idx="8">
                  <c:v>0.57999999999999996</c:v>
                </c:pt>
                <c:pt idx="9">
                  <c:v>0.6</c:v>
                </c:pt>
                <c:pt idx="10">
                  <c:v>0.62</c:v>
                </c:pt>
                <c:pt idx="11">
                  <c:v>0.65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1</c:v>
                </c:pt>
              </c:numCache>
            </c:numRef>
          </c:xVal>
          <c:yVal>
            <c:numRef>
              <c:f>'average1-5'!$Q$4:$Q$19</c:f>
              <c:numCache>
                <c:formatCode>General</c:formatCode>
                <c:ptCount val="16"/>
                <c:pt idx="0">
                  <c:v>14.7942</c:v>
                </c:pt>
                <c:pt idx="1">
                  <c:v>14.7942</c:v>
                </c:pt>
                <c:pt idx="2">
                  <c:v>14.952</c:v>
                </c:pt>
                <c:pt idx="3">
                  <c:v>14.950150000000001</c:v>
                </c:pt>
                <c:pt idx="4">
                  <c:v>14.9483</c:v>
                </c:pt>
                <c:pt idx="5">
                  <c:v>14.9695</c:v>
                </c:pt>
                <c:pt idx="6">
                  <c:v>15.1737</c:v>
                </c:pt>
                <c:pt idx="7">
                  <c:v>15.279400000000001</c:v>
                </c:pt>
                <c:pt idx="8">
                  <c:v>15.3749</c:v>
                </c:pt>
                <c:pt idx="9">
                  <c:v>15.3749</c:v>
                </c:pt>
                <c:pt idx="10">
                  <c:v>15.357699999999999</c:v>
                </c:pt>
                <c:pt idx="11">
                  <c:v>15.31</c:v>
                </c:pt>
                <c:pt idx="12">
                  <c:v>15.2079</c:v>
                </c:pt>
                <c:pt idx="13">
                  <c:v>14.6898</c:v>
                </c:pt>
                <c:pt idx="14">
                  <c:v>14.231199999999999</c:v>
                </c:pt>
                <c:pt idx="15">
                  <c:v>14.231199999999999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4-8E40-9825-9C7F2A55DA81}"/>
            </c:ext>
          </c:extLst>
        </c:ser>
        <c:ser>
          <c:idx val="1"/>
          <c:order val="1"/>
          <c:tx>
            <c:strRef>
              <c:f>'average1-5'!$R$3</c:f>
              <c:strCache>
                <c:ptCount val="1"/>
                <c:pt idx="0">
                  <c:v>後続考慮なし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'average1-5'!$P$4:$P$19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0.55000000000000004</c:v>
                </c:pt>
                <c:pt idx="8">
                  <c:v>0.57999999999999996</c:v>
                </c:pt>
                <c:pt idx="9">
                  <c:v>0.6</c:v>
                </c:pt>
                <c:pt idx="10">
                  <c:v>0.62</c:v>
                </c:pt>
                <c:pt idx="11">
                  <c:v>0.65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1</c:v>
                </c:pt>
              </c:numCache>
            </c:numRef>
          </c:xVal>
          <c:yVal>
            <c:numRef>
              <c:f>'average1-5'!$R$4:$R$19</c:f>
              <c:numCache>
                <c:formatCode>General</c:formatCode>
                <c:ptCount val="16"/>
                <c:pt idx="0">
                  <c:v>14.7942</c:v>
                </c:pt>
                <c:pt idx="1">
                  <c:v>15.0669</c:v>
                </c:pt>
                <c:pt idx="2">
                  <c:v>15.360200000000001</c:v>
                </c:pt>
                <c:pt idx="3">
                  <c:v>15.3881</c:v>
                </c:pt>
                <c:pt idx="4">
                  <c:v>15.3157</c:v>
                </c:pt>
                <c:pt idx="5">
                  <c:v>15.175800000000001</c:v>
                </c:pt>
                <c:pt idx="6">
                  <c:v>14.396599999999999</c:v>
                </c:pt>
                <c:pt idx="7">
                  <c:v>14.320349999999999</c:v>
                </c:pt>
                <c:pt idx="8">
                  <c:v>14.2746</c:v>
                </c:pt>
                <c:pt idx="9">
                  <c:v>14.2441</c:v>
                </c:pt>
                <c:pt idx="10">
                  <c:v>14.24152</c:v>
                </c:pt>
                <c:pt idx="11">
                  <c:v>14.237649999999999</c:v>
                </c:pt>
                <c:pt idx="12">
                  <c:v>14.231199999999999</c:v>
                </c:pt>
                <c:pt idx="13">
                  <c:v>14.231199999999999</c:v>
                </c:pt>
                <c:pt idx="14">
                  <c:v>14.231199999999999</c:v>
                </c:pt>
                <c:pt idx="15">
                  <c:v>14.231199999999999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74-8E40-9825-9C7F2A55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340399"/>
        <c:axId val="1236457711"/>
      </c:scatterChart>
      <c:valAx>
        <c:axId val="192734039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6457711"/>
        <c:crosses val="autoZero"/>
        <c:crossBetween val="midCat"/>
      </c:valAx>
      <c:valAx>
        <c:axId val="12364577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7340399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6760039370078741"/>
          <c:y val="0.50057815689705454"/>
          <c:w val="0.28146566054243222"/>
          <c:h val="0.147569991251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139700</xdr:colOff>
      <xdr:row>17</xdr:row>
      <xdr:rowOff>19050</xdr:rowOff>
    </xdr:from>
    <xdr:to>
      <xdr:col>14</xdr:col>
      <xdr:colOff>901700</xdr:colOff>
      <xdr:row>27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4D70835-3F2A-9D7F-9FB1-1309D21EA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292100</xdr:colOff>
      <xdr:row>18</xdr:row>
      <xdr:rowOff>234950</xdr:rowOff>
    </xdr:from>
    <xdr:to>
      <xdr:col>20</xdr:col>
      <xdr:colOff>101600</xdr:colOff>
      <xdr:row>29</xdr:row>
      <xdr:rowOff>184150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5C51E66-C1AA-8E3F-E1EF-3CE59A30E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FA9C-0BE1-6349-BA8D-E2DDC0E4E7C9}">
  <dimension ref="B2:O29"/>
  <sheetViews>
    <sheetView topLeftCell="A3" workbookViewId="0">
      <selection activeCell="H35" sqref="H35"/>
    </sheetView>
  </sheetViews>
  <sheetFormatPr baseColWidth="10" defaultRowHeight="20"/>
  <sheetData>
    <row r="2" spans="2:15">
      <c r="B2" t="s">
        <v>1</v>
      </c>
      <c r="G2" t="s">
        <v>7</v>
      </c>
    </row>
    <row r="3" spans="2:15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  <c r="M3" t="s">
        <v>8</v>
      </c>
    </row>
    <row r="4" spans="2:15">
      <c r="B4">
        <v>0</v>
      </c>
      <c r="C4">
        <v>14.7242</v>
      </c>
      <c r="D4">
        <v>13.223699999999999</v>
      </c>
      <c r="E4">
        <v>13.982799999999999</v>
      </c>
      <c r="G4">
        <v>0</v>
      </c>
      <c r="H4">
        <v>14.7242</v>
      </c>
      <c r="I4">
        <v>13.223699999999999</v>
      </c>
      <c r="J4">
        <v>13.982799999999999</v>
      </c>
      <c r="M4" s="1">
        <v>13.2141</v>
      </c>
      <c r="N4" s="1">
        <v>14.9564</v>
      </c>
      <c r="O4" s="1">
        <v>14.0245</v>
      </c>
    </row>
    <row r="5" spans="2:15">
      <c r="B5">
        <v>0.1</v>
      </c>
      <c r="C5">
        <v>14.7242</v>
      </c>
      <c r="D5">
        <v>13.223699999999999</v>
      </c>
      <c r="E5">
        <v>13.982799999999999</v>
      </c>
      <c r="G5">
        <v>0.1</v>
      </c>
      <c r="H5">
        <v>14.7233</v>
      </c>
      <c r="I5">
        <v>13.226900000000001</v>
      </c>
      <c r="J5">
        <v>13.984</v>
      </c>
      <c r="M5" s="1">
        <v>13.1183</v>
      </c>
      <c r="N5">
        <v>15.410500000000001</v>
      </c>
      <c r="O5">
        <v>14.1844</v>
      </c>
    </row>
    <row r="6" spans="2:15">
      <c r="B6">
        <v>0.2</v>
      </c>
      <c r="C6">
        <v>14.7242</v>
      </c>
      <c r="D6">
        <v>13.223699999999999</v>
      </c>
      <c r="E6">
        <v>13.982799999999999</v>
      </c>
      <c r="G6">
        <v>0.2</v>
      </c>
      <c r="H6">
        <v>13.534000000000001</v>
      </c>
      <c r="I6">
        <v>15.176</v>
      </c>
      <c r="J6">
        <v>14.313599999999999</v>
      </c>
      <c r="M6" s="1">
        <v>13.4838</v>
      </c>
      <c r="N6" s="1">
        <v>15.6457</v>
      </c>
      <c r="O6">
        <v>14.501099999999999</v>
      </c>
    </row>
    <row r="7" spans="2:15">
      <c r="B7">
        <v>0.3</v>
      </c>
      <c r="C7">
        <v>14.7233</v>
      </c>
      <c r="D7">
        <v>13.226900000000001</v>
      </c>
      <c r="E7">
        <v>13.984</v>
      </c>
      <c r="G7">
        <v>0.3</v>
      </c>
      <c r="H7">
        <v>13.5779</v>
      </c>
      <c r="I7">
        <v>15.8294</v>
      </c>
      <c r="J7">
        <v>14.6198</v>
      </c>
      <c r="M7" s="1">
        <v>13.3933</v>
      </c>
      <c r="N7" s="1">
        <v>15.3764</v>
      </c>
      <c r="O7" s="1">
        <v>14.3284</v>
      </c>
    </row>
    <row r="8" spans="2:15">
      <c r="B8">
        <v>0.4</v>
      </c>
      <c r="C8">
        <v>14.7233</v>
      </c>
      <c r="D8">
        <v>13.226900000000001</v>
      </c>
      <c r="E8">
        <v>13.984</v>
      </c>
      <c r="G8">
        <v>0.4</v>
      </c>
      <c r="H8">
        <v>12.4376</v>
      </c>
      <c r="I8">
        <v>16.476099999999999</v>
      </c>
      <c r="J8">
        <v>14.257199999999999</v>
      </c>
      <c r="M8" s="1">
        <v>12.818199999999999</v>
      </c>
      <c r="N8" s="1">
        <v>15.7684</v>
      </c>
      <c r="O8" s="1">
        <v>14.1922</v>
      </c>
    </row>
    <row r="9" spans="2:15">
      <c r="B9">
        <v>0.5</v>
      </c>
      <c r="C9">
        <v>14.4061</v>
      </c>
      <c r="D9">
        <v>13.6768</v>
      </c>
      <c r="E9">
        <v>14.0458</v>
      </c>
      <c r="G9">
        <v>0.5</v>
      </c>
      <c r="H9">
        <v>11.107900000000001</v>
      </c>
      <c r="I9">
        <v>16.581499999999998</v>
      </c>
      <c r="J9">
        <v>13.4648</v>
      </c>
      <c r="M9" s="1">
        <v>12.818199999999999</v>
      </c>
      <c r="N9" s="1">
        <v>15.7684</v>
      </c>
      <c r="O9" s="1">
        <v>14.1922</v>
      </c>
    </row>
    <row r="10" spans="2:15">
      <c r="B10">
        <v>0.6</v>
      </c>
      <c r="C10">
        <v>14.234999999999999</v>
      </c>
      <c r="D10">
        <v>15.173</v>
      </c>
      <c r="E10">
        <v>14.6927</v>
      </c>
      <c r="G10">
        <v>0.6</v>
      </c>
      <c r="H10">
        <v>11.0855</v>
      </c>
      <c r="I10">
        <v>16.619299999999999</v>
      </c>
      <c r="J10">
        <v>13.468299999999999</v>
      </c>
      <c r="M10" s="1">
        <v>12.7964</v>
      </c>
      <c r="N10" s="1">
        <v>15.776899999999999</v>
      </c>
      <c r="O10">
        <v>14.1845</v>
      </c>
    </row>
    <row r="11" spans="2:15">
      <c r="B11">
        <v>0.7</v>
      </c>
      <c r="C11">
        <v>13.384399999999999</v>
      </c>
      <c r="D11">
        <v>16.252700000000001</v>
      </c>
      <c r="E11">
        <v>14.7117</v>
      </c>
      <c r="G11" s="2">
        <v>0.7</v>
      </c>
      <c r="H11" s="2">
        <v>10.9337</v>
      </c>
      <c r="I11" s="2">
        <v>16.670000000000002</v>
      </c>
      <c r="J11" s="2">
        <v>13.403700000000001</v>
      </c>
      <c r="M11" s="1">
        <v>12.962999999999999</v>
      </c>
      <c r="N11" s="1">
        <v>16.503499999999999</v>
      </c>
      <c r="O11" s="1">
        <v>14.582000000000001</v>
      </c>
    </row>
    <row r="12" spans="2:15">
      <c r="B12">
        <v>0.8</v>
      </c>
      <c r="C12">
        <v>10.9337</v>
      </c>
      <c r="D12">
        <v>16.670000000000002</v>
      </c>
      <c r="E12">
        <v>13.403700000000001</v>
      </c>
      <c r="G12">
        <v>0.8</v>
      </c>
      <c r="H12" s="2">
        <v>10.9337</v>
      </c>
      <c r="I12" s="2">
        <v>16.670000000000002</v>
      </c>
      <c r="J12" s="2">
        <v>13.403700000000001</v>
      </c>
      <c r="M12" s="1">
        <v>11.382099999999999</v>
      </c>
      <c r="N12" s="1">
        <v>16.670000000000002</v>
      </c>
      <c r="O12" s="1">
        <v>13.659700000000001</v>
      </c>
    </row>
    <row r="13" spans="2:15">
      <c r="B13">
        <v>0.9</v>
      </c>
      <c r="C13">
        <v>10.9337</v>
      </c>
      <c r="D13">
        <v>16.670000000000002</v>
      </c>
      <c r="E13">
        <v>13.403700000000001</v>
      </c>
      <c r="G13">
        <v>0.9</v>
      </c>
      <c r="H13" s="2">
        <v>10.9337</v>
      </c>
      <c r="I13" s="2">
        <v>16.670000000000002</v>
      </c>
      <c r="J13" s="2">
        <v>13.403700000000001</v>
      </c>
      <c r="M13" s="1">
        <v>11.382099999999999</v>
      </c>
      <c r="N13" s="1">
        <v>16.670000000000002</v>
      </c>
      <c r="O13" s="1">
        <v>13.659700000000001</v>
      </c>
    </row>
    <row r="14" spans="2:15">
      <c r="B14">
        <v>1</v>
      </c>
      <c r="C14">
        <v>10.9337</v>
      </c>
      <c r="D14">
        <v>16.670000000000002</v>
      </c>
      <c r="E14">
        <v>13.403700000000001</v>
      </c>
      <c r="G14">
        <v>1</v>
      </c>
      <c r="H14">
        <v>10.9337</v>
      </c>
      <c r="I14">
        <v>16.670000000000002</v>
      </c>
      <c r="J14">
        <v>13.403700000000001</v>
      </c>
      <c r="M14" s="1">
        <v>11.382099999999999</v>
      </c>
      <c r="N14" s="1">
        <v>16.670000000000002</v>
      </c>
      <c r="O14" s="1">
        <v>13.659700000000001</v>
      </c>
    </row>
    <row r="17" spans="2:15">
      <c r="D17" t="s">
        <v>10</v>
      </c>
      <c r="I17" t="s">
        <v>10</v>
      </c>
    </row>
    <row r="18" spans="2:15">
      <c r="M18" t="s">
        <v>9</v>
      </c>
    </row>
    <row r="19" spans="2:15">
      <c r="M19">
        <v>12.8428</v>
      </c>
      <c r="N19">
        <v>12.870900000000001</v>
      </c>
      <c r="O19">
        <v>12.8567</v>
      </c>
    </row>
    <row r="20" spans="2:15">
      <c r="B20">
        <v>0.55000000000000004</v>
      </c>
      <c r="C20">
        <v>14.004</v>
      </c>
      <c r="D20">
        <v>14.793799999999999</v>
      </c>
      <c r="E20">
        <v>14.3916</v>
      </c>
      <c r="G20">
        <v>0.25</v>
      </c>
      <c r="H20">
        <v>13.449400000000001</v>
      </c>
      <c r="I20">
        <v>16.423300000000001</v>
      </c>
      <c r="J20">
        <v>14.8287</v>
      </c>
      <c r="M20">
        <v>12.8428</v>
      </c>
      <c r="N20">
        <v>12.870900000000001</v>
      </c>
      <c r="O20">
        <v>12.8567</v>
      </c>
    </row>
    <row r="21" spans="2:15">
      <c r="B21">
        <v>0.57999999999999996</v>
      </c>
      <c r="C21">
        <v>14.234999999999999</v>
      </c>
      <c r="D21">
        <v>15.173</v>
      </c>
      <c r="E21">
        <v>14.6927</v>
      </c>
      <c r="M21">
        <v>12.827299999999999</v>
      </c>
      <c r="N21">
        <v>13.0562</v>
      </c>
      <c r="O21">
        <v>12.6037</v>
      </c>
    </row>
    <row r="22" spans="2:15">
      <c r="B22">
        <v>0.62</v>
      </c>
      <c r="C22">
        <v>14.0901</v>
      </c>
      <c r="D22">
        <v>15.0892</v>
      </c>
      <c r="E22">
        <v>14.5785</v>
      </c>
      <c r="M22" s="1">
        <v>12.827299999999999</v>
      </c>
      <c r="N22" s="1">
        <v>13.0562</v>
      </c>
      <c r="O22" s="1">
        <v>12.6037</v>
      </c>
    </row>
    <row r="23" spans="2:15">
      <c r="B23">
        <v>0.65</v>
      </c>
      <c r="C23">
        <v>13.8759</v>
      </c>
      <c r="D23">
        <v>15.526</v>
      </c>
      <c r="E23">
        <v>14.667199999999999</v>
      </c>
      <c r="M23" s="1">
        <v>12.000299999999999</v>
      </c>
      <c r="N23" s="1">
        <v>13.696999999999999</v>
      </c>
      <c r="O23">
        <v>12.8226</v>
      </c>
    </row>
    <row r="24" spans="2:15">
      <c r="M24" s="1">
        <v>12.293100000000001</v>
      </c>
      <c r="N24" s="1">
        <v>13.975199999999999</v>
      </c>
      <c r="O24" s="1">
        <v>13.097</v>
      </c>
    </row>
    <row r="25" spans="2:15">
      <c r="M25" s="1">
        <v>10.6576</v>
      </c>
      <c r="N25" s="1">
        <v>15.2767</v>
      </c>
      <c r="O25" s="1">
        <v>12.7019</v>
      </c>
    </row>
    <row r="26" spans="2:15">
      <c r="M26" s="1">
        <v>10.2042</v>
      </c>
      <c r="N26" s="1">
        <v>15.464</v>
      </c>
      <c r="O26" s="1">
        <v>12.529500000000001</v>
      </c>
    </row>
    <row r="27" spans="2:15">
      <c r="M27" s="1">
        <v>11.2463</v>
      </c>
      <c r="N27" s="1">
        <v>16.383700000000001</v>
      </c>
      <c r="O27" s="1">
        <v>13.478999999999999</v>
      </c>
    </row>
    <row r="28" spans="2:15">
      <c r="M28" s="1">
        <v>9.8382299999999994</v>
      </c>
      <c r="N28" s="1">
        <v>16.537500000000001</v>
      </c>
      <c r="O28" s="1">
        <v>12.6257</v>
      </c>
    </row>
    <row r="29" spans="2:15">
      <c r="M29" s="1">
        <v>8.1286900000000006</v>
      </c>
      <c r="N29" s="1">
        <v>16.670000000000002</v>
      </c>
      <c r="O29" s="1">
        <v>11.488099999999999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8D01-043D-1C46-BA1D-A904CD7A069C}">
  <dimension ref="B2:J23"/>
  <sheetViews>
    <sheetView workbookViewId="0">
      <selection activeCell="E24" sqref="E24"/>
    </sheetView>
  </sheetViews>
  <sheetFormatPr baseColWidth="10" defaultRowHeight="20"/>
  <sheetData>
    <row r="2" spans="2:10">
      <c r="B2" t="s">
        <v>1</v>
      </c>
      <c r="G2" t="s">
        <v>7</v>
      </c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>
        <v>0</v>
      </c>
      <c r="C4">
        <v>15.4711</v>
      </c>
      <c r="D4">
        <v>14.8276</v>
      </c>
      <c r="E4">
        <v>15.141999999999999</v>
      </c>
      <c r="G4">
        <v>0</v>
      </c>
      <c r="H4">
        <v>15.4711</v>
      </c>
      <c r="I4">
        <v>14.8276</v>
      </c>
      <c r="J4">
        <v>15.141999999999999</v>
      </c>
    </row>
    <row r="5" spans="2:10">
      <c r="B5">
        <v>0.1</v>
      </c>
      <c r="C5">
        <v>15.4711</v>
      </c>
      <c r="D5">
        <v>14.8276</v>
      </c>
      <c r="E5">
        <v>15.141999999999999</v>
      </c>
      <c r="G5" s="2">
        <v>0.1</v>
      </c>
      <c r="H5" s="2">
        <v>15.3667</v>
      </c>
      <c r="I5" s="2">
        <v>15.001799999999999</v>
      </c>
      <c r="J5" s="2">
        <v>15.180099999999999</v>
      </c>
    </row>
    <row r="6" spans="2:10">
      <c r="B6">
        <v>0.2</v>
      </c>
      <c r="C6">
        <v>15.374499999999999</v>
      </c>
      <c r="D6">
        <v>14.939299999999999</v>
      </c>
      <c r="E6">
        <v>15.151899999999999</v>
      </c>
      <c r="G6">
        <v>0.2</v>
      </c>
      <c r="H6">
        <v>15.2775</v>
      </c>
      <c r="I6">
        <v>15.2417</v>
      </c>
      <c r="J6">
        <v>15.2592</v>
      </c>
    </row>
    <row r="7" spans="2:10">
      <c r="B7">
        <v>0.3</v>
      </c>
      <c r="C7">
        <v>15.3003</v>
      </c>
      <c r="D7">
        <v>15.182700000000001</v>
      </c>
      <c r="E7">
        <v>15.2401</v>
      </c>
      <c r="G7">
        <v>0.3</v>
      </c>
      <c r="H7">
        <v>14.326000000000001</v>
      </c>
      <c r="I7">
        <v>16.409199999999998</v>
      </c>
      <c r="J7">
        <v>15.344900000000001</v>
      </c>
    </row>
    <row r="8" spans="2:10">
      <c r="B8">
        <v>0.4</v>
      </c>
      <c r="C8">
        <v>15.2775</v>
      </c>
      <c r="D8">
        <v>15.2417</v>
      </c>
      <c r="E8">
        <v>15.2592</v>
      </c>
      <c r="G8">
        <v>0.4</v>
      </c>
      <c r="H8">
        <v>13.366300000000001</v>
      </c>
      <c r="I8">
        <v>16.456499999999998</v>
      </c>
      <c r="J8">
        <v>14.8537</v>
      </c>
    </row>
    <row r="9" spans="2:10">
      <c r="B9">
        <v>0.5</v>
      </c>
      <c r="C9">
        <v>15.2775</v>
      </c>
      <c r="D9">
        <v>15.2417</v>
      </c>
      <c r="E9">
        <v>15.2592</v>
      </c>
      <c r="G9">
        <v>0.5</v>
      </c>
      <c r="H9">
        <v>13.256500000000001</v>
      </c>
      <c r="I9">
        <v>16.670000000000002</v>
      </c>
      <c r="J9">
        <v>14.879200000000001</v>
      </c>
    </row>
    <row r="10" spans="2:10">
      <c r="B10">
        <v>0.6</v>
      </c>
      <c r="C10">
        <v>14.256600000000001</v>
      </c>
      <c r="D10">
        <v>16.343299999999999</v>
      </c>
      <c r="E10">
        <v>15.277100000000001</v>
      </c>
      <c r="G10">
        <v>0.6</v>
      </c>
      <c r="H10">
        <v>13.256500000000001</v>
      </c>
      <c r="I10">
        <v>16.670000000000002</v>
      </c>
      <c r="J10">
        <v>14.879200000000001</v>
      </c>
    </row>
    <row r="11" spans="2:10">
      <c r="B11">
        <v>0.7</v>
      </c>
      <c r="C11">
        <v>13.366300000000001</v>
      </c>
      <c r="D11">
        <v>16.456499999999998</v>
      </c>
      <c r="E11">
        <v>14.8537</v>
      </c>
      <c r="G11">
        <v>0.7</v>
      </c>
      <c r="H11">
        <v>13.256500000000001</v>
      </c>
      <c r="I11">
        <v>16.670000000000002</v>
      </c>
      <c r="J11">
        <v>14.879200000000001</v>
      </c>
    </row>
    <row r="12" spans="2:10">
      <c r="B12">
        <v>0.8</v>
      </c>
      <c r="C12">
        <v>13.256500000000001</v>
      </c>
      <c r="D12">
        <v>16.670000000000002</v>
      </c>
      <c r="E12">
        <v>14.879200000000001</v>
      </c>
      <c r="G12">
        <v>0.8</v>
      </c>
      <c r="H12">
        <v>13.256500000000001</v>
      </c>
      <c r="I12">
        <v>16.670000000000002</v>
      </c>
      <c r="J12">
        <v>14.879200000000001</v>
      </c>
    </row>
    <row r="13" spans="2:10">
      <c r="B13">
        <v>0.9</v>
      </c>
      <c r="C13">
        <v>13.256500000000001</v>
      </c>
      <c r="D13">
        <v>16.670000000000002</v>
      </c>
      <c r="E13">
        <v>14.879200000000001</v>
      </c>
      <c r="G13" s="2">
        <v>0.9</v>
      </c>
      <c r="H13" s="2">
        <v>13.256500000000001</v>
      </c>
      <c r="I13" s="2">
        <v>16.670000000000002</v>
      </c>
      <c r="J13" s="2">
        <v>14.879200000000001</v>
      </c>
    </row>
    <row r="14" spans="2:10">
      <c r="B14">
        <v>1</v>
      </c>
      <c r="C14">
        <v>13.256500000000001</v>
      </c>
      <c r="D14">
        <v>16.670000000000002</v>
      </c>
      <c r="E14">
        <v>14.879200000000001</v>
      </c>
      <c r="G14">
        <v>1</v>
      </c>
      <c r="H14" s="2">
        <v>13.256500000000001</v>
      </c>
      <c r="I14" s="2">
        <v>16.670000000000002</v>
      </c>
      <c r="J14" s="2">
        <v>14.879200000000001</v>
      </c>
    </row>
    <row r="17" spans="2:10">
      <c r="D17" t="s">
        <v>10</v>
      </c>
      <c r="I17" t="s">
        <v>11</v>
      </c>
    </row>
    <row r="20" spans="2:10">
      <c r="B20">
        <v>0.55000000000000004</v>
      </c>
      <c r="C20">
        <v>14.256600000000001</v>
      </c>
      <c r="D20">
        <v>16.343299999999999</v>
      </c>
      <c r="E20">
        <v>15.277100000000001</v>
      </c>
      <c r="G20">
        <v>0.25</v>
      </c>
      <c r="H20">
        <v>14.3851</v>
      </c>
      <c r="I20">
        <v>16.1919</v>
      </c>
      <c r="J20">
        <v>15.268800000000001</v>
      </c>
    </row>
    <row r="21" spans="2:10">
      <c r="B21">
        <v>0.57999999999999996</v>
      </c>
      <c r="C21">
        <v>14.256600000000001</v>
      </c>
      <c r="D21">
        <v>16.343299999999999</v>
      </c>
      <c r="E21">
        <v>15.277100000000001</v>
      </c>
    </row>
    <row r="22" spans="2:10">
      <c r="B22">
        <v>0.62</v>
      </c>
      <c r="C22">
        <v>14.2567</v>
      </c>
      <c r="D22">
        <v>16.3505</v>
      </c>
      <c r="E22">
        <v>15.280799999999999</v>
      </c>
    </row>
    <row r="23" spans="2:10">
      <c r="B23">
        <v>0.65</v>
      </c>
      <c r="C23">
        <v>13.571099999999999</v>
      </c>
      <c r="D23">
        <v>16.443300000000001</v>
      </c>
      <c r="E23">
        <v>14.9535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0679-3343-2043-925C-E0E208CE2D73}">
  <dimension ref="B2:J23"/>
  <sheetViews>
    <sheetView workbookViewId="0">
      <selection activeCell="H21" sqref="H21"/>
    </sheetView>
  </sheetViews>
  <sheetFormatPr baseColWidth="10" defaultRowHeight="20"/>
  <sheetData>
    <row r="2" spans="2:10">
      <c r="B2" t="s">
        <v>1</v>
      </c>
      <c r="G2" t="s">
        <v>7</v>
      </c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>
        <v>0</v>
      </c>
      <c r="C4">
        <v>16.215699999999998</v>
      </c>
      <c r="D4">
        <v>16.145600000000002</v>
      </c>
      <c r="E4">
        <v>16.179099999999998</v>
      </c>
      <c r="G4">
        <v>0</v>
      </c>
      <c r="H4">
        <v>16.215699999999998</v>
      </c>
      <c r="I4">
        <v>16.145600000000002</v>
      </c>
      <c r="J4">
        <v>16.179099999999998</v>
      </c>
    </row>
    <row r="5" spans="2:10">
      <c r="B5">
        <v>0.1</v>
      </c>
      <c r="C5">
        <v>16.215699999999998</v>
      </c>
      <c r="D5">
        <v>16.145600000000002</v>
      </c>
      <c r="E5">
        <v>16.179099999999998</v>
      </c>
      <c r="G5">
        <v>0.1</v>
      </c>
      <c r="H5">
        <v>16.215699999999998</v>
      </c>
      <c r="I5">
        <v>16.145600000000002</v>
      </c>
      <c r="J5">
        <v>16.179099999999998</v>
      </c>
    </row>
    <row r="6" spans="2:10">
      <c r="B6">
        <v>0.2</v>
      </c>
      <c r="C6">
        <v>16.215699999999998</v>
      </c>
      <c r="D6">
        <v>16.145600000000002</v>
      </c>
      <c r="E6">
        <v>16.179099999999998</v>
      </c>
      <c r="G6">
        <v>0.2</v>
      </c>
      <c r="H6">
        <v>16.215699999999998</v>
      </c>
      <c r="I6">
        <v>16.145600000000002</v>
      </c>
      <c r="J6">
        <v>16.179099999999998</v>
      </c>
    </row>
    <row r="7" spans="2:10">
      <c r="B7">
        <v>0.3</v>
      </c>
      <c r="C7">
        <v>16.215699999999998</v>
      </c>
      <c r="D7">
        <v>16.145600000000002</v>
      </c>
      <c r="E7">
        <v>16.179099999999998</v>
      </c>
      <c r="G7">
        <v>0.3</v>
      </c>
      <c r="H7">
        <v>16.215699999999998</v>
      </c>
      <c r="I7">
        <v>16.145600000000002</v>
      </c>
      <c r="J7">
        <v>16.179099999999998</v>
      </c>
    </row>
    <row r="8" spans="2:10">
      <c r="B8">
        <v>0.4</v>
      </c>
      <c r="C8">
        <v>16.215699999999998</v>
      </c>
      <c r="D8">
        <v>16.145600000000002</v>
      </c>
      <c r="E8">
        <v>16.179099999999998</v>
      </c>
      <c r="G8">
        <v>0.4</v>
      </c>
      <c r="H8">
        <v>16.183299999999999</v>
      </c>
      <c r="I8">
        <v>16.2225</v>
      </c>
      <c r="J8">
        <v>16.203700000000001</v>
      </c>
    </row>
    <row r="9" spans="2:10">
      <c r="B9">
        <v>0.5</v>
      </c>
      <c r="C9">
        <v>16.215699999999998</v>
      </c>
      <c r="D9">
        <v>16.145600000000002</v>
      </c>
      <c r="E9">
        <v>16.179099999999998</v>
      </c>
      <c r="G9">
        <v>0.5</v>
      </c>
      <c r="H9">
        <v>13.0121</v>
      </c>
      <c r="I9">
        <v>16.670000000000002</v>
      </c>
      <c r="J9">
        <v>14.7402</v>
      </c>
    </row>
    <row r="10" spans="2:10">
      <c r="B10">
        <v>0.6</v>
      </c>
      <c r="C10">
        <v>16.215699999999998</v>
      </c>
      <c r="D10">
        <v>16.145600000000002</v>
      </c>
      <c r="E10">
        <v>16.179099999999998</v>
      </c>
      <c r="G10">
        <v>0.6</v>
      </c>
      <c r="H10">
        <v>13.0121</v>
      </c>
      <c r="I10">
        <v>16.670000000000002</v>
      </c>
      <c r="J10">
        <v>14.7402</v>
      </c>
    </row>
    <row r="11" spans="2:10">
      <c r="B11">
        <v>0.7</v>
      </c>
      <c r="C11">
        <v>16.020199999999999</v>
      </c>
      <c r="D11">
        <v>16.2394</v>
      </c>
      <c r="E11">
        <v>16.133600000000001</v>
      </c>
      <c r="G11">
        <v>0.7</v>
      </c>
      <c r="H11">
        <v>13.0121</v>
      </c>
      <c r="I11">
        <v>16.670000000000002</v>
      </c>
      <c r="J11">
        <v>14.7402</v>
      </c>
    </row>
    <row r="12" spans="2:10">
      <c r="B12">
        <v>0.8</v>
      </c>
      <c r="C12">
        <v>14.7384</v>
      </c>
      <c r="D12">
        <v>16.606999999999999</v>
      </c>
      <c r="E12">
        <v>15.667899999999999</v>
      </c>
      <c r="G12">
        <v>0.8</v>
      </c>
      <c r="H12">
        <v>13.0121</v>
      </c>
      <c r="I12">
        <v>116.67</v>
      </c>
      <c r="J12">
        <v>14.7402</v>
      </c>
    </row>
    <row r="13" spans="2:10">
      <c r="B13">
        <v>0.9</v>
      </c>
      <c r="C13">
        <v>13.0121</v>
      </c>
      <c r="D13">
        <v>16.670000000000002</v>
      </c>
      <c r="E13">
        <v>14.7402</v>
      </c>
      <c r="G13">
        <v>0.9</v>
      </c>
      <c r="H13">
        <v>13.0121</v>
      </c>
      <c r="I13">
        <v>16.670000000000002</v>
      </c>
      <c r="J13">
        <v>14.7402</v>
      </c>
    </row>
    <row r="14" spans="2:10">
      <c r="B14">
        <v>1</v>
      </c>
      <c r="C14">
        <v>13.0121</v>
      </c>
      <c r="D14">
        <v>16.670000000000002</v>
      </c>
      <c r="E14">
        <v>14.7402</v>
      </c>
      <c r="G14">
        <v>1</v>
      </c>
      <c r="H14">
        <v>13.0121</v>
      </c>
      <c r="I14">
        <v>16.670000000000002</v>
      </c>
      <c r="J14">
        <v>14.7402</v>
      </c>
    </row>
    <row r="17" spans="2:10">
      <c r="D17" t="s">
        <v>10</v>
      </c>
      <c r="I17" t="s">
        <v>11</v>
      </c>
    </row>
    <row r="20" spans="2:10">
      <c r="B20">
        <v>0.55000000000000004</v>
      </c>
      <c r="C20">
        <v>16.215699999999998</v>
      </c>
      <c r="D20">
        <v>16.145600000000002</v>
      </c>
      <c r="E20">
        <v>16.179099999999998</v>
      </c>
      <c r="G20">
        <v>0.25</v>
      </c>
      <c r="H20">
        <v>16.215699999999998</v>
      </c>
      <c r="I20">
        <v>16.145600000000002</v>
      </c>
      <c r="J20">
        <v>16.179099999999998</v>
      </c>
    </row>
    <row r="21" spans="2:10">
      <c r="B21">
        <v>0.57999999999999996</v>
      </c>
      <c r="C21">
        <v>16.215699999999998</v>
      </c>
      <c r="D21">
        <v>16.145600000000002</v>
      </c>
      <c r="E21">
        <v>16.179099999999998</v>
      </c>
    </row>
    <row r="22" spans="2:10">
      <c r="B22">
        <v>0.62</v>
      </c>
      <c r="C22">
        <v>16.183299999999999</v>
      </c>
      <c r="D22">
        <v>16.2225</v>
      </c>
      <c r="E22">
        <v>16.203700000000001</v>
      </c>
    </row>
    <row r="23" spans="2:10">
      <c r="B23">
        <v>0.65</v>
      </c>
      <c r="C23">
        <v>16.183299999999999</v>
      </c>
      <c r="D23">
        <v>16.2225</v>
      </c>
      <c r="E23">
        <v>16.203700000000001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91BD-D3DC-CA4F-B70A-A477B3A6ED33}">
  <dimension ref="B2:J23"/>
  <sheetViews>
    <sheetView workbookViewId="0">
      <selection activeCell="E21" sqref="E21"/>
    </sheetView>
  </sheetViews>
  <sheetFormatPr baseColWidth="10" defaultRowHeight="20"/>
  <sheetData>
    <row r="2" spans="2:10">
      <c r="B2" t="s">
        <v>1</v>
      </c>
      <c r="G2" t="s">
        <v>7</v>
      </c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>
        <v>0</v>
      </c>
      <c r="C4">
        <v>15.315300000000001</v>
      </c>
      <c r="D4">
        <v>15.6675</v>
      </c>
      <c r="E4">
        <v>15.4833</v>
      </c>
      <c r="G4">
        <v>0</v>
      </c>
      <c r="H4">
        <v>15.315300000000001</v>
      </c>
      <c r="I4">
        <v>15.6675</v>
      </c>
      <c r="J4">
        <v>15.4833</v>
      </c>
    </row>
    <row r="5" spans="2:10">
      <c r="B5">
        <v>0.1</v>
      </c>
      <c r="C5">
        <v>15.315300000000001</v>
      </c>
      <c r="D5">
        <v>15.6675</v>
      </c>
      <c r="E5">
        <v>15.4833</v>
      </c>
      <c r="G5">
        <v>0.1</v>
      </c>
      <c r="H5">
        <v>15.315300000000001</v>
      </c>
      <c r="I5">
        <v>15.6675</v>
      </c>
      <c r="J5">
        <v>15.4833</v>
      </c>
    </row>
    <row r="6" spans="2:10">
      <c r="B6">
        <v>0.2</v>
      </c>
      <c r="C6">
        <v>15.315300000000001</v>
      </c>
      <c r="D6">
        <v>15.6675</v>
      </c>
      <c r="E6">
        <v>15.4833</v>
      </c>
      <c r="G6">
        <v>0.2</v>
      </c>
      <c r="H6">
        <v>15.315300000000001</v>
      </c>
      <c r="I6">
        <v>15.6675</v>
      </c>
      <c r="J6">
        <v>15.4833</v>
      </c>
    </row>
    <row r="7" spans="2:10">
      <c r="B7">
        <v>0.3</v>
      </c>
      <c r="C7">
        <v>14.8079</v>
      </c>
      <c r="D7">
        <v>14.9924</v>
      </c>
      <c r="E7">
        <v>14.8969</v>
      </c>
      <c r="G7">
        <v>0.3</v>
      </c>
      <c r="H7">
        <v>14.5183</v>
      </c>
      <c r="I7">
        <v>15.634499999999999</v>
      </c>
      <c r="J7">
        <v>15.041499999999999</v>
      </c>
    </row>
    <row r="8" spans="2:10">
      <c r="B8">
        <v>0.4</v>
      </c>
      <c r="C8">
        <v>14.8177</v>
      </c>
      <c r="D8">
        <v>15.0007</v>
      </c>
      <c r="E8">
        <v>14.906000000000001</v>
      </c>
      <c r="G8">
        <v>0.4</v>
      </c>
      <c r="H8">
        <v>14.3003</v>
      </c>
      <c r="I8">
        <v>16.415600000000001</v>
      </c>
      <c r="J8">
        <v>15.2714</v>
      </c>
    </row>
    <row r="9" spans="2:10">
      <c r="B9">
        <v>0.5</v>
      </c>
      <c r="C9">
        <v>14.859299999999999</v>
      </c>
      <c r="D9">
        <v>15.608599999999999</v>
      </c>
      <c r="E9">
        <v>15.220599999999999</v>
      </c>
      <c r="G9">
        <v>0.5</v>
      </c>
      <c r="H9">
        <v>12.7438</v>
      </c>
      <c r="I9">
        <v>16.510899999999999</v>
      </c>
      <c r="J9">
        <v>14.388500000000001</v>
      </c>
    </row>
    <row r="10" spans="2:10">
      <c r="B10">
        <v>0.6</v>
      </c>
      <c r="C10">
        <v>14.969900000000001</v>
      </c>
      <c r="D10">
        <v>15.7224</v>
      </c>
      <c r="E10">
        <v>15.3323</v>
      </c>
      <c r="G10">
        <v>0.6</v>
      </c>
      <c r="H10">
        <v>12.440799999999999</v>
      </c>
      <c r="I10">
        <v>16.670000000000002</v>
      </c>
      <c r="J10">
        <v>14.2773</v>
      </c>
    </row>
    <row r="11" spans="2:10">
      <c r="B11">
        <v>0.7</v>
      </c>
      <c r="C11">
        <v>13.663500000000001</v>
      </c>
      <c r="D11">
        <v>16.327200000000001</v>
      </c>
      <c r="E11">
        <v>14.8651</v>
      </c>
      <c r="G11">
        <v>0.7</v>
      </c>
      <c r="H11">
        <v>12.440799999999999</v>
      </c>
      <c r="I11">
        <v>16.670000000000002</v>
      </c>
      <c r="J11">
        <v>14.2773</v>
      </c>
    </row>
    <row r="12" spans="2:10">
      <c r="B12">
        <v>0.8</v>
      </c>
      <c r="C12">
        <v>12.440799999999999</v>
      </c>
      <c r="D12">
        <v>16.670000000000002</v>
      </c>
      <c r="E12">
        <v>14.2773</v>
      </c>
      <c r="G12">
        <v>0.8</v>
      </c>
      <c r="H12">
        <v>12.440799999999999</v>
      </c>
      <c r="I12">
        <v>16.670000000000002</v>
      </c>
      <c r="J12">
        <v>14.2773</v>
      </c>
    </row>
    <row r="13" spans="2:10">
      <c r="B13">
        <v>0.9</v>
      </c>
      <c r="C13">
        <v>12.440799999999999</v>
      </c>
      <c r="D13">
        <v>16.670000000000002</v>
      </c>
      <c r="E13">
        <v>14.2773</v>
      </c>
      <c r="G13">
        <v>0.9</v>
      </c>
      <c r="H13">
        <v>12.440799999999999</v>
      </c>
      <c r="I13">
        <v>16.670000000000002</v>
      </c>
      <c r="J13">
        <v>14.2773</v>
      </c>
    </row>
    <row r="14" spans="2:10">
      <c r="B14">
        <v>1</v>
      </c>
      <c r="C14">
        <v>12.440799999999999</v>
      </c>
      <c r="D14">
        <v>16.670000000000002</v>
      </c>
      <c r="E14">
        <v>14.2773</v>
      </c>
      <c r="G14">
        <v>1</v>
      </c>
      <c r="H14">
        <v>12.440799999999999</v>
      </c>
      <c r="I14">
        <v>16.670000000000002</v>
      </c>
      <c r="J14">
        <v>14.2773</v>
      </c>
    </row>
    <row r="17" spans="2:10">
      <c r="D17" t="s">
        <v>10</v>
      </c>
      <c r="I17" t="s">
        <v>10</v>
      </c>
    </row>
    <row r="20" spans="2:10">
      <c r="B20">
        <v>0.55000000000000004</v>
      </c>
      <c r="C20">
        <v>15.097099999999999</v>
      </c>
      <c r="D20">
        <v>15.572800000000001</v>
      </c>
      <c r="E20">
        <v>15.3264</v>
      </c>
      <c r="G20">
        <v>0.25</v>
      </c>
      <c r="H20">
        <v>14.9696</v>
      </c>
      <c r="I20">
        <v>15.5944</v>
      </c>
      <c r="J20">
        <v>15.2705</v>
      </c>
    </row>
    <row r="21" spans="2:10">
      <c r="B21">
        <v>0.57999999999999996</v>
      </c>
      <c r="C21">
        <v>14.969900000000001</v>
      </c>
      <c r="D21">
        <v>15.7224</v>
      </c>
      <c r="E21">
        <v>15.3323</v>
      </c>
    </row>
    <row r="22" spans="2:10">
      <c r="B22">
        <v>0.62</v>
      </c>
      <c r="C22">
        <v>14.969900000000001</v>
      </c>
      <c r="D22">
        <v>15.7224</v>
      </c>
      <c r="E22">
        <v>15.3323</v>
      </c>
    </row>
    <row r="23" spans="2:10">
      <c r="B23">
        <v>0.65</v>
      </c>
      <c r="C23">
        <v>14.969900000000001</v>
      </c>
      <c r="D23">
        <v>15.7224</v>
      </c>
      <c r="E23">
        <v>15.3323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F382-E1B6-9840-9050-2AC5C696C3A0}">
  <dimension ref="B2:J23"/>
  <sheetViews>
    <sheetView workbookViewId="0">
      <selection activeCell="I25" sqref="I25"/>
    </sheetView>
  </sheetViews>
  <sheetFormatPr baseColWidth="10" defaultRowHeight="20"/>
  <sheetData>
    <row r="2" spans="2:10">
      <c r="B2" t="s">
        <v>1</v>
      </c>
      <c r="G2" t="s">
        <v>7</v>
      </c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>
        <v>0</v>
      </c>
      <c r="C4">
        <v>15.8561</v>
      </c>
      <c r="D4">
        <v>10.365500000000001</v>
      </c>
      <c r="E4">
        <v>13.1836</v>
      </c>
      <c r="G4">
        <v>0</v>
      </c>
      <c r="H4">
        <v>15.8561</v>
      </c>
      <c r="I4">
        <v>10.3644</v>
      </c>
      <c r="J4">
        <v>13.1836</v>
      </c>
    </row>
    <row r="5" spans="2:10">
      <c r="B5">
        <v>0.1</v>
      </c>
      <c r="C5">
        <v>15.8561</v>
      </c>
      <c r="D5">
        <v>10.365500000000001</v>
      </c>
      <c r="E5">
        <v>13.1836</v>
      </c>
      <c r="G5">
        <v>0.1</v>
      </c>
      <c r="H5">
        <v>15.1143</v>
      </c>
      <c r="I5">
        <v>13.818199999999999</v>
      </c>
      <c r="J5">
        <v>14.507899999999999</v>
      </c>
    </row>
    <row r="6" spans="2:10">
      <c r="B6">
        <v>0.2</v>
      </c>
      <c r="C6">
        <v>15.3171</v>
      </c>
      <c r="D6">
        <v>12.4634</v>
      </c>
      <c r="E6">
        <v>13.962899999999999</v>
      </c>
      <c r="G6">
        <v>0.2</v>
      </c>
      <c r="H6">
        <v>15.497</v>
      </c>
      <c r="I6">
        <v>15.646000000000001</v>
      </c>
      <c r="J6">
        <v>15.565799999999999</v>
      </c>
    </row>
    <row r="7" spans="2:10">
      <c r="B7">
        <v>0.3</v>
      </c>
      <c r="C7">
        <v>15.209099999999999</v>
      </c>
      <c r="D7">
        <v>13.568</v>
      </c>
      <c r="E7">
        <v>14.4412</v>
      </c>
      <c r="G7">
        <v>0.3</v>
      </c>
      <c r="H7">
        <v>14.9305</v>
      </c>
      <c r="I7">
        <v>15.9321</v>
      </c>
      <c r="J7">
        <v>15.3933</v>
      </c>
    </row>
    <row r="8" spans="2:10">
      <c r="B8">
        <v>0.4</v>
      </c>
      <c r="C8">
        <v>14.3834</v>
      </c>
      <c r="D8">
        <v>14.6792</v>
      </c>
      <c r="E8">
        <v>14.5192</v>
      </c>
      <c r="G8">
        <v>0.4</v>
      </c>
      <c r="H8">
        <v>14.3644</v>
      </c>
      <c r="I8">
        <v>16.410900000000002</v>
      </c>
      <c r="J8">
        <v>15.292999999999999</v>
      </c>
    </row>
    <row r="9" spans="2:10">
      <c r="B9">
        <v>0.5</v>
      </c>
      <c r="C9">
        <v>15.3392</v>
      </c>
      <c r="D9">
        <v>14.959099999999999</v>
      </c>
      <c r="E9">
        <v>15.163600000000001</v>
      </c>
      <c r="G9">
        <v>0.5</v>
      </c>
      <c r="H9">
        <v>12.8497</v>
      </c>
      <c r="I9">
        <v>16.670000000000002</v>
      </c>
      <c r="J9">
        <v>14.510400000000001</v>
      </c>
    </row>
    <row r="10" spans="2:10">
      <c r="B10">
        <v>0.6</v>
      </c>
      <c r="C10">
        <v>14.9305</v>
      </c>
      <c r="D10">
        <v>15.9321</v>
      </c>
      <c r="E10">
        <v>15.3933</v>
      </c>
      <c r="G10">
        <v>0.6</v>
      </c>
      <c r="H10">
        <v>11.787599999999999</v>
      </c>
      <c r="I10">
        <v>16.670000000000002</v>
      </c>
      <c r="J10">
        <v>13.855600000000001</v>
      </c>
    </row>
    <row r="11" spans="2:10">
      <c r="B11">
        <v>0.7</v>
      </c>
      <c r="C11">
        <v>14.842599999999999</v>
      </c>
      <c r="D11">
        <v>16.212700000000002</v>
      </c>
      <c r="E11">
        <v>15.4756</v>
      </c>
      <c r="G11">
        <v>0.7</v>
      </c>
      <c r="H11">
        <v>11.787599999999999</v>
      </c>
      <c r="I11">
        <v>16.670000000000002</v>
      </c>
      <c r="J11">
        <v>13.855600000000001</v>
      </c>
    </row>
    <row r="12" spans="2:10">
      <c r="B12">
        <v>0.8</v>
      </c>
      <c r="C12">
        <v>14.160600000000001</v>
      </c>
      <c r="D12">
        <v>16.497299999999999</v>
      </c>
      <c r="E12">
        <v>15.2209</v>
      </c>
      <c r="G12">
        <v>0.8</v>
      </c>
      <c r="H12">
        <v>11.787599999999999</v>
      </c>
      <c r="I12">
        <v>16.670000000000002</v>
      </c>
      <c r="J12">
        <v>13.855600000000001</v>
      </c>
    </row>
    <row r="13" spans="2:10">
      <c r="B13">
        <v>0.9</v>
      </c>
      <c r="C13">
        <v>11.787599999999999</v>
      </c>
      <c r="D13">
        <v>16.670000000000002</v>
      </c>
      <c r="E13">
        <v>13.855600000000001</v>
      </c>
      <c r="G13" s="2">
        <v>0.9</v>
      </c>
      <c r="H13">
        <v>11.787599999999999</v>
      </c>
      <c r="I13">
        <v>16.670000000000002</v>
      </c>
      <c r="J13">
        <v>13.855600000000001</v>
      </c>
    </row>
    <row r="14" spans="2:10">
      <c r="B14">
        <v>1</v>
      </c>
      <c r="C14">
        <v>11.787599999999999</v>
      </c>
      <c r="D14">
        <v>16.670000000000002</v>
      </c>
      <c r="E14">
        <v>13.855600000000001</v>
      </c>
      <c r="G14">
        <v>1</v>
      </c>
      <c r="H14">
        <v>11.787599999999999</v>
      </c>
      <c r="I14">
        <v>16.670000000000002</v>
      </c>
      <c r="J14">
        <v>13.855600000000001</v>
      </c>
    </row>
    <row r="17" spans="2:10">
      <c r="D17" t="s">
        <v>10</v>
      </c>
      <c r="I17" t="s">
        <v>10</v>
      </c>
    </row>
    <row r="20" spans="2:10">
      <c r="B20">
        <v>0.55000000000000004</v>
      </c>
      <c r="C20">
        <v>15.3576</v>
      </c>
      <c r="D20">
        <v>15.066000000000001</v>
      </c>
      <c r="E20">
        <v>15.222899999999999</v>
      </c>
      <c r="G20">
        <v>0.25</v>
      </c>
      <c r="H20">
        <v>14.9305</v>
      </c>
      <c r="I20">
        <v>15.9321</v>
      </c>
      <c r="J20">
        <v>15.3933</v>
      </c>
    </row>
    <row r="21" spans="2:10">
      <c r="B21">
        <v>0.57999999999999996</v>
      </c>
      <c r="C21">
        <v>14.9305</v>
      </c>
      <c r="D21">
        <v>15.9321</v>
      </c>
      <c r="E21">
        <v>15.3933</v>
      </c>
    </row>
    <row r="22" spans="2:10">
      <c r="B22">
        <v>0.62</v>
      </c>
      <c r="C22">
        <v>14.9305</v>
      </c>
      <c r="D22">
        <v>15.9321</v>
      </c>
      <c r="E22">
        <v>15.3933</v>
      </c>
    </row>
    <row r="23" spans="2:10">
      <c r="B23">
        <v>0.65</v>
      </c>
      <c r="C23">
        <v>14.9305</v>
      </c>
      <c r="D23">
        <v>15.9321</v>
      </c>
      <c r="E23">
        <v>15.3933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1B6D-0EDB-844D-A6D4-F3B54AEE3B30}">
  <dimension ref="B2:R23"/>
  <sheetViews>
    <sheetView tabSelected="1" workbookViewId="0">
      <selection activeCell="O17" sqref="O17"/>
    </sheetView>
  </sheetViews>
  <sheetFormatPr baseColWidth="10" defaultRowHeight="20"/>
  <sheetData>
    <row r="2" spans="2:18">
      <c r="B2" t="s">
        <v>1</v>
      </c>
      <c r="G2" t="s">
        <v>7</v>
      </c>
    </row>
    <row r="3" spans="2:18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  <c r="L3" s="1" t="s">
        <v>13</v>
      </c>
      <c r="M3" s="1" t="s">
        <v>12</v>
      </c>
      <c r="N3" s="1" t="s">
        <v>7</v>
      </c>
      <c r="P3" s="1" t="s">
        <v>13</v>
      </c>
      <c r="Q3" s="1" t="s">
        <v>12</v>
      </c>
      <c r="R3" s="1" t="s">
        <v>7</v>
      </c>
    </row>
    <row r="4" spans="2:18">
      <c r="B4">
        <v>0</v>
      </c>
      <c r="C4">
        <f>ROUND(AVERAGE(seed1!C4,seed2!C4,seed3!C4,seed4!C4,seed5!C4),4)</f>
        <v>15.516500000000001</v>
      </c>
      <c r="D4">
        <f>ROUND(AVERAGE(seed1!D4,seed2!D4,seed3!D4,seed4!D4,seed5!D4),4)</f>
        <v>14.045999999999999</v>
      </c>
      <c r="E4">
        <f>ROUND(AVERAGE(seed1!E4,seed2!E4,seed3!E4,seed4!E4,seed5!E4),4)</f>
        <v>14.7942</v>
      </c>
      <c r="G4">
        <v>0</v>
      </c>
      <c r="H4">
        <f>ROUND(AVERAGE(seed1!H4,seed2!H4,seed3!H4,seed4!H4,seed5!H4),4)</f>
        <v>15.516500000000001</v>
      </c>
      <c r="I4">
        <f>ROUND(AVERAGE(seed1!I4,seed2!I4,seed3!I4,seed4!I4,seed5!I4),4)</f>
        <v>14.0458</v>
      </c>
      <c r="J4">
        <f>ROUND(AVERAGE(seed1!J4,seed2!J4,seed3!J4,seed4!J4,seed5!J4),4)</f>
        <v>14.7942</v>
      </c>
      <c r="L4">
        <v>0</v>
      </c>
      <c r="M4">
        <f>E4</f>
        <v>14.7942</v>
      </c>
      <c r="N4">
        <f>J4</f>
        <v>14.7942</v>
      </c>
      <c r="P4">
        <v>0</v>
      </c>
      <c r="Q4">
        <v>14.7942</v>
      </c>
      <c r="R4">
        <v>14.7942</v>
      </c>
    </row>
    <row r="5" spans="2:18">
      <c r="B5">
        <v>0.1</v>
      </c>
      <c r="C5">
        <f>ROUND(AVERAGE(seed1!C5,seed2!C5,seed3!C5,seed4!C5,seed5!C5),4)</f>
        <v>15.516500000000001</v>
      </c>
      <c r="D5">
        <f>ROUND(AVERAGE(seed1!D5,seed2!D5,seed3!D5,seed4!D5,seed5!D5),4)</f>
        <v>14.045999999999999</v>
      </c>
      <c r="E5">
        <f>ROUND(AVERAGE(seed1!E5,seed2!E5,seed3!E5,seed4!E5,seed5!E5),4)</f>
        <v>14.7942</v>
      </c>
      <c r="G5">
        <v>0.1</v>
      </c>
      <c r="H5">
        <f>ROUND(AVERAGE(seed1!H5,seed2!H5,seed3!H5,seed4!H5,seed5!H5),4)</f>
        <v>15.347099999999999</v>
      </c>
      <c r="I5">
        <f>ROUND(AVERAGE(seed1!I5,seed2!I5,seed3!I5,seed4!I5,seed5!I5),4)</f>
        <v>14.772</v>
      </c>
      <c r="J5">
        <f>ROUND(AVERAGE(seed1!J5,seed2!J5,seed3!J5,seed4!J5,seed5!J5),4)</f>
        <v>15.0669</v>
      </c>
      <c r="L5">
        <v>0.1</v>
      </c>
      <c r="M5">
        <f t="shared" ref="M5:M14" si="0">E5</f>
        <v>14.7942</v>
      </c>
      <c r="N5">
        <f t="shared" ref="N5:N14" si="1">J5</f>
        <v>15.0669</v>
      </c>
      <c r="P5">
        <v>0.1</v>
      </c>
      <c r="Q5">
        <v>14.7942</v>
      </c>
      <c r="R5">
        <v>15.0669</v>
      </c>
    </row>
    <row r="6" spans="2:18">
      <c r="B6">
        <v>0.2</v>
      </c>
      <c r="C6">
        <f>ROUND(AVERAGE(seed1!C6,seed2!C6,seed3!C6,seed4!C6,seed5!C6),4)</f>
        <v>15.3894</v>
      </c>
      <c r="D6">
        <f>ROUND(AVERAGE(seed1!D6,seed2!D6,seed3!D6,seed4!D6,seed5!D6),4)</f>
        <v>14.4879</v>
      </c>
      <c r="E6">
        <f>ROUND(AVERAGE(seed1!E6,seed2!E6,seed3!E6,seed4!E6,seed5!E6),4)</f>
        <v>14.952</v>
      </c>
      <c r="G6">
        <v>0.2</v>
      </c>
      <c r="H6">
        <f>ROUND(AVERAGE(seed1!H6,seed2!H6,seed3!H6,seed4!H6,seed5!H6),4)</f>
        <v>15.167899999999999</v>
      </c>
      <c r="I6">
        <f>ROUND(AVERAGE(seed1!I6,seed2!I6,seed3!I6,seed4!I6,seed5!I6),4)</f>
        <v>15.5754</v>
      </c>
      <c r="J6">
        <f>ROUND(AVERAGE(seed1!J6,seed2!J6,seed3!J6,seed4!J6,seed5!J6),4)</f>
        <v>15.360200000000001</v>
      </c>
      <c r="L6">
        <v>0.2</v>
      </c>
      <c r="M6">
        <f t="shared" si="0"/>
        <v>14.952</v>
      </c>
      <c r="N6">
        <f t="shared" si="1"/>
        <v>15.360200000000001</v>
      </c>
      <c r="P6">
        <v>0.2</v>
      </c>
      <c r="Q6">
        <v>14.952</v>
      </c>
      <c r="R6">
        <v>15.360200000000001</v>
      </c>
    </row>
    <row r="7" spans="2:18">
      <c r="B7">
        <v>0.3</v>
      </c>
      <c r="C7">
        <f>ROUND(AVERAGE(seed1!C7,seed2!C7,seed3!C7,seed4!C7,seed5!C7),4)</f>
        <v>15.251300000000001</v>
      </c>
      <c r="D7">
        <f>ROUND(AVERAGE(seed1!D7,seed2!D7,seed3!D7,seed4!D7,seed5!D7),4)</f>
        <v>14.623100000000001</v>
      </c>
      <c r="E7">
        <f>ROUND(AVERAGE(seed1!E7,seed2!E7,seed3!E7,seed4!E7,seed5!E7),4)</f>
        <v>14.9483</v>
      </c>
      <c r="G7">
        <v>0.3</v>
      </c>
      <c r="H7">
        <f>ROUND(AVERAGE(seed1!H7,seed2!H7,seed3!H7,seed4!H7,seed5!H7),4)</f>
        <v>14.713699999999999</v>
      </c>
      <c r="I7">
        <f>ROUND(AVERAGE(seed1!I7,seed2!I7,seed3!I7,seed4!I7,seed5!I7),4)</f>
        <v>15.9902</v>
      </c>
      <c r="J7">
        <f>ROUND(AVERAGE(seed1!J7,seed2!J7,seed3!J7,seed4!J7,seed5!J7),4)</f>
        <v>15.3157</v>
      </c>
      <c r="L7">
        <v>0.3</v>
      </c>
      <c r="M7">
        <f t="shared" si="0"/>
        <v>14.9483</v>
      </c>
      <c r="N7">
        <f t="shared" si="1"/>
        <v>15.3157</v>
      </c>
      <c r="P7">
        <v>0.25</v>
      </c>
      <c r="Q7" s="4">
        <f>AVERAGE(Q6,Q8)</f>
        <v>14.950150000000001</v>
      </c>
      <c r="R7">
        <v>15.3881</v>
      </c>
    </row>
    <row r="8" spans="2:18">
      <c r="B8">
        <v>0.4</v>
      </c>
      <c r="C8">
        <f>ROUND(AVERAGE(seed1!C8,seed2!C8,seed3!C8,seed4!C8,seed5!C8),4)</f>
        <v>15.083500000000001</v>
      </c>
      <c r="D8">
        <f>ROUND(AVERAGE(seed1!D8,seed2!D8,seed3!D8,seed4!D8,seed5!D8),4)</f>
        <v>14.8588</v>
      </c>
      <c r="E8">
        <f>ROUND(AVERAGE(seed1!E8,seed2!E8,seed3!E8,seed4!E8,seed5!E8),4)</f>
        <v>14.9695</v>
      </c>
      <c r="G8">
        <v>0.4</v>
      </c>
      <c r="H8">
        <f>ROUND(AVERAGE(seed1!H8,seed2!H8,seed3!H8,seed4!H8,seed5!H8),4)</f>
        <v>14.1304</v>
      </c>
      <c r="I8">
        <f>ROUND(AVERAGE(seed1!I8,seed2!I8,seed3!I8,seed4!I8,seed5!I8),4)</f>
        <v>16.3963</v>
      </c>
      <c r="J8">
        <f>ROUND(AVERAGE(seed1!J8,seed2!J8,seed3!J8,seed4!J8,seed5!J8),4)</f>
        <v>15.175800000000001</v>
      </c>
      <c r="L8">
        <v>0.4</v>
      </c>
      <c r="M8">
        <f t="shared" si="0"/>
        <v>14.9695</v>
      </c>
      <c r="N8">
        <f t="shared" si="1"/>
        <v>15.175800000000001</v>
      </c>
      <c r="P8">
        <v>0.3</v>
      </c>
      <c r="Q8">
        <v>14.9483</v>
      </c>
      <c r="R8">
        <v>15.3157</v>
      </c>
    </row>
    <row r="9" spans="2:18">
      <c r="B9">
        <v>0.5</v>
      </c>
      <c r="C9">
        <f>ROUND(AVERAGE(seed1!C9,seed2!C9,seed3!C9,seed4!C9,seed5!C9),4)</f>
        <v>15.2196</v>
      </c>
      <c r="D9">
        <f>ROUND(AVERAGE(seed1!D9,seed2!D9,seed3!D9,seed4!D9,seed5!D9),4)</f>
        <v>15.1264</v>
      </c>
      <c r="E9">
        <f>ROUND(AVERAGE(seed1!E9,seed2!E9,seed3!E9,seed4!E9,seed5!E9),4)</f>
        <v>15.1737</v>
      </c>
      <c r="G9">
        <v>0.5</v>
      </c>
      <c r="H9">
        <f>ROUND(AVERAGE(seed1!H9,seed2!H9,seed3!H9,seed4!H9,seed5!H9),4)</f>
        <v>12.593999999999999</v>
      </c>
      <c r="I9">
        <f>ROUND(AVERAGE(seed1!I9,seed2!I9,seed3!I9,seed4!I9,seed5!I9),4)</f>
        <v>16.6205</v>
      </c>
      <c r="J9">
        <f>ROUND(AVERAGE(seed1!J9,seed2!J9,seed3!J9,seed4!J9,seed5!J9),4)</f>
        <v>14.396599999999999</v>
      </c>
      <c r="L9">
        <v>0.5</v>
      </c>
      <c r="M9">
        <f t="shared" si="0"/>
        <v>15.1737</v>
      </c>
      <c r="N9">
        <f t="shared" si="1"/>
        <v>14.396599999999999</v>
      </c>
      <c r="P9">
        <v>0.4</v>
      </c>
      <c r="Q9">
        <v>14.9695</v>
      </c>
      <c r="R9">
        <v>15.175800000000001</v>
      </c>
    </row>
    <row r="10" spans="2:18">
      <c r="B10">
        <v>0.6</v>
      </c>
      <c r="C10">
        <f>ROUND(AVERAGE(seed1!C10,seed2!C10,seed3!C10,seed4!C10,seed5!C10),4)</f>
        <v>14.9215</v>
      </c>
      <c r="D10">
        <f>ROUND(AVERAGE(seed1!D10,seed2!D10,seed3!D10,seed4!D10,seed5!D10),4)</f>
        <v>15.863300000000001</v>
      </c>
      <c r="E10">
        <f>ROUND(AVERAGE(seed1!E10,seed2!E10,seed3!E10,seed4!E10,seed5!E10),4)</f>
        <v>15.3749</v>
      </c>
      <c r="G10">
        <v>0.6</v>
      </c>
      <c r="H10">
        <f>ROUND(AVERAGE(seed1!H10,seed2!H10,seed3!H10,seed4!H10,seed5!H10),4)</f>
        <v>12.3165</v>
      </c>
      <c r="I10">
        <f>ROUND(AVERAGE(seed1!I10,seed2!I10,seed3!I10,seed4!I10,seed5!I10),4)</f>
        <v>16.6599</v>
      </c>
      <c r="J10">
        <f>ROUND(AVERAGE(seed1!J10,seed2!J10,seed3!J10,seed4!J10,seed5!J10),4)</f>
        <v>14.2441</v>
      </c>
      <c r="L10">
        <v>0.6</v>
      </c>
      <c r="M10">
        <f t="shared" si="0"/>
        <v>15.3749</v>
      </c>
      <c r="N10">
        <f t="shared" si="1"/>
        <v>14.2441</v>
      </c>
      <c r="P10">
        <v>0.5</v>
      </c>
      <c r="Q10">
        <v>15.1737</v>
      </c>
      <c r="R10">
        <v>14.396599999999999</v>
      </c>
    </row>
    <row r="11" spans="2:18">
      <c r="B11">
        <v>0.7</v>
      </c>
      <c r="C11">
        <f>ROUND(AVERAGE(seed1!C11,seed2!C11,seed3!C11,seed4!C11,seed5!C11),4)</f>
        <v>14.2554</v>
      </c>
      <c r="D11">
        <f>ROUND(AVERAGE(seed1!D11,seed2!D11,seed3!D11,seed4!D11,seed5!D11),4)</f>
        <v>16.297699999999999</v>
      </c>
      <c r="E11">
        <f>ROUND(AVERAGE(seed1!E11,seed2!E11,seed3!E11,seed4!E11,seed5!E11),4)</f>
        <v>15.2079</v>
      </c>
      <c r="G11">
        <v>0.7</v>
      </c>
      <c r="H11">
        <f>ROUND(AVERAGE(seed1!H11,seed2!H11,seed3!H11,seed4!H11,seed5!H11),4)</f>
        <v>12.286099999999999</v>
      </c>
      <c r="I11">
        <f>ROUND(AVERAGE(seed1!I11,seed2!I11,seed3!I11,seed4!I11,seed5!I11),4)</f>
        <v>16.670000000000002</v>
      </c>
      <c r="J11">
        <f>ROUND(AVERAGE(seed1!J11,seed2!J11,seed3!J11,seed4!J11,seed5!J11),4)</f>
        <v>14.231199999999999</v>
      </c>
      <c r="L11">
        <v>0.7</v>
      </c>
      <c r="M11">
        <f t="shared" si="0"/>
        <v>15.2079</v>
      </c>
      <c r="N11">
        <f t="shared" si="1"/>
        <v>14.231199999999999</v>
      </c>
      <c r="P11">
        <v>0.55000000000000004</v>
      </c>
      <c r="Q11">
        <v>15.279400000000001</v>
      </c>
      <c r="R11" s="4">
        <f>R10+(R13-R10)*0.5</f>
        <v>14.320349999999999</v>
      </c>
    </row>
    <row r="12" spans="2:18">
      <c r="B12">
        <v>0.8</v>
      </c>
      <c r="C12">
        <f>ROUND(AVERAGE(seed1!C12,seed2!C12,seed3!C12,seed4!C12,seed5!C12),4)</f>
        <v>13.106</v>
      </c>
      <c r="D12">
        <f>ROUND(AVERAGE(seed1!D12,seed2!D12,seed3!D12,seed4!D12,seed5!D12),4)</f>
        <v>16.622900000000001</v>
      </c>
      <c r="E12">
        <f>ROUND(AVERAGE(seed1!E12,seed2!E12,seed3!E12,seed4!E12,seed5!E12),4)</f>
        <v>14.6898</v>
      </c>
      <c r="G12">
        <v>0.8</v>
      </c>
      <c r="H12">
        <f>ROUND(AVERAGE(seed1!H12,seed2!H12,seed3!H12,seed4!H12,seed5!H12),4)</f>
        <v>12.286099999999999</v>
      </c>
      <c r="I12">
        <f>ROUND(AVERAGE(seed1!I12,seed2!I12,seed3!I12,seed4!I12,seed5!I12),4)</f>
        <v>36.67</v>
      </c>
      <c r="J12">
        <f>ROUND(AVERAGE(seed1!J12,seed2!J12,seed3!J12,seed4!J12,seed5!J12),4)</f>
        <v>14.231199999999999</v>
      </c>
      <c r="L12">
        <v>0.8</v>
      </c>
      <c r="M12">
        <f t="shared" si="0"/>
        <v>14.6898</v>
      </c>
      <c r="N12">
        <f t="shared" si="1"/>
        <v>14.231199999999999</v>
      </c>
      <c r="P12">
        <v>0.57999999999999996</v>
      </c>
      <c r="Q12">
        <v>15.3749</v>
      </c>
      <c r="R12" s="4">
        <f>R10+(R13-R10)*0.8</f>
        <v>14.2746</v>
      </c>
    </row>
    <row r="13" spans="2:18">
      <c r="B13">
        <v>0.9</v>
      </c>
      <c r="C13">
        <f>ROUND(AVERAGE(seed1!C13,seed2!C13,seed3!C13,seed4!C13,seed5!C13),4)</f>
        <v>12.286099999999999</v>
      </c>
      <c r="D13">
        <f>ROUND(AVERAGE(seed1!D13,seed2!D13,seed3!D13,seed4!D13,seed5!D13),4)</f>
        <v>16.670000000000002</v>
      </c>
      <c r="E13">
        <f>ROUND(AVERAGE(seed1!E13,seed2!E13,seed3!E13,seed4!E13,seed5!E13),4)</f>
        <v>14.231199999999999</v>
      </c>
      <c r="G13">
        <v>0.9</v>
      </c>
      <c r="H13">
        <f>ROUND(AVERAGE(seed1!H13,seed2!H13,seed3!H13,seed4!H13,seed5!H13),4)</f>
        <v>12.286099999999999</v>
      </c>
      <c r="I13">
        <f>ROUND(AVERAGE(seed1!I13,seed2!I13,seed3!I13,seed4!I13,seed5!I13),4)</f>
        <v>16.670000000000002</v>
      </c>
      <c r="J13">
        <f>ROUND(AVERAGE(seed1!J13,seed2!J13,seed3!J13,seed4!J13,seed5!J13),4)</f>
        <v>14.231199999999999</v>
      </c>
      <c r="L13">
        <v>0.9</v>
      </c>
      <c r="M13">
        <f t="shared" si="0"/>
        <v>14.231199999999999</v>
      </c>
      <c r="N13">
        <f t="shared" si="1"/>
        <v>14.231199999999999</v>
      </c>
      <c r="P13">
        <v>0.6</v>
      </c>
      <c r="Q13">
        <v>15.3749</v>
      </c>
      <c r="R13">
        <v>14.2441</v>
      </c>
    </row>
    <row r="14" spans="2:18">
      <c r="B14">
        <v>1</v>
      </c>
      <c r="C14">
        <f>ROUND(AVERAGE(seed1!C14,seed2!C14,seed3!C14,seed4!C14,seed5!C14),4)</f>
        <v>12.286099999999999</v>
      </c>
      <c r="D14">
        <f>ROUND(AVERAGE(seed1!D14,seed2!D14,seed3!D14,seed4!D14,seed5!D14),4)</f>
        <v>16.670000000000002</v>
      </c>
      <c r="E14">
        <f>ROUND(AVERAGE(seed1!E14,seed2!E14,seed3!E14,seed4!E14,seed5!E14),4)</f>
        <v>14.231199999999999</v>
      </c>
      <c r="G14">
        <v>1</v>
      </c>
      <c r="H14">
        <f>ROUND(AVERAGE(seed1!H14,seed2!H14,seed3!H14,seed4!H14,seed5!H14),4)</f>
        <v>12.286099999999999</v>
      </c>
      <c r="I14">
        <f>ROUND(AVERAGE(seed1!I14,seed2!I14,seed3!I14,seed4!I14,seed5!I14),4)</f>
        <v>16.670000000000002</v>
      </c>
      <c r="J14">
        <f>ROUND(AVERAGE(seed1!J14,seed2!J14,seed3!J14,seed4!J14,seed5!J14),4)</f>
        <v>14.231199999999999</v>
      </c>
      <c r="L14">
        <v>1</v>
      </c>
      <c r="M14">
        <f t="shared" si="0"/>
        <v>14.231199999999999</v>
      </c>
      <c r="N14">
        <f t="shared" si="1"/>
        <v>14.231199999999999</v>
      </c>
      <c r="P14">
        <v>0.62</v>
      </c>
      <c r="Q14">
        <v>15.357699999999999</v>
      </c>
      <c r="R14" s="4">
        <f>R13+(R16-R13)*0.2</f>
        <v>14.24152</v>
      </c>
    </row>
    <row r="15" spans="2:18">
      <c r="L15">
        <v>0.25</v>
      </c>
      <c r="N15">
        <v>15.5</v>
      </c>
      <c r="P15">
        <v>0.65</v>
      </c>
      <c r="Q15">
        <v>15.31</v>
      </c>
      <c r="R15" s="4">
        <f>R13+(R16-R13)*0.5</f>
        <v>14.237649999999999</v>
      </c>
    </row>
    <row r="16" spans="2:18">
      <c r="P16">
        <v>0.7</v>
      </c>
      <c r="Q16">
        <v>15.2079</v>
      </c>
      <c r="R16">
        <v>14.231199999999999</v>
      </c>
    </row>
    <row r="17" spans="2:18">
      <c r="P17">
        <v>0.8</v>
      </c>
      <c r="Q17">
        <v>14.6898</v>
      </c>
      <c r="R17">
        <v>14.231199999999999</v>
      </c>
    </row>
    <row r="18" spans="2:18">
      <c r="P18">
        <v>0.9</v>
      </c>
      <c r="Q18">
        <v>14.231199999999999</v>
      </c>
      <c r="R18">
        <v>14.231199999999999</v>
      </c>
    </row>
    <row r="19" spans="2:18">
      <c r="P19">
        <v>1</v>
      </c>
      <c r="Q19">
        <v>14.231199999999999</v>
      </c>
      <c r="R19">
        <v>14.231199999999999</v>
      </c>
    </row>
    <row r="20" spans="2:18">
      <c r="B20">
        <v>0.55000000000000004</v>
      </c>
      <c r="C20">
        <f>ROUND(AVERAGE(seed1!C20,seed2!C20,seed3!C20,seed4!C20,seed5!C20),4)</f>
        <v>14.9862</v>
      </c>
      <c r="D20">
        <f>ROUND(AVERAGE(seed1!D20,seed2!D20,seed3!D20,seed4!D20,seed5!D20),4)</f>
        <v>15.584300000000001</v>
      </c>
      <c r="E20">
        <f>ROUND(AVERAGE(seed1!E20,seed2!E20,seed3!E20,seed4!E20,seed5!E20),4)</f>
        <v>15.279400000000001</v>
      </c>
      <c r="G20">
        <v>0.25</v>
      </c>
      <c r="H20">
        <f>ROUND(AVERAGE(seed1!H20,seed2!H20,seed3!H20,seed4!H20,seed5!H20),4)</f>
        <v>14.790100000000001</v>
      </c>
      <c r="I20">
        <f>ROUND(AVERAGE(seed1!I20,seed2!I20,seed3!I20,seed4!I20,seed5!I20),4)</f>
        <v>16.057500000000001</v>
      </c>
      <c r="J20">
        <f>ROUND(AVERAGE(seed1!J20,seed2!J20,seed3!J20,seed4!J20,seed5!J20),4)</f>
        <v>15.3881</v>
      </c>
    </row>
    <row r="21" spans="2:18">
      <c r="B21">
        <v>0.57999999999999996</v>
      </c>
      <c r="C21">
        <f>ROUND(AVERAGE(seed1!C21,seed2!C21,seed3!C21,seed4!C21,seed5!C21),4)</f>
        <v>14.9215</v>
      </c>
      <c r="D21">
        <f>ROUND(AVERAGE(seed1!D21,seed2!D21,seed3!D21,seed4!D21,seed5!D21),4)</f>
        <v>15.863300000000001</v>
      </c>
      <c r="E21">
        <f>ROUND(AVERAGE(seed1!E21,seed2!E21,seed3!E21,seed4!E21,seed5!E21),4)</f>
        <v>15.3749</v>
      </c>
    </row>
    <row r="22" spans="2:18">
      <c r="B22">
        <v>0.62</v>
      </c>
      <c r="C22">
        <f>ROUND(AVERAGE(seed1!C22,seed2!C22,seed3!C22,seed4!C22,seed5!C22),4)</f>
        <v>14.886100000000001</v>
      </c>
      <c r="D22">
        <f>ROUND(AVERAGE(seed1!D22,seed2!D22,seed3!D22,seed4!D22,seed5!D22),4)</f>
        <v>15.863300000000001</v>
      </c>
      <c r="E22">
        <f>ROUND(AVERAGE(seed1!E22,seed2!E22,seed3!E22,seed4!E22,seed5!E22),4)</f>
        <v>15.357699999999999</v>
      </c>
    </row>
    <row r="23" spans="2:18">
      <c r="B23">
        <v>0.65</v>
      </c>
      <c r="C23">
        <f>ROUND(AVERAGE(seed1!C23,seed2!C23,seed3!C23,seed4!C23,seed5!C23),4)</f>
        <v>14.706099999999999</v>
      </c>
      <c r="D23">
        <f>ROUND(AVERAGE(seed1!D23,seed2!D23,seed3!D23,seed4!D23,seed5!D23),4)</f>
        <v>15.9693</v>
      </c>
      <c r="E23">
        <f>ROUND(AVERAGE(seed1!E23,seed2!E23,seed3!E23,seed4!E23,seed5!E23),4)</f>
        <v>15.31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8FB1-15F4-9F4F-8E2F-CC2858B9AAA2}">
  <dimension ref="B2:J21"/>
  <sheetViews>
    <sheetView workbookViewId="0">
      <selection activeCell="B2" sqref="B2"/>
    </sheetView>
  </sheetViews>
  <sheetFormatPr baseColWidth="10" defaultRowHeight="20"/>
  <sheetData>
    <row r="2" spans="2:10">
      <c r="B2" t="s">
        <v>1</v>
      </c>
      <c r="G2" t="s">
        <v>7</v>
      </c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>
        <v>0</v>
      </c>
      <c r="C4">
        <v>11.594799999999999</v>
      </c>
      <c r="D4">
        <v>11.848599999999999</v>
      </c>
      <c r="E4">
        <v>11.7097</v>
      </c>
      <c r="G4" s="4">
        <v>0</v>
      </c>
      <c r="H4">
        <v>11.594799999999999</v>
      </c>
      <c r="I4">
        <v>11.8484</v>
      </c>
      <c r="J4">
        <v>11.7096</v>
      </c>
    </row>
    <row r="5" spans="2:10">
      <c r="B5" s="2">
        <v>0.1</v>
      </c>
      <c r="C5">
        <v>11.594799999999999</v>
      </c>
      <c r="D5">
        <v>11.848599999999999</v>
      </c>
      <c r="E5">
        <v>11.7097</v>
      </c>
      <c r="G5" s="4">
        <v>0.1</v>
      </c>
      <c r="H5">
        <v>11.441700000000001</v>
      </c>
      <c r="I5">
        <v>13.4131</v>
      </c>
      <c r="J5">
        <v>12.3215</v>
      </c>
    </row>
    <row r="6" spans="2:10">
      <c r="B6" s="2">
        <v>0.2</v>
      </c>
      <c r="C6">
        <v>11.594799999999999</v>
      </c>
      <c r="D6">
        <v>11.848599999999999</v>
      </c>
      <c r="E6">
        <v>11.7097</v>
      </c>
      <c r="G6" s="4">
        <v>0.2</v>
      </c>
      <c r="H6">
        <v>11.651</v>
      </c>
      <c r="I6">
        <v>14.7828</v>
      </c>
      <c r="J6">
        <v>12.9795</v>
      </c>
    </row>
    <row r="7" spans="2:10">
      <c r="B7" s="3">
        <v>0.3</v>
      </c>
      <c r="C7">
        <v>10.99</v>
      </c>
      <c r="D7">
        <v>10.9109</v>
      </c>
      <c r="E7">
        <v>10.9537</v>
      </c>
      <c r="G7" s="4">
        <v>0.3</v>
      </c>
      <c r="H7">
        <v>11.748699999999999</v>
      </c>
      <c r="I7">
        <v>15.923999999999999</v>
      </c>
      <c r="J7">
        <v>13.513500000000001</v>
      </c>
    </row>
    <row r="8" spans="2:10">
      <c r="B8" s="3">
        <v>0.4</v>
      </c>
      <c r="C8">
        <v>8.7221100000000007</v>
      </c>
      <c r="D8">
        <v>11.2911</v>
      </c>
      <c r="E8">
        <v>9.8684200000000004</v>
      </c>
      <c r="G8" s="4">
        <v>0.4</v>
      </c>
      <c r="H8">
        <v>10.9223</v>
      </c>
      <c r="I8">
        <v>16.4208</v>
      </c>
      <c r="J8">
        <v>13.141500000000001</v>
      </c>
    </row>
    <row r="9" spans="2:10">
      <c r="B9">
        <v>0.5</v>
      </c>
      <c r="C9">
        <v>11.3283</v>
      </c>
      <c r="D9">
        <v>12.206899999999999</v>
      </c>
      <c r="E9">
        <v>11.704800000000001</v>
      </c>
      <c r="G9" s="4">
        <v>0.5</v>
      </c>
      <c r="H9">
        <v>10.847</v>
      </c>
      <c r="I9">
        <v>16.595300000000002</v>
      </c>
      <c r="J9">
        <v>13.1426</v>
      </c>
    </row>
    <row r="10" spans="2:10">
      <c r="B10">
        <v>0.6</v>
      </c>
      <c r="C10">
        <v>11.674899999999999</v>
      </c>
      <c r="D10">
        <v>14.608700000000001</v>
      </c>
      <c r="E10">
        <v>12.9429</v>
      </c>
      <c r="G10">
        <v>0.6</v>
      </c>
      <c r="H10">
        <v>10.824299999999999</v>
      </c>
      <c r="I10">
        <v>16.581800000000001</v>
      </c>
      <c r="J10">
        <v>13.1235</v>
      </c>
    </row>
    <row r="11" spans="2:10">
      <c r="B11">
        <v>0.7</v>
      </c>
      <c r="C11">
        <v>13.123100000000001</v>
      </c>
      <c r="D11">
        <v>16.198499999999999</v>
      </c>
      <c r="E11">
        <v>14.452199999999999</v>
      </c>
      <c r="G11">
        <v>0.7</v>
      </c>
      <c r="H11">
        <v>10.824299999999999</v>
      </c>
      <c r="I11">
        <v>16.581800000000001</v>
      </c>
      <c r="J11">
        <v>13.1235</v>
      </c>
    </row>
    <row r="12" spans="2:10">
      <c r="B12">
        <v>0.8</v>
      </c>
      <c r="C12">
        <v>10.802899999999999</v>
      </c>
      <c r="D12">
        <v>16.3202</v>
      </c>
      <c r="E12">
        <v>13.0303</v>
      </c>
      <c r="G12">
        <v>0.8</v>
      </c>
      <c r="H12">
        <v>10.6152</v>
      </c>
      <c r="I12">
        <v>16.670000000000002</v>
      </c>
      <c r="J12">
        <v>13.033200000000001</v>
      </c>
    </row>
    <row r="13" spans="2:10">
      <c r="B13">
        <v>0.9</v>
      </c>
      <c r="C13">
        <v>10.6152</v>
      </c>
      <c r="D13">
        <v>16.670000000000002</v>
      </c>
      <c r="E13">
        <v>13.033200000000001</v>
      </c>
      <c r="G13">
        <v>0.9</v>
      </c>
      <c r="H13">
        <v>10.6152</v>
      </c>
      <c r="I13">
        <v>16.670000000000002</v>
      </c>
      <c r="J13">
        <v>13.033200000000001</v>
      </c>
    </row>
    <row r="14" spans="2:10">
      <c r="B14">
        <v>1</v>
      </c>
      <c r="C14">
        <v>10.6152</v>
      </c>
      <c r="D14">
        <v>16.670000000000002</v>
      </c>
      <c r="E14">
        <v>13.033200000000001</v>
      </c>
      <c r="G14">
        <v>1</v>
      </c>
      <c r="H14">
        <v>10.6152</v>
      </c>
      <c r="I14">
        <v>16.670000000000002</v>
      </c>
      <c r="J14">
        <v>13.033200000000001</v>
      </c>
    </row>
    <row r="17" spans="3:9">
      <c r="D17" t="s">
        <v>10</v>
      </c>
      <c r="I17" t="s">
        <v>11</v>
      </c>
    </row>
    <row r="20" spans="3:9">
      <c r="C20" s="3" t="s">
        <v>14</v>
      </c>
    </row>
    <row r="21" spans="3:9">
      <c r="C21" s="4" t="s">
        <v>17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F1B2-41E9-584C-B15A-D2C2EE6E4CB7}">
  <dimension ref="B2:J17"/>
  <sheetViews>
    <sheetView workbookViewId="0">
      <selection activeCell="E19" sqref="E19"/>
    </sheetView>
  </sheetViews>
  <sheetFormatPr baseColWidth="10" defaultRowHeight="20"/>
  <sheetData>
    <row r="2" spans="2:10">
      <c r="B2" t="s">
        <v>1</v>
      </c>
      <c r="G2" t="s">
        <v>7</v>
      </c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>
        <v>0</v>
      </c>
      <c r="C4">
        <v>13.608700000000001</v>
      </c>
      <c r="D4">
        <v>13.573</v>
      </c>
      <c r="E4">
        <v>13.5901</v>
      </c>
      <c r="G4">
        <v>0</v>
      </c>
      <c r="H4">
        <v>13.608700000000001</v>
      </c>
      <c r="I4">
        <v>13.573</v>
      </c>
      <c r="J4">
        <v>13.5901</v>
      </c>
    </row>
    <row r="5" spans="2:10">
      <c r="B5">
        <v>0.1</v>
      </c>
      <c r="C5">
        <v>13.608700000000001</v>
      </c>
      <c r="D5">
        <v>13.573</v>
      </c>
      <c r="E5">
        <v>13.5901</v>
      </c>
      <c r="G5">
        <v>0.1</v>
      </c>
      <c r="H5">
        <v>13.4704</v>
      </c>
      <c r="I5">
        <v>13.1496</v>
      </c>
      <c r="J5">
        <v>13.305300000000001</v>
      </c>
    </row>
    <row r="6" spans="2:10">
      <c r="B6">
        <v>0.2</v>
      </c>
      <c r="C6">
        <v>13.608700000000001</v>
      </c>
      <c r="D6">
        <v>13.573</v>
      </c>
      <c r="E6">
        <v>13.5901</v>
      </c>
      <c r="G6">
        <v>0.2</v>
      </c>
      <c r="H6">
        <v>13.1366</v>
      </c>
      <c r="I6">
        <v>15.8948</v>
      </c>
      <c r="J6">
        <v>14.4383</v>
      </c>
    </row>
    <row r="7" spans="2:10">
      <c r="B7">
        <v>0.3</v>
      </c>
      <c r="C7">
        <v>13.608700000000001</v>
      </c>
      <c r="D7">
        <v>13.573</v>
      </c>
      <c r="E7">
        <v>13.5901</v>
      </c>
      <c r="G7">
        <v>0.3</v>
      </c>
      <c r="H7">
        <v>12.4991</v>
      </c>
      <c r="I7">
        <v>16.064900000000002</v>
      </c>
      <c r="J7">
        <v>14.1683</v>
      </c>
    </row>
    <row r="8" spans="2:10">
      <c r="B8">
        <v>0.4</v>
      </c>
      <c r="C8">
        <v>12.8835</v>
      </c>
      <c r="D8">
        <v>14.7014</v>
      </c>
      <c r="E8">
        <v>13.7529</v>
      </c>
      <c r="G8">
        <v>0.4</v>
      </c>
      <c r="H8">
        <v>10.717000000000001</v>
      </c>
      <c r="I8">
        <v>16.349399999999999</v>
      </c>
      <c r="J8">
        <v>13.206899999999999</v>
      </c>
    </row>
    <row r="9" spans="2:10">
      <c r="B9">
        <v>0.5</v>
      </c>
      <c r="C9">
        <v>12.7537</v>
      </c>
      <c r="D9">
        <v>15.5823</v>
      </c>
      <c r="E9">
        <v>14.091900000000001</v>
      </c>
      <c r="G9">
        <v>0.5</v>
      </c>
      <c r="H9">
        <v>10.6632</v>
      </c>
      <c r="I9">
        <v>16.531199999999998</v>
      </c>
      <c r="J9">
        <v>13.257300000000001</v>
      </c>
    </row>
    <row r="10" spans="2:10">
      <c r="B10">
        <v>0.6</v>
      </c>
      <c r="C10">
        <v>12.727499999999999</v>
      </c>
      <c r="D10">
        <v>15.6912</v>
      </c>
      <c r="E10">
        <v>14.129</v>
      </c>
      <c r="G10">
        <v>0.6</v>
      </c>
      <c r="H10">
        <v>10.1142</v>
      </c>
      <c r="I10">
        <v>16.4953</v>
      </c>
      <c r="J10">
        <v>12.8833</v>
      </c>
    </row>
    <row r="11" spans="2:10">
      <c r="B11">
        <v>0.7</v>
      </c>
      <c r="C11">
        <v>10.321999999999999</v>
      </c>
      <c r="D11">
        <v>16.370699999999999</v>
      </c>
      <c r="E11">
        <v>12.9557</v>
      </c>
      <c r="G11">
        <v>0.7</v>
      </c>
      <c r="H11">
        <v>9.8783399999999997</v>
      </c>
      <c r="I11">
        <v>16.670000000000002</v>
      </c>
      <c r="J11">
        <v>12.8256</v>
      </c>
    </row>
    <row r="12" spans="2:10">
      <c r="B12">
        <v>0.8</v>
      </c>
      <c r="C12">
        <v>10.1142</v>
      </c>
      <c r="D12">
        <v>16.4953</v>
      </c>
      <c r="E12">
        <v>12.8833</v>
      </c>
      <c r="G12">
        <v>0.8</v>
      </c>
      <c r="H12">
        <v>9.8783399999999997</v>
      </c>
      <c r="I12">
        <v>16.670000000000002</v>
      </c>
      <c r="J12">
        <v>12.8256</v>
      </c>
    </row>
    <row r="13" spans="2:10">
      <c r="B13">
        <v>0.9</v>
      </c>
      <c r="C13">
        <v>9.8783399999999997</v>
      </c>
      <c r="D13">
        <v>16.670000000000002</v>
      </c>
      <c r="E13">
        <v>12.8256</v>
      </c>
      <c r="G13">
        <v>0.9</v>
      </c>
      <c r="H13">
        <v>9.8783399999999997</v>
      </c>
      <c r="I13">
        <v>16.670000000000002</v>
      </c>
      <c r="J13">
        <v>12.8256</v>
      </c>
    </row>
    <row r="14" spans="2:10">
      <c r="B14">
        <v>1</v>
      </c>
      <c r="C14">
        <v>9.8783399999999997</v>
      </c>
      <c r="D14">
        <v>16.670000000000002</v>
      </c>
      <c r="E14">
        <v>12.8256</v>
      </c>
      <c r="G14">
        <v>1</v>
      </c>
      <c r="H14">
        <v>9.8783399999999997</v>
      </c>
      <c r="I14">
        <v>16.670000000000002</v>
      </c>
      <c r="J14">
        <v>12.8256</v>
      </c>
    </row>
    <row r="17" spans="4:9">
      <c r="D17" t="s">
        <v>10</v>
      </c>
      <c r="I17" t="s">
        <v>10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355B-1DDC-C44C-A4D1-53F836843077}">
  <dimension ref="B2:J17"/>
  <sheetViews>
    <sheetView workbookViewId="0">
      <selection activeCell="J15" sqref="J15"/>
    </sheetView>
  </sheetViews>
  <sheetFormatPr baseColWidth="10" defaultRowHeight="20"/>
  <sheetData>
    <row r="2" spans="2:10">
      <c r="B2" s="1" t="s">
        <v>0</v>
      </c>
      <c r="C2" s="1"/>
      <c r="D2" s="1"/>
      <c r="E2" s="1"/>
      <c r="F2" s="1"/>
      <c r="G2" s="1" t="s">
        <v>6</v>
      </c>
      <c r="H2" s="1"/>
      <c r="I2" s="1"/>
      <c r="J2" s="1"/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F3" s="1"/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 s="1">
        <v>0</v>
      </c>
      <c r="C4" s="1">
        <v>15.536099999999999</v>
      </c>
      <c r="D4" s="1">
        <v>15.7677</v>
      </c>
      <c r="E4" s="1">
        <v>15.652699999999999</v>
      </c>
      <c r="F4" s="1"/>
      <c r="G4" s="1">
        <v>0</v>
      </c>
      <c r="H4" s="1">
        <v>15.536099999999999</v>
      </c>
      <c r="I4" s="1">
        <v>15.7677</v>
      </c>
      <c r="J4" s="1">
        <v>15.652699999999999</v>
      </c>
    </row>
    <row r="5" spans="2:10">
      <c r="B5" s="1">
        <v>0.1</v>
      </c>
      <c r="C5" s="1">
        <v>15.536099999999999</v>
      </c>
      <c r="D5" s="1">
        <v>15.7677</v>
      </c>
      <c r="E5" s="1">
        <v>15.652699999999999</v>
      </c>
      <c r="F5" s="1"/>
      <c r="G5" s="1">
        <v>0.1</v>
      </c>
      <c r="H5" s="1">
        <v>14.9161</v>
      </c>
      <c r="I5" s="1">
        <v>15.7293</v>
      </c>
      <c r="J5" s="1">
        <v>15.322699999999999</v>
      </c>
    </row>
    <row r="6" spans="2:10">
      <c r="B6" s="1">
        <v>0.2</v>
      </c>
      <c r="C6" s="1">
        <v>14.9596</v>
      </c>
      <c r="D6" s="1">
        <v>15.5626</v>
      </c>
      <c r="E6" s="1">
        <v>15.261100000000001</v>
      </c>
      <c r="F6" s="1"/>
      <c r="G6" s="1">
        <v>0.2</v>
      </c>
      <c r="H6" s="1">
        <v>14.018800000000001</v>
      </c>
      <c r="I6" s="1">
        <v>16.4194</v>
      </c>
      <c r="J6" s="1">
        <v>15.170299999999999</v>
      </c>
    </row>
    <row r="7" spans="2:10">
      <c r="B7" s="1">
        <v>0.3</v>
      </c>
      <c r="C7" s="1">
        <v>14.690099999999999</v>
      </c>
      <c r="D7" s="1">
        <v>14.853999999999999</v>
      </c>
      <c r="E7" s="1">
        <v>14.7736</v>
      </c>
      <c r="F7" s="1"/>
      <c r="G7" s="1">
        <v>0.3</v>
      </c>
      <c r="H7" s="1">
        <v>15.6472</v>
      </c>
      <c r="I7" s="1">
        <v>16.288699999999999</v>
      </c>
      <c r="J7" s="1">
        <v>15.966100000000001</v>
      </c>
    </row>
    <row r="8" spans="2:10">
      <c r="B8" s="1">
        <v>0.4</v>
      </c>
      <c r="C8" s="1">
        <v>15.6472</v>
      </c>
      <c r="D8" s="1">
        <v>16.288699999999999</v>
      </c>
      <c r="E8" s="1">
        <v>15.966100000000001</v>
      </c>
      <c r="F8" s="1"/>
      <c r="G8" s="1">
        <v>0.4</v>
      </c>
      <c r="H8" s="1">
        <v>12.8849</v>
      </c>
      <c r="I8" s="1">
        <v>16.666</v>
      </c>
      <c r="J8" s="1">
        <v>14.6365</v>
      </c>
    </row>
    <row r="9" spans="2:10">
      <c r="B9" s="1">
        <v>0.5</v>
      </c>
      <c r="C9" s="1">
        <v>15.6472</v>
      </c>
      <c r="D9" s="1">
        <v>16.288699999999999</v>
      </c>
      <c r="E9" s="1">
        <v>15.966100000000001</v>
      </c>
      <c r="F9" s="1"/>
      <c r="G9" s="1">
        <v>0.5</v>
      </c>
      <c r="H9" s="1">
        <v>12.465299999999999</v>
      </c>
      <c r="I9" s="1">
        <v>16.667899999999999</v>
      </c>
      <c r="J9" s="1">
        <v>14.4095</v>
      </c>
    </row>
    <row r="10" spans="2:10">
      <c r="B10" s="1">
        <v>0.6</v>
      </c>
      <c r="C10" s="1">
        <v>15.6472</v>
      </c>
      <c r="D10" s="1">
        <v>16.288699999999999</v>
      </c>
      <c r="E10" s="1">
        <v>15.966100000000001</v>
      </c>
      <c r="F10" s="1"/>
      <c r="G10" s="1">
        <v>0.6</v>
      </c>
      <c r="H10" s="1">
        <v>12.9533</v>
      </c>
      <c r="I10" s="1">
        <v>16.666</v>
      </c>
      <c r="J10" s="1">
        <v>14.676600000000001</v>
      </c>
    </row>
    <row r="11" spans="2:10">
      <c r="B11" s="1">
        <v>0.7</v>
      </c>
      <c r="C11" s="1">
        <v>12.995699999999999</v>
      </c>
      <c r="D11" s="1">
        <v>16.670000000000002</v>
      </c>
      <c r="E11" s="1">
        <v>14.7034</v>
      </c>
      <c r="F11" s="1"/>
      <c r="G11" s="1">
        <v>0.7</v>
      </c>
      <c r="H11" s="1">
        <v>12.9984</v>
      </c>
      <c r="I11" s="1">
        <v>16.665900000000001</v>
      </c>
      <c r="J11" s="1">
        <v>14.702999999999999</v>
      </c>
    </row>
    <row r="12" spans="2:10">
      <c r="B12" s="1">
        <v>0.8</v>
      </c>
      <c r="C12" s="1">
        <v>12.995699999999999</v>
      </c>
      <c r="D12" s="1">
        <v>16.670000000000002</v>
      </c>
      <c r="E12" s="1">
        <v>14.7034</v>
      </c>
      <c r="F12" s="1"/>
      <c r="G12" s="1">
        <v>0.8</v>
      </c>
      <c r="H12" s="1">
        <v>13.0007</v>
      </c>
      <c r="I12" s="1">
        <v>16.670000000000002</v>
      </c>
      <c r="J12" s="1">
        <v>14.7058</v>
      </c>
    </row>
    <row r="13" spans="2:10">
      <c r="B13" s="1">
        <v>0.9</v>
      </c>
      <c r="C13" s="1">
        <v>12.9533</v>
      </c>
      <c r="D13" s="1">
        <v>16.666</v>
      </c>
      <c r="E13" s="1">
        <v>14.676600000000001</v>
      </c>
      <c r="F13" s="1"/>
      <c r="G13" s="1">
        <v>0.9</v>
      </c>
      <c r="H13" s="1">
        <v>13.0007</v>
      </c>
      <c r="I13" s="1">
        <v>16.670000000000002</v>
      </c>
      <c r="J13" s="1">
        <v>14.7058</v>
      </c>
    </row>
    <row r="14" spans="2:10">
      <c r="B14" s="1">
        <v>1</v>
      </c>
      <c r="C14" s="1">
        <v>13.0007</v>
      </c>
      <c r="D14" s="1">
        <v>16.670000000000002</v>
      </c>
      <c r="E14" s="1">
        <v>14.7058</v>
      </c>
      <c r="F14" s="1"/>
      <c r="G14" s="1">
        <v>1</v>
      </c>
      <c r="H14" s="1">
        <v>13.0007</v>
      </c>
      <c r="I14" s="1">
        <v>16.670000000000002</v>
      </c>
      <c r="J14" s="1">
        <v>14.7058</v>
      </c>
    </row>
    <row r="17" spans="4:9">
      <c r="D17" t="s">
        <v>10</v>
      </c>
      <c r="I17" t="s">
        <v>10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550D-DA1A-BD4E-9FED-9101A5439212}">
  <dimension ref="B2:J17"/>
  <sheetViews>
    <sheetView workbookViewId="0">
      <selection activeCell="J5" sqref="J5"/>
    </sheetView>
  </sheetViews>
  <sheetFormatPr baseColWidth="10" defaultRowHeight="20"/>
  <sheetData>
    <row r="2" spans="2:10">
      <c r="B2" s="1" t="s">
        <v>0</v>
      </c>
      <c r="C2" s="1"/>
      <c r="D2" s="1"/>
      <c r="E2" s="1"/>
      <c r="F2" s="1"/>
      <c r="G2" s="1" t="s">
        <v>6</v>
      </c>
      <c r="H2" s="1"/>
      <c r="I2" s="1"/>
      <c r="J2" s="1"/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F3" s="1"/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 s="1">
        <v>0</v>
      </c>
      <c r="C4" s="1">
        <v>14.6021</v>
      </c>
      <c r="D4" s="1">
        <v>13.301</v>
      </c>
      <c r="E4" s="1">
        <v>13.9709</v>
      </c>
      <c r="F4" s="1"/>
      <c r="G4" s="1">
        <v>0</v>
      </c>
      <c r="H4" s="1">
        <v>14.6021</v>
      </c>
      <c r="I4" s="1">
        <v>13.301</v>
      </c>
      <c r="J4" s="1">
        <v>13.9709</v>
      </c>
    </row>
    <row r="5" spans="2:10">
      <c r="B5" s="1">
        <v>0.1</v>
      </c>
      <c r="C5" s="1">
        <v>14.6021</v>
      </c>
      <c r="D5" s="1">
        <v>13.301</v>
      </c>
      <c r="E5" s="1">
        <v>13.9709</v>
      </c>
      <c r="F5" s="1"/>
      <c r="G5" s="1">
        <v>0.1</v>
      </c>
      <c r="H5" s="1">
        <v>14.5435</v>
      </c>
      <c r="I5" s="1">
        <v>13.434699999999999</v>
      </c>
      <c r="J5" s="1">
        <v>14.005599999999999</v>
      </c>
    </row>
    <row r="6" spans="2:10">
      <c r="B6" s="1">
        <v>0.2</v>
      </c>
      <c r="C6" s="1">
        <v>14.51</v>
      </c>
      <c r="D6" s="1">
        <v>13.353899999999999</v>
      </c>
      <c r="E6" s="1">
        <v>13.9498</v>
      </c>
      <c r="F6" s="1"/>
      <c r="G6" s="1">
        <v>0.2</v>
      </c>
      <c r="H6" s="1">
        <v>13.993600000000001</v>
      </c>
      <c r="I6" s="1">
        <v>14.8865</v>
      </c>
      <c r="J6" s="1">
        <v>14.4148</v>
      </c>
    </row>
    <row r="7" spans="2:10">
      <c r="B7" s="1">
        <v>0.3</v>
      </c>
      <c r="C7" s="1">
        <v>15.2058</v>
      </c>
      <c r="D7" s="1">
        <v>14.8733</v>
      </c>
      <c r="E7" s="1">
        <v>15.0465</v>
      </c>
      <c r="F7" s="1"/>
      <c r="G7" s="1">
        <v>0.3</v>
      </c>
      <c r="H7" s="1">
        <v>15.165699999999999</v>
      </c>
      <c r="I7" s="1">
        <v>15.1629</v>
      </c>
      <c r="J7" s="1">
        <v>15.164400000000001</v>
      </c>
    </row>
    <row r="8" spans="2:10">
      <c r="B8" s="1">
        <v>0.4</v>
      </c>
      <c r="C8" s="1">
        <v>15.182499999999999</v>
      </c>
      <c r="D8" s="1">
        <v>14.9359</v>
      </c>
      <c r="E8" s="1">
        <v>15.064299999999999</v>
      </c>
      <c r="F8" s="1"/>
      <c r="G8" s="1">
        <v>0.4</v>
      </c>
      <c r="H8" s="1">
        <v>13.4078</v>
      </c>
      <c r="I8" s="1">
        <v>16.123200000000001</v>
      </c>
      <c r="J8" s="1">
        <v>14.6229</v>
      </c>
    </row>
    <row r="9" spans="2:10">
      <c r="B9" s="1">
        <v>0.5</v>
      </c>
      <c r="C9" s="1">
        <v>14.3581</v>
      </c>
      <c r="D9" s="1">
        <v>14.9521</v>
      </c>
      <c r="E9" s="1">
        <v>14.639699999999999</v>
      </c>
      <c r="F9" s="1"/>
      <c r="G9" s="1">
        <v>0.5</v>
      </c>
      <c r="H9" s="1">
        <v>12.104900000000001</v>
      </c>
      <c r="I9" s="1">
        <v>16.597300000000001</v>
      </c>
      <c r="J9" s="1">
        <v>13.986599999999999</v>
      </c>
    </row>
    <row r="10" spans="2:10">
      <c r="B10" s="1">
        <v>0.6</v>
      </c>
      <c r="C10" s="1">
        <v>14.457800000000001</v>
      </c>
      <c r="D10" s="1">
        <v>15.8551</v>
      </c>
      <c r="E10" s="1">
        <v>15.104900000000001</v>
      </c>
      <c r="F10" s="1"/>
      <c r="G10" s="1">
        <v>0.6</v>
      </c>
      <c r="H10" s="1">
        <v>12.041700000000001</v>
      </c>
      <c r="I10" s="1">
        <v>16.670000000000002</v>
      </c>
      <c r="J10" s="1">
        <v>13.9693</v>
      </c>
    </row>
    <row r="11" spans="2:10">
      <c r="B11" s="1">
        <v>0.7</v>
      </c>
      <c r="C11" s="1">
        <v>13.273899999999999</v>
      </c>
      <c r="D11" s="1">
        <v>16.271699999999999</v>
      </c>
      <c r="E11" s="1">
        <v>14.5907</v>
      </c>
      <c r="F11" s="1"/>
      <c r="G11" s="1">
        <v>0.7</v>
      </c>
      <c r="H11" s="1">
        <v>12.041700000000001</v>
      </c>
      <c r="I11" s="1">
        <v>16.670000000000002</v>
      </c>
      <c r="J11" s="1">
        <v>13.9693</v>
      </c>
    </row>
    <row r="12" spans="2:10">
      <c r="B12" s="1">
        <v>0.8</v>
      </c>
      <c r="C12" s="1">
        <v>12.7865</v>
      </c>
      <c r="D12" s="1">
        <v>16.561</v>
      </c>
      <c r="E12" s="1">
        <v>14.424799999999999</v>
      </c>
      <c r="F12" s="1"/>
      <c r="G12" s="1">
        <v>0.8</v>
      </c>
      <c r="H12" s="1">
        <v>12.041700000000001</v>
      </c>
      <c r="I12" s="1">
        <v>16.670000000000002</v>
      </c>
      <c r="J12" s="1">
        <v>13.9693</v>
      </c>
    </row>
    <row r="13" spans="2:10">
      <c r="B13" s="1">
        <v>0.9</v>
      </c>
      <c r="C13" s="1">
        <v>12.041700000000001</v>
      </c>
      <c r="D13" s="1">
        <v>16.670000000000002</v>
      </c>
      <c r="E13" s="1">
        <v>13.9693</v>
      </c>
      <c r="F13" s="1"/>
      <c r="G13" s="1">
        <v>0.9</v>
      </c>
      <c r="H13" s="1">
        <v>12.041700000000001</v>
      </c>
      <c r="I13" s="1">
        <v>16.670000000000002</v>
      </c>
      <c r="J13" s="1">
        <v>13.9693</v>
      </c>
    </row>
    <row r="14" spans="2:10">
      <c r="B14" s="1">
        <v>1</v>
      </c>
      <c r="C14" s="1">
        <v>12.041700000000001</v>
      </c>
      <c r="D14" s="1">
        <v>16.670000000000002</v>
      </c>
      <c r="E14" s="1">
        <v>13.9693</v>
      </c>
      <c r="F14" s="1"/>
      <c r="G14" s="1">
        <v>1</v>
      </c>
      <c r="H14" s="1">
        <v>12.041700000000001</v>
      </c>
      <c r="I14" s="1">
        <v>16.670000000000002</v>
      </c>
      <c r="J14" s="1">
        <v>13.9693</v>
      </c>
    </row>
    <row r="15" spans="2:10">
      <c r="H15" s="1"/>
      <c r="I15" s="1"/>
      <c r="J15" s="1"/>
    </row>
    <row r="17" spans="4:9">
      <c r="D17" t="s">
        <v>10</v>
      </c>
      <c r="I17" t="s">
        <v>10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0352-6589-4848-A8BA-B5B78CA6C488}">
  <dimension ref="B2:J17"/>
  <sheetViews>
    <sheetView workbookViewId="0">
      <selection activeCell="E15" sqref="E15"/>
    </sheetView>
  </sheetViews>
  <sheetFormatPr baseColWidth="10" defaultRowHeight="20"/>
  <sheetData>
    <row r="2" spans="2:10">
      <c r="B2" s="1" t="s">
        <v>0</v>
      </c>
      <c r="C2" s="1"/>
      <c r="D2" s="1"/>
      <c r="E2" s="1"/>
      <c r="F2" s="1"/>
      <c r="G2" s="1" t="s">
        <v>6</v>
      </c>
      <c r="H2" s="1"/>
      <c r="I2" s="1"/>
      <c r="J2" s="1"/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F3" s="1"/>
      <c r="G3" s="1" t="s">
        <v>2</v>
      </c>
      <c r="H3" s="1" t="s">
        <v>3</v>
      </c>
      <c r="I3" s="1" t="s">
        <v>4</v>
      </c>
      <c r="J3" s="1" t="s">
        <v>5</v>
      </c>
    </row>
    <row r="4" spans="2:10">
      <c r="B4" s="1">
        <v>0</v>
      </c>
      <c r="C4" s="1">
        <v>11.9406</v>
      </c>
      <c r="D4" s="1">
        <v>11.9671</v>
      </c>
      <c r="E4" s="1">
        <v>11.953099999999999</v>
      </c>
      <c r="F4" s="1"/>
      <c r="G4" s="1">
        <v>0</v>
      </c>
      <c r="H4" s="1">
        <v>11.9406</v>
      </c>
      <c r="I4" s="1">
        <v>11.9671</v>
      </c>
      <c r="J4" s="1">
        <v>11.953099999999999</v>
      </c>
    </row>
    <row r="5" spans="2:10">
      <c r="B5" s="1">
        <v>0.1</v>
      </c>
      <c r="C5" s="1">
        <v>11.9406</v>
      </c>
      <c r="D5" s="1">
        <v>11.9671</v>
      </c>
      <c r="E5" s="1">
        <v>11.953099999999999</v>
      </c>
      <c r="F5" s="1"/>
      <c r="G5" s="1">
        <v>0.1</v>
      </c>
      <c r="H5" s="1">
        <v>13.3505</v>
      </c>
      <c r="I5" s="1">
        <v>13.318300000000001</v>
      </c>
      <c r="J5" s="1">
        <v>13.3355</v>
      </c>
    </row>
    <row r="6" spans="2:10">
      <c r="B6" s="1">
        <v>0.2</v>
      </c>
      <c r="C6" s="1">
        <v>11.9406</v>
      </c>
      <c r="D6" s="1">
        <v>11.9671</v>
      </c>
      <c r="E6" s="1">
        <v>11.953099999999999</v>
      </c>
      <c r="F6" s="1"/>
      <c r="G6" s="1">
        <v>0.2</v>
      </c>
      <c r="H6" s="1">
        <v>12.2699</v>
      </c>
      <c r="I6" s="1">
        <v>16.197299999999998</v>
      </c>
      <c r="J6" s="1">
        <v>13.9688</v>
      </c>
    </row>
    <row r="7" spans="2:10">
      <c r="B7" s="1">
        <v>0.3</v>
      </c>
      <c r="C7" s="1">
        <v>11.9406</v>
      </c>
      <c r="D7" s="1">
        <v>11.9671</v>
      </c>
      <c r="E7" s="1">
        <v>11.953099999999999</v>
      </c>
      <c r="F7" s="1"/>
      <c r="G7" s="1">
        <v>0.3</v>
      </c>
      <c r="H7" s="1">
        <v>12.358499999999999</v>
      </c>
      <c r="I7" s="1">
        <v>16.388100000000001</v>
      </c>
      <c r="J7" s="1">
        <v>14.0962</v>
      </c>
    </row>
    <row r="8" spans="2:10">
      <c r="B8" s="1">
        <v>0.4</v>
      </c>
      <c r="C8" s="1">
        <v>12.065899999999999</v>
      </c>
      <c r="D8" s="1">
        <v>12.6706</v>
      </c>
      <c r="E8" s="1">
        <v>12.3475</v>
      </c>
      <c r="F8" s="1"/>
      <c r="G8" s="1">
        <v>0.4</v>
      </c>
      <c r="H8" s="1">
        <v>11.351800000000001</v>
      </c>
      <c r="I8" s="1">
        <v>16.288</v>
      </c>
      <c r="J8" s="1">
        <v>13.411899999999999</v>
      </c>
    </row>
    <row r="9" spans="2:10">
      <c r="B9" s="1">
        <v>0.5</v>
      </c>
      <c r="C9" s="1">
        <v>12.960800000000001</v>
      </c>
      <c r="D9" s="1">
        <v>14.2486</v>
      </c>
      <c r="E9" s="1">
        <v>13.562099999999999</v>
      </c>
      <c r="F9" s="1"/>
      <c r="G9" s="1">
        <v>0.5</v>
      </c>
      <c r="H9" s="1">
        <v>10.376300000000001</v>
      </c>
      <c r="I9" s="1">
        <v>16.474599999999999</v>
      </c>
      <c r="J9" s="1">
        <v>12.8209</v>
      </c>
    </row>
    <row r="10" spans="2:10">
      <c r="B10" s="1">
        <v>0.6</v>
      </c>
      <c r="C10" s="1">
        <v>11.566000000000001</v>
      </c>
      <c r="D10" s="1">
        <v>13.532299999999999</v>
      </c>
      <c r="E10" s="1">
        <v>12.465999999999999</v>
      </c>
      <c r="F10" s="1"/>
      <c r="G10" s="1">
        <v>0.6</v>
      </c>
      <c r="H10" s="1">
        <v>10.1478</v>
      </c>
      <c r="I10" s="1">
        <v>16.6279</v>
      </c>
      <c r="J10" s="1">
        <v>12.7455</v>
      </c>
    </row>
    <row r="11" spans="2:10">
      <c r="B11" s="1">
        <v>0.7</v>
      </c>
      <c r="C11" s="1">
        <v>12.3569</v>
      </c>
      <c r="D11" s="1">
        <v>16.376200000000001</v>
      </c>
      <c r="E11" s="1">
        <v>14.0906</v>
      </c>
      <c r="F11" s="1"/>
      <c r="G11" s="1">
        <v>0.7</v>
      </c>
      <c r="H11" s="1">
        <v>10.1492</v>
      </c>
      <c r="I11" s="1">
        <v>16.6248</v>
      </c>
      <c r="J11" s="1">
        <v>12.7464</v>
      </c>
    </row>
    <row r="12" spans="2:10">
      <c r="B12" s="1">
        <v>0.8</v>
      </c>
      <c r="C12" s="1">
        <v>10.1492</v>
      </c>
      <c r="D12" s="1">
        <v>16.6248</v>
      </c>
      <c r="E12" s="1">
        <v>12.7464</v>
      </c>
      <c r="F12" s="1"/>
      <c r="G12" s="1">
        <v>0.8</v>
      </c>
      <c r="H12" s="1">
        <v>10.134</v>
      </c>
      <c r="I12" s="1">
        <v>16.670000000000002</v>
      </c>
      <c r="J12" s="1">
        <v>12.755699999999999</v>
      </c>
    </row>
    <row r="13" spans="2:10">
      <c r="B13" s="1">
        <v>0.9</v>
      </c>
      <c r="C13" s="1">
        <v>10.1371</v>
      </c>
      <c r="D13" s="1">
        <v>16.669499999999999</v>
      </c>
      <c r="E13" s="1">
        <v>12.757</v>
      </c>
      <c r="F13" s="1"/>
      <c r="G13" s="1">
        <v>0.9</v>
      </c>
      <c r="H13" s="1">
        <v>10.134</v>
      </c>
      <c r="I13" s="1">
        <v>16.670000000000002</v>
      </c>
      <c r="J13" s="1">
        <v>12.755699999999999</v>
      </c>
    </row>
    <row r="14" spans="2:10">
      <c r="B14" s="1">
        <v>1</v>
      </c>
      <c r="C14" s="1">
        <v>10.134</v>
      </c>
      <c r="D14" s="1">
        <v>16.670000000000002</v>
      </c>
      <c r="E14" s="1">
        <v>12.755699999999999</v>
      </c>
      <c r="F14" s="1"/>
      <c r="G14" s="1">
        <v>1</v>
      </c>
      <c r="H14" s="1">
        <v>10.134</v>
      </c>
      <c r="I14" s="1">
        <v>16.670000000000002</v>
      </c>
      <c r="J14" s="1">
        <v>12.755699999999999</v>
      </c>
    </row>
    <row r="17" spans="4:9">
      <c r="D17" t="s">
        <v>10</v>
      </c>
      <c r="I17" t="s">
        <v>11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0174-DB72-0D46-B0A9-BFD2A66F13FD}">
  <dimension ref="A2:T14"/>
  <sheetViews>
    <sheetView workbookViewId="0">
      <selection activeCell="B3" sqref="B3"/>
    </sheetView>
  </sheetViews>
  <sheetFormatPr baseColWidth="10" defaultRowHeight="20"/>
  <sheetData>
    <row r="2" spans="1:20">
      <c r="A2" t="s">
        <v>15</v>
      </c>
      <c r="B2" s="1" t="s">
        <v>0</v>
      </c>
      <c r="C2" s="1"/>
      <c r="D2" s="1"/>
      <c r="E2" s="1"/>
      <c r="F2" s="1"/>
      <c r="G2" s="1" t="s">
        <v>6</v>
      </c>
      <c r="H2" s="1"/>
      <c r="I2" s="1"/>
      <c r="J2" s="1"/>
      <c r="K2" t="s">
        <v>16</v>
      </c>
      <c r="L2" s="1" t="s">
        <v>0</v>
      </c>
      <c r="M2" s="1"/>
      <c r="N2" s="1"/>
      <c r="O2" s="1"/>
      <c r="P2" s="1"/>
      <c r="Q2" s="1" t="s">
        <v>6</v>
      </c>
      <c r="R2" s="1"/>
      <c r="S2" s="1"/>
      <c r="T2" s="1"/>
    </row>
    <row r="3" spans="1:20">
      <c r="B3" s="1" t="s">
        <v>2</v>
      </c>
      <c r="C3" s="1" t="s">
        <v>3</v>
      </c>
      <c r="D3" s="1" t="s">
        <v>4</v>
      </c>
      <c r="E3" s="1" t="s">
        <v>5</v>
      </c>
      <c r="F3" s="1"/>
      <c r="G3" s="1" t="s">
        <v>2</v>
      </c>
      <c r="H3" s="1" t="s">
        <v>3</v>
      </c>
      <c r="I3" s="1" t="s">
        <v>4</v>
      </c>
      <c r="J3" s="1" t="s">
        <v>5</v>
      </c>
      <c r="L3" s="1" t="s">
        <v>2</v>
      </c>
      <c r="M3" s="1" t="s">
        <v>3</v>
      </c>
      <c r="N3" s="1" t="s">
        <v>4</v>
      </c>
      <c r="O3" s="1" t="s">
        <v>5</v>
      </c>
      <c r="P3" s="1"/>
      <c r="Q3" s="1" t="s">
        <v>2</v>
      </c>
      <c r="R3" s="1" t="s">
        <v>3</v>
      </c>
      <c r="S3" s="1" t="s">
        <v>4</v>
      </c>
      <c r="T3" s="1" t="s">
        <v>5</v>
      </c>
    </row>
    <row r="4" spans="1:20">
      <c r="B4" s="1">
        <v>0</v>
      </c>
      <c r="C4" s="1">
        <f>ROUND(AVERAGE(seed1!C4,seed2!C4,seed3!C4,seed4!C4,seed5!C4,seed6!C4,seed7!C4,seed8!C4,seed9!C4,seed10!C4),4)</f>
        <v>14.486499999999999</v>
      </c>
      <c r="D4" s="1">
        <f>ROUND(AVERAGE(seed1!D4,seed2!D4,seed3!D4,seed4!D4,seed5!D4,seed6!D4,seed7!D4,seed8!D4,seed9!D4,seed10!D4),4)</f>
        <v>13.668699999999999</v>
      </c>
      <c r="E4" s="1">
        <f>ROUND(AVERAGE(seed1!E4,seed2!E4,seed3!E4,seed4!E4,seed5!E4,seed6!E4,seed7!E4,seed8!E4,seed9!E4,seed10!E4),4)</f>
        <v>14.0847</v>
      </c>
      <c r="F4" s="1"/>
      <c r="G4" s="1">
        <v>0</v>
      </c>
      <c r="H4" s="1">
        <f>ROUND(AVERAGE(seed1!H4,seed2!H4,seed3!H4,seed4!H4,seed5!H4,seed6!H4,seed7!H4,seed8!H4,seed9!H4,seed10!H4),4)</f>
        <v>14.486499999999999</v>
      </c>
      <c r="I4" s="1">
        <f>ROUND(AVERAGE(seed1!I4,seed2!I4,seed3!I4,seed4!I4,seed5!I4,seed6!I4,seed7!I4,seed8!I4,seed9!I4,seed10!I4),4)</f>
        <v>13.6686</v>
      </c>
      <c r="J4" s="1">
        <f>ROUND(AVERAGE(seed1!J4,seed2!J4,seed3!J4,seed4!J4,seed5!J4,seed6!J4,seed7!J4,seed8!J4,seed9!J4,seed10!J4),4)</f>
        <v>14.0847</v>
      </c>
      <c r="L4" s="1">
        <v>0</v>
      </c>
      <c r="M4" s="1">
        <f>ROUND(AVERAGE(seed6!C4,seed7!C4,seed8!C4,seed9!C4,seed10!C4),4)</f>
        <v>13.4565</v>
      </c>
      <c r="N4" s="1">
        <f>ROUND(AVERAGE(seed6!D4,seed7!D4,seed8!D4,seed9!D4,seed10!D4),4)</f>
        <v>13.291499999999999</v>
      </c>
      <c r="O4" s="1">
        <f>ROUND(AVERAGE(seed6!E4,seed7!E4,seed8!E4,seed9!E4,seed10!E4),4)</f>
        <v>13.375299999999999</v>
      </c>
      <c r="P4" s="1"/>
      <c r="Q4" s="1">
        <v>0</v>
      </c>
      <c r="R4" s="1">
        <f>ROUND(AVERAGE(seed6!H4,seed7!H4,seed8!H4,seed9!H4,seed10!H4),4)</f>
        <v>13.4565</v>
      </c>
      <c r="S4" s="1">
        <f>ROUND(AVERAGE(seed6!I4,seed7!I4,seed8!I4,seed9!I4,seed10!I4),4)</f>
        <v>13.291399999999999</v>
      </c>
      <c r="T4" s="1">
        <f>ROUND(AVERAGE(seed6!J4,seed7!J4,seed8!J4,seed9!J4,seed10!J4),4)</f>
        <v>13.375299999999999</v>
      </c>
    </row>
    <row r="5" spans="1:20">
      <c r="B5" s="1">
        <v>0.1</v>
      </c>
      <c r="C5" s="1">
        <f>ROUND(AVERAGE(seed1!C5,seed2!C5,seed3!C5,seed4!C5,seed5!C5,seed6!C5,seed7!C5,seed8!C5,seed9!C5,seed10!C5),4)</f>
        <v>14.486499999999999</v>
      </c>
      <c r="D5" s="1">
        <f>ROUND(AVERAGE(seed1!D5,seed2!D5,seed3!D5,seed4!D5,seed5!D5,seed6!D5,seed7!D5,seed8!D5,seed9!D5,seed10!D5),4)</f>
        <v>13.668699999999999</v>
      </c>
      <c r="E5" s="1">
        <f>ROUND(AVERAGE(seed1!E5,seed2!E5,seed3!E5,seed4!E5,seed5!E5,seed6!E5,seed7!E5,seed8!E5,seed9!E5,seed10!E5),4)</f>
        <v>14.0847</v>
      </c>
      <c r="F5" s="1"/>
      <c r="G5" s="1">
        <v>0.1</v>
      </c>
      <c r="H5" s="1">
        <f>ROUND(AVERAGE(seed1!H5,seed2!H5,seed3!H5,seed4!H5,seed5!H5,seed6!H5,seed7!H5,seed8!H5,seed9!H5,seed10!H5),4)</f>
        <v>14.4458</v>
      </c>
      <c r="I5" s="1">
        <f>ROUND(AVERAGE(seed1!I5,seed2!I5,seed3!I5,seed4!I5,seed5!I5,seed6!I5,seed7!I5,seed8!I5,seed9!I5,seed10!I5),4)</f>
        <v>14.2905</v>
      </c>
      <c r="J5" s="1">
        <f>ROUND(AVERAGE(seed1!J5,seed2!J5,seed3!J5,seed4!J5,seed5!J5,seed6!J5,seed7!J5,seed8!J5,seed9!J5,seed10!J5),4)</f>
        <v>14.362500000000001</v>
      </c>
      <c r="L5" s="1">
        <v>0.1</v>
      </c>
      <c r="M5" s="1">
        <f>ROUND(AVERAGE(seed6!C5,seed7!C5,seed8!C5,seed9!C5,seed10!C5),4)</f>
        <v>13.4565</v>
      </c>
      <c r="N5" s="1">
        <f>ROUND(AVERAGE(seed6!D5,seed7!D5,seed8!D5,seed9!D5,seed10!D5),4)</f>
        <v>13.291499999999999</v>
      </c>
      <c r="O5" s="1">
        <f>ROUND(AVERAGE(seed6!E5,seed7!E5,seed8!E5,seed9!E5,seed10!E5),4)</f>
        <v>13.375299999999999</v>
      </c>
      <c r="P5" s="1"/>
      <c r="Q5" s="1">
        <v>0.1</v>
      </c>
      <c r="R5" s="1">
        <f>ROUND(AVERAGE(seed6!H5,seed7!H5,seed8!H5,seed9!H5,seed10!H5),4)</f>
        <v>13.5444</v>
      </c>
      <c r="S5" s="1">
        <f>ROUND(AVERAGE(seed6!I5,seed7!I5,seed8!I5,seed9!I5,seed10!I5),4)</f>
        <v>13.808999999999999</v>
      </c>
      <c r="T5" s="1">
        <f>ROUND(AVERAGE(seed6!J5,seed7!J5,seed8!J5,seed9!J5,seed10!J5),4)</f>
        <v>13.658099999999999</v>
      </c>
    </row>
    <row r="6" spans="1:20">
      <c r="B6" s="1">
        <v>0.2</v>
      </c>
      <c r="C6" s="1">
        <f>ROUND(AVERAGE(seed1!C6,seed2!C6,seed3!C6,seed4!C6,seed5!C6,seed6!C6,seed7!C6,seed8!C6,seed9!C6,seed10!C6),4)</f>
        <v>14.3561</v>
      </c>
      <c r="D6" s="1">
        <f>ROUND(AVERAGE(seed1!D6,seed2!D6,seed3!D6,seed4!D6,seed5!D6,seed6!D6,seed7!D6,seed8!D6,seed9!D6,seed10!D6),4)</f>
        <v>13.874499999999999</v>
      </c>
      <c r="E6" s="1">
        <f>ROUND(AVERAGE(seed1!E6,seed2!E6,seed3!E6,seed4!E6,seed5!E6,seed6!E6,seed7!E6,seed8!E6,seed9!E6,seed10!E6),4)</f>
        <v>14.122400000000001</v>
      </c>
      <c r="F6" s="1"/>
      <c r="G6" s="1">
        <v>0.2</v>
      </c>
      <c r="H6" s="1">
        <f>ROUND(AVERAGE(seed1!H6,seed2!H6,seed3!H6,seed4!H6,seed5!H6,seed6!H6,seed7!H6,seed8!H6,seed9!H6,seed10!H6),4)</f>
        <v>14.0909</v>
      </c>
      <c r="I6" s="1">
        <f>ROUND(AVERAGE(seed1!I6,seed2!I6,seed3!I6,seed4!I6,seed5!I6,seed6!I6,seed7!I6,seed8!I6,seed9!I6,seed10!I6),4)</f>
        <v>15.6058</v>
      </c>
      <c r="J6" s="1">
        <f>ROUND(AVERAGE(seed1!J6,seed2!J6,seed3!J6,seed4!J6,seed5!J6,seed6!J6,seed7!J6,seed8!J6,seed9!J6,seed10!J6),4)</f>
        <v>14.7773</v>
      </c>
      <c r="L6" s="1">
        <v>0.2</v>
      </c>
      <c r="M6" s="1">
        <f>ROUND(AVERAGE(seed6!C6,seed7!C6,seed8!C6,seed9!C6,seed10!C6),4)</f>
        <v>13.322699999999999</v>
      </c>
      <c r="N6" s="1">
        <f>ROUND(AVERAGE(seed6!D6,seed7!D6,seed8!D6,seed9!D6,seed10!D6),4)</f>
        <v>13.260999999999999</v>
      </c>
      <c r="O6" s="1">
        <f>ROUND(AVERAGE(seed6!E6,seed7!E6,seed8!E6,seed9!E6,seed10!E6),4)</f>
        <v>13.2928</v>
      </c>
      <c r="P6" s="1"/>
      <c r="Q6" s="1">
        <v>0.2</v>
      </c>
      <c r="R6" s="1">
        <f>ROUND(AVERAGE(seed6!H6,seed7!H6,seed8!H6,seed9!H6,seed10!H6),4)</f>
        <v>13.013999999999999</v>
      </c>
      <c r="S6" s="1">
        <f>ROUND(AVERAGE(seed6!I6,seed7!I6,seed8!I6,seed9!I6,seed10!I6),4)</f>
        <v>15.636200000000001</v>
      </c>
      <c r="T6" s="1">
        <f>ROUND(AVERAGE(seed6!J6,seed7!J6,seed8!J6,seed9!J6,seed10!J6),4)</f>
        <v>14.1943</v>
      </c>
    </row>
    <row r="7" spans="1:20">
      <c r="B7" s="1">
        <v>0.3</v>
      </c>
      <c r="C7" s="1">
        <f>ROUND(AVERAGE(seed1!C7,seed2!C7,seed3!C7,seed4!C7,seed5!C7,seed6!C7,seed7!C7,seed8!C7,seed9!C7,seed10!C7),4)</f>
        <v>14.2692</v>
      </c>
      <c r="D7" s="1">
        <f>ROUND(AVERAGE(seed1!D7,seed2!D7,seed3!D7,seed4!D7,seed5!D7,seed6!D7,seed7!D7,seed8!D7,seed9!D7,seed10!D7),4)</f>
        <v>13.929399999999999</v>
      </c>
      <c r="E7" s="1">
        <f>ROUND(AVERAGE(seed1!E7,seed2!E7,seed3!E7,seed4!E7,seed5!E7,seed6!E7,seed7!E7,seed8!E7,seed9!E7,seed10!E7),4)</f>
        <v>14.1058</v>
      </c>
      <c r="F7" s="1"/>
      <c r="G7" s="1">
        <v>0.3</v>
      </c>
      <c r="H7" s="1">
        <f>ROUND(AVERAGE(seed1!H7,seed2!H7,seed3!H7,seed4!H7,seed5!H7,seed6!H7,seed7!H7,seed8!H7,seed9!H7,seed10!H7),4)</f>
        <v>14.098800000000001</v>
      </c>
      <c r="I7" s="1">
        <f>ROUND(AVERAGE(seed1!I7,seed2!I7,seed3!I7,seed4!I7,seed5!I7,seed6!I7,seed7!I7,seed8!I7,seed9!I7,seed10!I7),4)</f>
        <v>15.9779</v>
      </c>
      <c r="J7" s="1">
        <f>ROUND(AVERAGE(seed1!J7,seed2!J7,seed3!J7,seed4!J7,seed5!J7,seed6!J7,seed7!J7,seed8!J7,seed9!J7,seed10!J7),4)</f>
        <v>14.948700000000001</v>
      </c>
      <c r="L7" s="1">
        <v>0.3</v>
      </c>
      <c r="M7" s="1">
        <f>ROUND(AVERAGE(seed6!C7,seed7!C7,seed8!C7,seed9!C7,seed10!C7),4)</f>
        <v>13.287000000000001</v>
      </c>
      <c r="N7" s="1">
        <f>ROUND(AVERAGE(seed6!D7,seed7!D7,seed8!D7,seed9!D7,seed10!D7),4)</f>
        <v>13.2357</v>
      </c>
      <c r="O7" s="1">
        <f>ROUND(AVERAGE(seed6!E7,seed7!E7,seed8!E7,seed9!E7,seed10!E7),4)</f>
        <v>13.263400000000001</v>
      </c>
      <c r="P7" s="1"/>
      <c r="Q7" s="1">
        <v>0.3</v>
      </c>
      <c r="R7" s="1">
        <f>ROUND(AVERAGE(seed6!H7,seed7!H7,seed8!H7,seed9!H7,seed10!H7),4)</f>
        <v>13.4838</v>
      </c>
      <c r="S7" s="1">
        <f>ROUND(AVERAGE(seed6!I7,seed7!I7,seed8!I7,seed9!I7,seed10!I7),4)</f>
        <v>15.9657</v>
      </c>
      <c r="T7" s="1">
        <f>ROUND(AVERAGE(seed6!J7,seed7!J7,seed8!J7,seed9!J7,seed10!J7),4)</f>
        <v>14.5817</v>
      </c>
    </row>
    <row r="8" spans="1:20">
      <c r="B8" s="1">
        <v>0.4</v>
      </c>
      <c r="C8" s="1">
        <f>ROUND(AVERAGE(seed1!C8,seed2!C8,seed3!C8,seed4!C8,seed5!C8,seed6!C8,seed7!C8,seed8!C8,seed9!C8,seed10!C8),4)</f>
        <v>13.991899999999999</v>
      </c>
      <c r="D8" s="1">
        <f>ROUND(AVERAGE(seed1!D8,seed2!D8,seed3!D8,seed4!D8,seed5!D8,seed6!D8,seed7!D8,seed8!D8,seed9!D8,seed10!D8),4)</f>
        <v>14.418200000000001</v>
      </c>
      <c r="E8" s="1">
        <f>ROUND(AVERAGE(seed1!E8,seed2!E8,seed3!E8,seed4!E8,seed5!E8,seed6!E8,seed7!E8,seed8!E8,seed9!E8,seed10!E8),4)</f>
        <v>14.184699999999999</v>
      </c>
      <c r="F8" s="1"/>
      <c r="G8" s="1">
        <v>0.4</v>
      </c>
      <c r="H8" s="1">
        <f>ROUND(AVERAGE(seed1!H8,seed2!H8,seed3!H8,seed4!H8,seed5!H8,seed6!H8,seed7!H8,seed8!H8,seed9!H8,seed10!H8),4)</f>
        <v>12.993600000000001</v>
      </c>
      <c r="I8" s="1">
        <f>ROUND(AVERAGE(seed1!I8,seed2!I8,seed3!I8,seed4!I8,seed5!I8,seed6!I8,seed7!I8,seed8!I8,seed9!I8,seed10!I8),4)</f>
        <v>16.382899999999999</v>
      </c>
      <c r="J8" s="1">
        <f>ROUND(AVERAGE(seed1!J8,seed2!J8,seed3!J8,seed4!J8,seed5!J8,seed6!J8,seed7!J8,seed8!J8,seed9!J8,seed10!J8),4)</f>
        <v>14.4899</v>
      </c>
      <c r="L8" s="1">
        <v>0.4</v>
      </c>
      <c r="M8" s="1">
        <f>ROUND(AVERAGE(seed6!C8,seed7!C8,seed8!C8,seed9!C8,seed10!C8),4)</f>
        <v>12.9002</v>
      </c>
      <c r="N8" s="1">
        <f>ROUND(AVERAGE(seed6!D8,seed7!D8,seed8!D8,seed9!D8,seed10!D8),4)</f>
        <v>13.977499999999999</v>
      </c>
      <c r="O8" s="1">
        <f>ROUND(AVERAGE(seed6!E8,seed7!E8,seed8!E8,seed9!E8,seed10!E8),4)</f>
        <v>13.399800000000001</v>
      </c>
      <c r="P8" s="1"/>
      <c r="Q8" s="1">
        <v>0.4</v>
      </c>
      <c r="R8" s="1">
        <f>ROUND(AVERAGE(seed6!H8,seed7!H8,seed8!H8,seed9!H8,seed10!H8),4)</f>
        <v>11.8568</v>
      </c>
      <c r="S8" s="1">
        <f>ROUND(AVERAGE(seed6!I8,seed7!I8,seed8!I8,seed9!I8,seed10!I8),4)</f>
        <v>16.369499999999999</v>
      </c>
      <c r="T8" s="1">
        <f>ROUND(AVERAGE(seed6!J8,seed7!J8,seed8!J8,seed9!J8,seed10!J8),4)</f>
        <v>13.803900000000001</v>
      </c>
    </row>
    <row r="9" spans="1:20">
      <c r="B9" s="1">
        <v>0.5</v>
      </c>
      <c r="C9" s="1">
        <f>ROUND(AVERAGE(seed1!C9,seed2!C9,seed3!C9,seed4!C9,seed5!C9,seed6!C9,seed7!C9,seed8!C9,seed9!C9,seed10!C9),4)</f>
        <v>14.3146</v>
      </c>
      <c r="D9" s="1">
        <f>ROUND(AVERAGE(seed1!D9,seed2!D9,seed3!D9,seed4!D9,seed5!D9,seed6!D9,seed7!D9,seed8!D9,seed9!D9,seed10!D9),4)</f>
        <v>14.891</v>
      </c>
      <c r="E9" s="1">
        <f>ROUND(AVERAGE(seed1!E9,seed2!E9,seed3!E9,seed4!E9,seed5!E9,seed6!E9,seed7!E9,seed8!E9,seed9!E9,seed10!E9),4)</f>
        <v>14.583299999999999</v>
      </c>
      <c r="F9" s="1"/>
      <c r="G9" s="1">
        <v>0.5</v>
      </c>
      <c r="H9" s="1">
        <f>ROUND(AVERAGE(seed1!H9,seed2!H9,seed3!H9,seed4!H9,seed5!H9,seed6!H9,seed7!H9,seed8!H9,seed9!H9,seed10!H9),4)</f>
        <v>11.9427</v>
      </c>
      <c r="I9" s="1">
        <f>ROUND(AVERAGE(seed1!I9,seed2!I9,seed3!I9,seed4!I9,seed5!I9,seed6!I9,seed7!I9,seed8!I9,seed9!I9,seed10!I9),4)</f>
        <v>16.596900000000002</v>
      </c>
      <c r="J9" s="1">
        <f>ROUND(AVERAGE(seed1!J9,seed2!J9,seed3!J9,seed4!J9,seed5!J9,seed6!J9,seed7!J9,seed8!J9,seed9!J9,seed10!J9),4)</f>
        <v>13.96</v>
      </c>
      <c r="L9" s="1">
        <v>0.5</v>
      </c>
      <c r="M9" s="1">
        <f>ROUND(AVERAGE(seed6!C9,seed7!C9,seed8!C9,seed9!C9,seed10!C9),4)</f>
        <v>13.409599999999999</v>
      </c>
      <c r="N9" s="1">
        <f>ROUND(AVERAGE(seed6!D9,seed7!D9,seed8!D9,seed9!D9,seed10!D9),4)</f>
        <v>14.6557</v>
      </c>
      <c r="O9" s="1">
        <f>ROUND(AVERAGE(seed6!E9,seed7!E9,seed8!E9,seed9!E9,seed10!E9),4)</f>
        <v>13.992900000000001</v>
      </c>
      <c r="P9" s="1"/>
      <c r="Q9" s="1">
        <v>0.5</v>
      </c>
      <c r="R9" s="1">
        <f>ROUND(AVERAGE(seed6!H9,seed7!H9,seed8!H9,seed9!H9,seed10!H9),4)</f>
        <v>11.2913</v>
      </c>
      <c r="S9" s="1">
        <f>ROUND(AVERAGE(seed6!I9,seed7!I9,seed8!I9,seed9!I9,seed10!I9),4)</f>
        <v>16.5733</v>
      </c>
      <c r="T9" s="1">
        <f>ROUND(AVERAGE(seed6!J9,seed7!J9,seed8!J9,seed9!J9,seed10!J9),4)</f>
        <v>13.523400000000001</v>
      </c>
    </row>
    <row r="10" spans="1:20">
      <c r="B10" s="1">
        <v>0.6</v>
      </c>
      <c r="C10" s="1">
        <f>ROUND(AVERAGE(seed1!C10,seed2!C10,seed3!C10,seed4!C10,seed5!C10,seed6!C10,seed7!C10,seed8!C10,seed9!C10,seed10!C10),4)</f>
        <v>14.068099999999999</v>
      </c>
      <c r="D10" s="1">
        <f>ROUND(AVERAGE(seed1!D10,seed2!D10,seed3!D10,seed4!D10,seed5!D10,seed6!D10,seed7!D10,seed8!D10,seed9!D10,seed10!D10),4)</f>
        <v>15.529199999999999</v>
      </c>
      <c r="E10" s="1">
        <f>ROUND(AVERAGE(seed1!E10,seed2!E10,seed3!E10,seed4!E10,seed5!E10,seed6!E10,seed7!E10,seed8!E10,seed9!E10,seed10!E10),4)</f>
        <v>14.7483</v>
      </c>
      <c r="F10" s="1"/>
      <c r="G10" s="1">
        <v>0.6</v>
      </c>
      <c r="H10" s="1">
        <f>ROUND(AVERAGE(seed1!H10,seed2!H10,seed3!H10,seed4!H10,seed5!H10,seed6!H10,seed7!H10,seed8!H10,seed9!H10,seed10!H10),4)</f>
        <v>11.766400000000001</v>
      </c>
      <c r="I10" s="1">
        <f>ROUND(AVERAGE(seed1!I10,seed2!I10,seed3!I10,seed4!I10,seed5!I10,seed6!I10,seed7!I10,seed8!I10,seed9!I10,seed10!I10),4)</f>
        <v>16.634</v>
      </c>
      <c r="J10" s="1">
        <f>ROUND(AVERAGE(seed1!J10,seed2!J10,seed3!J10,seed4!J10,seed5!J10,seed6!J10,seed7!J10,seed8!J10,seed9!J10,seed10!J10),4)</f>
        <v>13.8619</v>
      </c>
      <c r="L10" s="1">
        <v>0.6</v>
      </c>
      <c r="M10" s="1">
        <f>ROUND(AVERAGE(seed6!C10,seed7!C10,seed8!C10,seed9!C10,seed10!C10),4)</f>
        <v>13.214700000000001</v>
      </c>
      <c r="N10" s="1">
        <f>ROUND(AVERAGE(seed6!D10,seed7!D10,seed8!D10,seed9!D10,seed10!D10),4)</f>
        <v>15.1952</v>
      </c>
      <c r="O10" s="1">
        <f>ROUND(AVERAGE(seed6!E10,seed7!E10,seed8!E10,seed9!E10,seed10!E10),4)</f>
        <v>14.1218</v>
      </c>
      <c r="P10" s="1"/>
      <c r="Q10" s="1">
        <v>0.6</v>
      </c>
      <c r="R10" s="1">
        <f>ROUND(AVERAGE(seed6!H10,seed7!H10,seed8!H10,seed9!H10,seed10!H10),4)</f>
        <v>11.2163</v>
      </c>
      <c r="S10" s="1">
        <f>ROUND(AVERAGE(seed6!I10,seed7!I10,seed8!I10,seed9!I10,seed10!I10),4)</f>
        <v>16.6082</v>
      </c>
      <c r="T10" s="1">
        <f>ROUND(AVERAGE(seed6!J10,seed7!J10,seed8!J10,seed9!J10,seed10!J10),4)</f>
        <v>13.4796</v>
      </c>
    </row>
    <row r="11" spans="1:20">
      <c r="B11" s="1">
        <v>0.7</v>
      </c>
      <c r="C11" s="1">
        <f>ROUND(AVERAGE(seed1!C11,seed2!C11,seed3!C11,seed4!C11,seed5!C11,seed6!C11,seed7!C11,seed8!C11,seed9!C11,seed10!C11),4)</f>
        <v>13.334899999999999</v>
      </c>
      <c r="D11" s="1">
        <f>ROUND(AVERAGE(seed1!D11,seed2!D11,seed3!D11,seed4!D11,seed5!D11,seed6!D11,seed7!D11,seed8!D11,seed9!D11,seed10!D11),4)</f>
        <v>16.337599999999998</v>
      </c>
      <c r="E11" s="1">
        <f>ROUND(AVERAGE(seed1!E11,seed2!E11,seed3!E11,seed4!E11,seed5!E11,seed6!E11,seed7!E11,seed8!E11,seed9!E11,seed10!E11),4)</f>
        <v>14.683199999999999</v>
      </c>
      <c r="F11" s="1"/>
      <c r="G11" s="1">
        <v>0.7</v>
      </c>
      <c r="H11" s="1">
        <f>ROUND(AVERAGE(seed1!H11,seed2!H11,seed3!H11,seed4!H11,seed5!H11,seed6!H11,seed7!H11,seed8!H11,seed9!H11,seed10!H11),4)</f>
        <v>11.7323</v>
      </c>
      <c r="I11" s="1">
        <f>ROUND(AVERAGE(seed1!I11,seed2!I11,seed3!I11,seed4!I11,seed5!I11,seed6!I11,seed7!I11,seed8!I11,seed9!I11,seed10!I11),4)</f>
        <v>16.656300000000002</v>
      </c>
      <c r="J11" s="1">
        <f>ROUND(AVERAGE(seed1!J11,seed2!J11,seed3!J11,seed4!J11,seed5!J11,seed6!J11,seed7!J11,seed8!J11,seed9!J11,seed10!J11),4)</f>
        <v>13.852399999999999</v>
      </c>
      <c r="L11" s="1">
        <v>0.7</v>
      </c>
      <c r="M11" s="1">
        <f>ROUND(AVERAGE(seed6!C11,seed7!C11,seed8!C11,seed9!C11,seed10!C11),4)</f>
        <v>12.414300000000001</v>
      </c>
      <c r="N11" s="1">
        <f>ROUND(AVERAGE(seed6!D11,seed7!D11,seed8!D11,seed9!D11,seed10!D11),4)</f>
        <v>16.377400000000002</v>
      </c>
      <c r="O11" s="1">
        <f>ROUND(AVERAGE(seed6!E11,seed7!E11,seed8!E11,seed9!E11,seed10!E11),4)</f>
        <v>14.1585</v>
      </c>
      <c r="P11" s="1"/>
      <c r="Q11" s="1">
        <v>0.7</v>
      </c>
      <c r="R11" s="1">
        <f>ROUND(AVERAGE(seed6!H11,seed7!H11,seed8!H11,seed9!H11,seed10!H11),4)</f>
        <v>11.1784</v>
      </c>
      <c r="S11" s="1">
        <f>ROUND(AVERAGE(seed6!I11,seed7!I11,seed8!I11,seed9!I11,seed10!I11),4)</f>
        <v>16.642499999999998</v>
      </c>
      <c r="T11" s="1">
        <f>ROUND(AVERAGE(seed6!J11,seed7!J11,seed8!J11,seed9!J11,seed10!J11),4)</f>
        <v>13.473599999999999</v>
      </c>
    </row>
    <row r="12" spans="1:20">
      <c r="B12" s="1">
        <v>0.8</v>
      </c>
      <c r="C12" s="1">
        <f>ROUND(AVERAGE(seed1!C12,seed2!C12,seed3!C12,seed4!C12,seed5!C12,seed6!C12,seed7!C12,seed8!C12,seed9!C12,seed10!C12),4)</f>
        <v>12.2379</v>
      </c>
      <c r="D12" s="1">
        <f>ROUND(AVERAGE(seed1!D12,seed2!D12,seed3!D12,seed4!D12,seed5!D12,seed6!D12,seed7!D12,seed8!D12,seed9!D12,seed10!D12),4)</f>
        <v>16.578600000000002</v>
      </c>
      <c r="E12" s="1">
        <f>ROUND(AVERAGE(seed1!E12,seed2!E12,seed3!E12,seed4!E12,seed5!E12,seed6!E12,seed7!E12,seed8!E12,seed9!E12,seed10!E12),4)</f>
        <v>14.123699999999999</v>
      </c>
      <c r="F12" s="1"/>
      <c r="G12" s="1">
        <v>0.8</v>
      </c>
      <c r="H12" s="1">
        <f>ROUND(AVERAGE(seed1!H12,seed2!H12,seed3!H12,seed4!H12,seed5!H12,seed6!H12,seed7!H12,seed8!H12,seed9!H12,seed10!H12),4)</f>
        <v>11.710100000000001</v>
      </c>
      <c r="I12" s="1">
        <f>ROUND(AVERAGE(seed1!I12,seed2!I12,seed3!I12,seed4!I12,seed5!I12,seed6!I12,seed7!I12,seed8!I12,seed9!I12,seed10!I12),4)</f>
        <v>26.67</v>
      </c>
      <c r="J12" s="1">
        <f>ROUND(AVERAGE(seed1!J12,seed2!J12,seed3!J12,seed4!J12,seed5!J12,seed6!J12,seed7!J12,seed8!J12,seed9!J12,seed10!J12),4)</f>
        <v>13.8446</v>
      </c>
      <c r="L12" s="1">
        <v>0.8</v>
      </c>
      <c r="M12" s="1">
        <f>ROUND(AVERAGE(seed6!C12,seed7!C12,seed8!C12,seed9!C12,seed10!C12),4)</f>
        <v>11.3697</v>
      </c>
      <c r="N12" s="1">
        <f>ROUND(AVERAGE(seed6!D12,seed7!D12,seed8!D12,seed9!D12,seed10!D12),4)</f>
        <v>16.534300000000002</v>
      </c>
      <c r="O12" s="1">
        <f>ROUND(AVERAGE(seed6!E12,seed7!E12,seed8!E12,seed9!E12,seed10!E12),4)</f>
        <v>13.557600000000001</v>
      </c>
      <c r="P12" s="1"/>
      <c r="Q12" s="1">
        <v>0.8</v>
      </c>
      <c r="R12" s="1">
        <f>ROUND(AVERAGE(seed6!H12,seed7!H12,seed8!H12,seed9!H12,seed10!H12),4)</f>
        <v>11.134</v>
      </c>
      <c r="S12" s="1">
        <f>ROUND(AVERAGE(seed6!I12,seed7!I12,seed8!I12,seed9!I12,seed10!I12),4)</f>
        <v>16.670000000000002</v>
      </c>
      <c r="T12" s="1">
        <f>ROUND(AVERAGE(seed6!J12,seed7!J12,seed8!J12,seed9!J12,seed10!J12),4)</f>
        <v>13.4579</v>
      </c>
    </row>
    <row r="13" spans="1:20">
      <c r="B13" s="1">
        <v>0.9</v>
      </c>
      <c r="C13" s="1">
        <f>ROUND(AVERAGE(seed1!C13,seed2!C13,seed3!C13,seed4!C13,seed5!C13,seed6!C13,seed7!C13,seed8!C13,seed9!C13,seed10!C13),4)</f>
        <v>11.7056</v>
      </c>
      <c r="D13" s="1">
        <f>ROUND(AVERAGE(seed1!D13,seed2!D13,seed3!D13,seed4!D13,seed5!D13,seed6!D13,seed7!D13,seed8!D13,seed9!D13,seed10!D13),4)</f>
        <v>16.669599999999999</v>
      </c>
      <c r="E13" s="1">
        <f>ROUND(AVERAGE(seed1!E13,seed2!E13,seed3!E13,seed4!E13,seed5!E13,seed6!E13,seed7!E13,seed8!E13,seed9!E13,seed10!E13),4)</f>
        <v>13.841799999999999</v>
      </c>
      <c r="F13" s="1"/>
      <c r="G13" s="1">
        <v>0.9</v>
      </c>
      <c r="H13" s="1">
        <f>ROUND(AVERAGE(seed1!H13,seed2!H13,seed3!H13,seed4!H13,seed5!H13,seed6!H13,seed7!H13,seed8!H13,seed9!H13,seed10!H13),4)</f>
        <v>11.710100000000001</v>
      </c>
      <c r="I13" s="1">
        <f>ROUND(AVERAGE(seed1!I13,seed2!I13,seed3!I13,seed4!I13,seed5!I13,seed6!I13,seed7!I13,seed8!I13,seed9!I13,seed10!I13),4)</f>
        <v>16.670000000000002</v>
      </c>
      <c r="J13" s="1">
        <f>ROUND(AVERAGE(seed1!J13,seed2!J13,seed3!J13,seed4!J13,seed5!J13,seed6!J13,seed7!J13,seed8!J13,seed9!J13,seed10!J13),4)</f>
        <v>13.8446</v>
      </c>
      <c r="L13" s="1">
        <v>0.9</v>
      </c>
      <c r="M13" s="1">
        <f>ROUND(AVERAGE(seed6!C13,seed7!C13,seed8!C13,seed9!C13,seed10!C13),4)</f>
        <v>11.1251</v>
      </c>
      <c r="N13" s="1">
        <f>ROUND(AVERAGE(seed6!D13,seed7!D13,seed8!D13,seed9!D13,seed10!D13),4)</f>
        <v>16.6691</v>
      </c>
      <c r="O13" s="1">
        <f>ROUND(AVERAGE(seed6!E13,seed7!E13,seed8!E13,seed9!E13,seed10!E13),4)</f>
        <v>13.452299999999999</v>
      </c>
      <c r="P13" s="1"/>
      <c r="Q13" s="1">
        <v>0.9</v>
      </c>
      <c r="R13" s="1">
        <f>ROUND(AVERAGE(seed6!H13,seed7!H13,seed8!H13,seed9!H13,seed10!H13),4)</f>
        <v>11.134</v>
      </c>
      <c r="S13" s="1">
        <f>ROUND(AVERAGE(seed6!I13,seed7!I13,seed8!I13,seed9!I13,seed10!I13),4)</f>
        <v>16.670000000000002</v>
      </c>
      <c r="T13" s="1">
        <f>ROUND(AVERAGE(seed6!J13,seed7!J13,seed8!J13,seed9!J13,seed10!J13),4)</f>
        <v>13.4579</v>
      </c>
    </row>
    <row r="14" spans="1:20">
      <c r="B14" s="1">
        <v>1</v>
      </c>
      <c r="C14" s="1">
        <f>ROUND(AVERAGE(seed1!C14,seed2!C14,seed3!C14,seed4!C14,seed5!C14,seed6!C14,seed7!C14,seed8!C14,seed9!C14,seed10!C14),4)</f>
        <v>11.710100000000001</v>
      </c>
      <c r="D14" s="1">
        <f>ROUND(AVERAGE(seed1!D14,seed2!D14,seed3!D14,seed4!D14,seed5!D14,seed6!D14,seed7!D14,seed8!D14,seed9!D14,seed10!D14),4)</f>
        <v>16.670000000000002</v>
      </c>
      <c r="E14" s="1">
        <f>ROUND(AVERAGE(seed1!E14,seed2!E14,seed3!E14,seed4!E14,seed5!E14,seed6!E14,seed7!E14,seed8!E14,seed9!E14,seed10!E14),4)</f>
        <v>13.8446</v>
      </c>
      <c r="F14" s="1"/>
      <c r="G14" s="1">
        <v>1</v>
      </c>
      <c r="H14" s="1">
        <f>ROUND(AVERAGE(seed1!H14,seed2!H14,seed3!H14,seed4!H14,seed5!H14,seed6!H14,seed7!H14,seed8!H14,seed9!H14,seed10!H14),4)</f>
        <v>11.710100000000001</v>
      </c>
      <c r="I14" s="1">
        <f>ROUND(AVERAGE(seed1!I14,seed2!I14,seed3!I14,seed4!I14,seed5!I14,seed6!I14,seed7!I14,seed8!I14,seed9!I14,seed10!I14),4)</f>
        <v>16.670000000000002</v>
      </c>
      <c r="J14" s="1">
        <f>ROUND(AVERAGE(seed1!J14,seed2!J14,seed3!J14,seed4!J14,seed5!J14,seed6!J14,seed7!J14,seed8!J14,seed9!J14,seed10!J14),4)</f>
        <v>13.8446</v>
      </c>
      <c r="L14" s="1">
        <v>1</v>
      </c>
      <c r="M14" s="1">
        <f>ROUND(AVERAGE(seed6!C14,seed7!C14,seed8!C14,seed9!C14,seed10!C14),4)</f>
        <v>11.134</v>
      </c>
      <c r="N14" s="1">
        <f>ROUND(AVERAGE(seed6!D14,seed7!D14,seed8!D14,seed9!D14,seed10!D14),4)</f>
        <v>16.670000000000002</v>
      </c>
      <c r="O14" s="1">
        <f>ROUND(AVERAGE(seed6!E14,seed7!E14,seed8!E14,seed9!E14,seed10!E14),4)</f>
        <v>13.4579</v>
      </c>
      <c r="P14" s="1"/>
      <c r="Q14" s="1">
        <v>1</v>
      </c>
      <c r="R14" s="1">
        <f>ROUND(AVERAGE(seed6!H14,seed7!H14,seed8!H14,seed9!H14,seed10!H14),4)</f>
        <v>11.134</v>
      </c>
      <c r="S14" s="1">
        <f>ROUND(AVERAGE(seed6!I14,seed7!I14,seed8!I14,seed9!I14,seed10!I14),4)</f>
        <v>16.670000000000002</v>
      </c>
      <c r="T14" s="1">
        <f>ROUND(AVERAGE(seed6!J14,seed7!J14,seed8!J14,seed9!J14,seed10!J14),4)</f>
        <v>13.4579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seed1</vt:lpstr>
      <vt:lpstr>seed2</vt:lpstr>
      <vt:lpstr>seed3</vt:lpstr>
      <vt:lpstr>seed4</vt:lpstr>
      <vt:lpstr>seed5</vt:lpstr>
      <vt:lpstr>average1-5</vt:lpstr>
      <vt:lpstr>seed6</vt:lpstr>
      <vt:lpstr>seed7</vt:lpstr>
      <vt:lpstr>seed8</vt:lpstr>
      <vt:lpstr>seed9</vt:lpstr>
      <vt:lpstr>seed10</vt:lpstr>
      <vt:lpstr>average1-10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2023-11-28T05:48:09Z</dcterms:created>
  <dcterms:modified xsi:type="dcterms:W3CDTF">2023-12-08T05:18:00Z</dcterms:modified>
</cp:coreProperties>
</file>