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6A871F5F-F224-7F4E-9646-2A34CED60B4B}" xr6:coauthVersionLast="47" xr6:coauthVersionMax="47" xr10:uidLastSave="{00000000-0000-0000-0000-000000000000}"/>
  <bookViews>
    <workbookView xWindow="0" yWindow="0" windowWidth="28800" windowHeight="18000" firstSheet="4" activeTab="18" xr2:uid="{CAC5BBBE-A6B5-E140-8FBE-C9DC53CD08A6}"/>
  </bookViews>
  <sheets>
    <sheet name="範囲100_seed1" sheetId="12" r:id="rId1"/>
    <sheet name="範囲150_seed1" sheetId="13" r:id="rId2"/>
    <sheet name="範囲200_seed1" sheetId="1" r:id="rId3"/>
    <sheet name="seed1" sheetId="14" r:id="rId4"/>
    <sheet name="seed2" sheetId="2" r:id="rId5"/>
    <sheet name="seed3" sheetId="3" r:id="rId6"/>
    <sheet name="seed4" sheetId="4" r:id="rId7"/>
    <sheet name="seed5" sheetId="5" r:id="rId8"/>
    <sheet name="average1-5" sheetId="6" r:id="rId9"/>
    <sheet name="seed7" sheetId="7" r:id="rId10"/>
    <sheet name="seed8" sheetId="8" r:id="rId11"/>
    <sheet name="seed9" sheetId="9" r:id="rId12"/>
    <sheet name="seed10" sheetId="10" r:id="rId13"/>
    <sheet name="average1-10" sheetId="11" r:id="rId14"/>
    <sheet name="seed11" sheetId="15" r:id="rId15"/>
    <sheet name="seed12" sheetId="16" r:id="rId16"/>
    <sheet name="seed13" sheetId="17" r:id="rId17"/>
    <sheet name="seed14" sheetId="18" r:id="rId18"/>
    <sheet name="seed15" sheetId="19" r:id="rId19"/>
    <sheet name="average1-15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0" l="1"/>
  <c r="M16" i="20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I20" i="11"/>
  <c r="J20" i="11"/>
  <c r="C21" i="11"/>
  <c r="D21" i="11"/>
  <c r="E21" i="11"/>
  <c r="C22" i="11"/>
  <c r="D22" i="11"/>
  <c r="E22" i="11"/>
  <c r="C23" i="11"/>
  <c r="D23" i="11"/>
  <c r="E23" i="11"/>
  <c r="C24" i="11"/>
  <c r="D24" i="11"/>
  <c r="E24" i="11"/>
  <c r="C25" i="11"/>
  <c r="D25" i="11"/>
  <c r="E25" i="11"/>
  <c r="C26" i="11"/>
  <c r="D26" i="11"/>
  <c r="E26" i="11"/>
  <c r="C27" i="11"/>
  <c r="D27" i="11"/>
  <c r="E27" i="11"/>
  <c r="C28" i="11"/>
  <c r="D28" i="11"/>
  <c r="E28" i="11"/>
  <c r="C29" i="11"/>
  <c r="D29" i="11"/>
  <c r="E29" i="11"/>
  <c r="C30" i="11"/>
  <c r="D30" i="11"/>
  <c r="E30" i="11"/>
  <c r="D20" i="11"/>
  <c r="E20" i="11"/>
  <c r="H20" i="11"/>
  <c r="C20" i="11"/>
  <c r="N5" i="20"/>
  <c r="N6" i="20"/>
  <c r="N7" i="20"/>
  <c r="N8" i="20"/>
  <c r="N9" i="20"/>
  <c r="N10" i="20"/>
  <c r="N11" i="20"/>
  <c r="N12" i="20"/>
  <c r="N13" i="20"/>
  <c r="N14" i="20"/>
  <c r="N4" i="20"/>
  <c r="M5" i="20"/>
  <c r="M6" i="20"/>
  <c r="M7" i="20"/>
  <c r="M8" i="20"/>
  <c r="M9" i="20"/>
  <c r="M10" i="20"/>
  <c r="M11" i="20"/>
  <c r="M12" i="20"/>
  <c r="M13" i="20"/>
  <c r="M14" i="20"/>
  <c r="M4" i="20"/>
  <c r="C4" i="20"/>
  <c r="C5" i="20"/>
  <c r="D5" i="20"/>
  <c r="E5" i="20"/>
  <c r="C6" i="20"/>
  <c r="D6" i="20"/>
  <c r="E6" i="20"/>
  <c r="C7" i="20"/>
  <c r="D7" i="20"/>
  <c r="E7" i="20"/>
  <c r="C8" i="20"/>
  <c r="D8" i="20"/>
  <c r="E8" i="20"/>
  <c r="C9" i="20"/>
  <c r="D9" i="20"/>
  <c r="E9" i="20"/>
  <c r="C10" i="20"/>
  <c r="D10" i="20"/>
  <c r="E10" i="20"/>
  <c r="C11" i="20"/>
  <c r="D11" i="20"/>
  <c r="E11" i="20"/>
  <c r="C12" i="20"/>
  <c r="D12" i="20"/>
  <c r="E12" i="20"/>
  <c r="C13" i="20"/>
  <c r="D13" i="20"/>
  <c r="E13" i="20"/>
  <c r="C14" i="20"/>
  <c r="D14" i="20"/>
  <c r="E14" i="20"/>
  <c r="D4" i="20"/>
  <c r="E4" i="20"/>
  <c r="I21" i="6"/>
  <c r="J21" i="6"/>
  <c r="H21" i="6"/>
  <c r="C5" i="11"/>
  <c r="D5" i="11"/>
  <c r="E5" i="11"/>
  <c r="C6" i="11"/>
  <c r="D6" i="11"/>
  <c r="E6" i="11"/>
  <c r="C7" i="11"/>
  <c r="D7" i="11"/>
  <c r="E7" i="11"/>
  <c r="C8" i="11"/>
  <c r="D8" i="11"/>
  <c r="E8" i="11"/>
  <c r="C9" i="11"/>
  <c r="D9" i="11"/>
  <c r="E9" i="11"/>
  <c r="C10" i="11"/>
  <c r="D10" i="11"/>
  <c r="E10" i="11"/>
  <c r="C11" i="11"/>
  <c r="D11" i="11"/>
  <c r="E11" i="11"/>
  <c r="C12" i="11"/>
  <c r="D12" i="11"/>
  <c r="E12" i="11"/>
  <c r="C13" i="11"/>
  <c r="D13" i="11"/>
  <c r="E13" i="11"/>
  <c r="C14" i="11"/>
  <c r="D14" i="11"/>
  <c r="E14" i="11"/>
  <c r="D4" i="11"/>
  <c r="E4" i="11"/>
  <c r="C4" i="11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I4" i="6"/>
  <c r="J4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I20" i="6"/>
  <c r="J20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D20" i="6"/>
  <c r="E20" i="6"/>
  <c r="H20" i="6"/>
  <c r="C20" i="6"/>
  <c r="H4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D4" i="6"/>
  <c r="E4" i="6"/>
  <c r="C4" i="6"/>
  <c r="R13" i="1"/>
  <c r="R14" i="1"/>
  <c r="R5" i="1"/>
  <c r="R6" i="1"/>
  <c r="R7" i="1"/>
  <c r="R8" i="1"/>
  <c r="R9" i="1"/>
  <c r="R10" i="1"/>
  <c r="R11" i="1"/>
  <c r="R12" i="1"/>
  <c r="R4" i="1"/>
  <c r="V5" i="1"/>
  <c r="V6" i="1"/>
  <c r="V7" i="1"/>
  <c r="V8" i="1"/>
  <c r="V9" i="1"/>
  <c r="V10" i="1"/>
  <c r="V11" i="1"/>
  <c r="V12" i="1"/>
  <c r="V13" i="1"/>
  <c r="V14" i="1"/>
  <c r="V4" i="1"/>
  <c r="W5" i="1"/>
  <c r="W6" i="1"/>
  <c r="W7" i="1"/>
  <c r="W8" i="1"/>
  <c r="W9" i="1"/>
  <c r="W10" i="1"/>
  <c r="W11" i="1"/>
  <c r="W12" i="1"/>
  <c r="W13" i="1"/>
  <c r="W14" i="1"/>
  <c r="W4" i="1"/>
  <c r="P5" i="1"/>
  <c r="P6" i="1"/>
  <c r="P7" i="1"/>
  <c r="P8" i="1"/>
  <c r="P9" i="1"/>
  <c r="P10" i="1"/>
  <c r="P11" i="1"/>
  <c r="P12" i="1"/>
  <c r="P13" i="1"/>
  <c r="P14" i="1"/>
  <c r="P4" i="1"/>
  <c r="Q5" i="1"/>
  <c r="Q6" i="1"/>
  <c r="Q7" i="1"/>
  <c r="Q8" i="1"/>
  <c r="Q9" i="1"/>
  <c r="Q10" i="1"/>
  <c r="Q11" i="1"/>
  <c r="Q12" i="1"/>
  <c r="Q13" i="1"/>
  <c r="Q14" i="1"/>
  <c r="Q4" i="1"/>
</calcChain>
</file>

<file path=xl/sharedStrings.xml><?xml version="1.0" encoding="utf-8"?>
<sst xmlns="http://schemas.openxmlformats.org/spreadsheetml/2006/main" count="433" uniqueCount="34">
  <si>
    <t>α</t>
  </si>
  <si>
    <t>vehicle0</t>
  </si>
  <si>
    <t>vehicle1</t>
  </si>
  <si>
    <t>all</t>
  </si>
  <si>
    <t>1000/1000</t>
    <phoneticPr fontId="1"/>
  </si>
  <si>
    <t>750/750</t>
    <phoneticPr fontId="1"/>
  </si>
  <si>
    <t>1250/750</t>
    <phoneticPr fontId="1"/>
  </si>
  <si>
    <t>750/1250</t>
    <phoneticPr fontId="1"/>
  </si>
  <si>
    <t>hpc</t>
    <phoneticPr fontId="1"/>
  </si>
  <si>
    <t>mac</t>
    <phoneticPr fontId="1"/>
  </si>
  <si>
    <t>α</t>
    <phoneticPr fontId="1"/>
  </si>
  <si>
    <t>範囲内全て</t>
    <rPh sb="0" eb="4">
      <t>ハンイ</t>
    </rPh>
    <phoneticPr fontId="1"/>
  </si>
  <si>
    <t>後方200m</t>
    <rPh sb="0" eb="2">
      <t>コウホウ</t>
    </rPh>
    <phoneticPr fontId="1"/>
  </si>
  <si>
    <t>後方100m</t>
    <rPh sb="0" eb="2">
      <t>コウホウ</t>
    </rPh>
    <phoneticPr fontId="1"/>
  </si>
  <si>
    <t>1000/1000</t>
  </si>
  <si>
    <t>後方150m</t>
    <rPh sb="0" eb="2">
      <t>コウホウ</t>
    </rPh>
    <phoneticPr fontId="1"/>
  </si>
  <si>
    <t>合流200m手前（後続100）</t>
    <rPh sb="9" eb="11">
      <t>コウゾク</t>
    </rPh>
    <phoneticPr fontId="1"/>
  </si>
  <si>
    <t>合流200m手前（後続150）</t>
    <rPh sb="9" eb="11">
      <t>コウゾク</t>
    </rPh>
    <phoneticPr fontId="1"/>
  </si>
  <si>
    <t>合流200m手前（後続200）</t>
    <rPh sb="9" eb="11">
      <t>コウゾク</t>
    </rPh>
    <phoneticPr fontId="1"/>
  </si>
  <si>
    <t>(12/15)</t>
    <phoneticPr fontId="1"/>
  </si>
  <si>
    <t>合流200m手前（後続120）</t>
  </si>
  <si>
    <t>合流200m手前（後続120）</t>
    <rPh sb="9" eb="11">
      <t>コウゾク</t>
    </rPh>
    <phoneticPr fontId="1"/>
  </si>
  <si>
    <t>120m後方考慮</t>
    <rPh sb="4" eb="6">
      <t>コウホ</t>
    </rPh>
    <rPh sb="6" eb="8">
      <t>コウリョ</t>
    </rPh>
    <phoneticPr fontId="1"/>
  </si>
  <si>
    <t>200m後方考慮</t>
    <rPh sb="4" eb="6">
      <t>コウホ</t>
    </rPh>
    <rPh sb="6" eb="8">
      <t>コウリョ</t>
    </rPh>
    <phoneticPr fontId="1"/>
  </si>
  <si>
    <t>0.2の時、vehicle12が本線上で停止</t>
    <rPh sb="16" eb="19">
      <t>ホンセn</t>
    </rPh>
    <phoneticPr fontId="1"/>
  </si>
  <si>
    <t>veh18が低速走行</t>
    <rPh sb="6" eb="10">
      <t>テイソ</t>
    </rPh>
    <phoneticPr fontId="1"/>
  </si>
  <si>
    <t>veh17低速走行</t>
    <rPh sb="5" eb="9">
      <t>テイソクス</t>
    </rPh>
    <phoneticPr fontId="1"/>
  </si>
  <si>
    <t>後方全て考慮</t>
    <rPh sb="0" eb="2">
      <t>コウホ</t>
    </rPh>
    <rPh sb="2" eb="3">
      <t>スベテ</t>
    </rPh>
    <rPh sb="4" eb="6">
      <t>コウリョ</t>
    </rPh>
    <phoneticPr fontId="1"/>
  </si>
  <si>
    <t>120m</t>
    <phoneticPr fontId="1"/>
  </si>
  <si>
    <t>後方全て</t>
    <rPh sb="0" eb="3">
      <t>コウホウ</t>
    </rPh>
    <phoneticPr fontId="1"/>
  </si>
  <si>
    <t>後方120m考慮</t>
    <rPh sb="0" eb="2">
      <t>コウホ</t>
    </rPh>
    <rPh sb="6" eb="8">
      <t>コウリョ</t>
    </rPh>
    <phoneticPr fontId="1"/>
  </si>
  <si>
    <t>veh15低速</t>
    <rPh sb="5" eb="7">
      <t>テイソク</t>
    </rPh>
    <phoneticPr fontId="1"/>
  </si>
  <si>
    <t>veh9低速</t>
    <rPh sb="4" eb="6">
      <t>テイソク</t>
    </rPh>
    <phoneticPr fontId="1"/>
  </si>
  <si>
    <t>結果が良いseedの数</t>
    <rPh sb="0" eb="2">
      <t>ケッカ</t>
    </rPh>
    <rPh sb="3" eb="4">
      <t>ヨイ</t>
    </rPh>
    <rPh sb="10" eb="11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</si>
</sst>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00B050"/>
      <name val="游ゴシック"/>
      <family val="3"/>
      <charset val="128"/>
      <scheme val="minor"/>
    </font>
    <font>
      <sz val="12"/>
      <color rgb="FFFFC000"/>
      <name val="游ゴシック"/>
      <family val="3"/>
      <charset val="128"/>
      <scheme val="minor"/>
    </font>
    <font>
      <sz val="12"/>
      <color rgb="FF92D05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図：後続考慮範囲の違いに対する平均速度の変化</a:t>
            </a:r>
          </a:p>
        </c:rich>
      </c:tx>
      <c:layout>
        <c:manualLayout>
          <c:xMode val="edge"/>
          <c:yMode val="edge"/>
          <c:x val="0.14722222222222223"/>
          <c:y val="0.865740740740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6.9768518518518521E-2"/>
          <c:w val="0.83762729658792656"/>
          <c:h val="0.6326461796442111"/>
        </c:manualLayout>
      </c:layout>
      <c:scatterChart>
        <c:scatterStyle val="lineMarker"/>
        <c:varyColors val="0"/>
        <c:ser>
          <c:idx val="0"/>
          <c:order val="0"/>
          <c:tx>
            <c:strRef>
              <c:f>範囲200_seed1!$O$3</c:f>
              <c:strCache>
                <c:ptCount val="1"/>
                <c:pt idx="0">
                  <c:v>範囲内全て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範囲200_seed1!$N$4:$N$14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範囲200_seed1!$O$4:$O$14</c:f>
              <c:numCache>
                <c:formatCode>General</c:formatCode>
                <c:ptCount val="11"/>
                <c:pt idx="0">
                  <c:v>12.049099999999999</c:v>
                </c:pt>
                <c:pt idx="1">
                  <c:v>12.049099999999999</c:v>
                </c:pt>
                <c:pt idx="2">
                  <c:v>12.049099999999999</c:v>
                </c:pt>
                <c:pt idx="3">
                  <c:v>12.049099999999999</c:v>
                </c:pt>
                <c:pt idx="4">
                  <c:v>12.049099999999999</c:v>
                </c:pt>
                <c:pt idx="5">
                  <c:v>13.3705</c:v>
                </c:pt>
                <c:pt idx="6">
                  <c:v>13.182600000000001</c:v>
                </c:pt>
                <c:pt idx="7">
                  <c:v>12.539899999999999</c:v>
                </c:pt>
                <c:pt idx="8">
                  <c:v>13.283899999999999</c:v>
                </c:pt>
                <c:pt idx="9">
                  <c:v>13.2372</c:v>
                </c:pt>
                <c:pt idx="10">
                  <c:v>13.2372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32-844D-9B00-0AB719AB6D5C}"/>
            </c:ext>
          </c:extLst>
        </c:ser>
        <c:ser>
          <c:idx val="1"/>
          <c:order val="1"/>
          <c:tx>
            <c:strRef>
              <c:f>範囲200_seed1!$P$3</c:f>
              <c:strCache>
                <c:ptCount val="1"/>
                <c:pt idx="0">
                  <c:v>後方200m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範囲200_seed1!$N$4:$N$14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範囲200_seed1!$P$4:$P$14</c:f>
              <c:numCache>
                <c:formatCode>General</c:formatCode>
                <c:ptCount val="11"/>
                <c:pt idx="0">
                  <c:v>12.049099999999999</c:v>
                </c:pt>
                <c:pt idx="1">
                  <c:v>12.049099999999999</c:v>
                </c:pt>
                <c:pt idx="2">
                  <c:v>12.049099999999999</c:v>
                </c:pt>
                <c:pt idx="3">
                  <c:v>12.049099999999999</c:v>
                </c:pt>
                <c:pt idx="4">
                  <c:v>12.8948</c:v>
                </c:pt>
                <c:pt idx="5">
                  <c:v>12.654500000000001</c:v>
                </c:pt>
                <c:pt idx="6">
                  <c:v>13.182600000000001</c:v>
                </c:pt>
                <c:pt idx="7">
                  <c:v>12.539899999999999</c:v>
                </c:pt>
                <c:pt idx="8">
                  <c:v>13.283899999999999</c:v>
                </c:pt>
                <c:pt idx="9">
                  <c:v>13.237299999999999</c:v>
                </c:pt>
                <c:pt idx="10">
                  <c:v>13.237299999999999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32-844D-9B00-0AB719AB6D5C}"/>
            </c:ext>
          </c:extLst>
        </c:ser>
        <c:ser>
          <c:idx val="2"/>
          <c:order val="2"/>
          <c:tx>
            <c:strRef>
              <c:f>範囲200_seed1!$Q$3</c:f>
              <c:strCache>
                <c:ptCount val="1"/>
                <c:pt idx="0">
                  <c:v>後方100m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範囲200_seed1!$N$4:$N$14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範囲200_seed1!$Q$4:$Q$14</c:f>
              <c:numCache>
                <c:formatCode>General</c:formatCode>
                <c:ptCount val="11"/>
                <c:pt idx="0">
                  <c:v>12.049099999999999</c:v>
                </c:pt>
                <c:pt idx="1">
                  <c:v>12.049099999999999</c:v>
                </c:pt>
                <c:pt idx="2">
                  <c:v>12.64</c:v>
                </c:pt>
                <c:pt idx="3">
                  <c:v>12.3752</c:v>
                </c:pt>
                <c:pt idx="4">
                  <c:v>12.8666</c:v>
                </c:pt>
                <c:pt idx="5">
                  <c:v>12.777200000000001</c:v>
                </c:pt>
                <c:pt idx="6">
                  <c:v>13.051</c:v>
                </c:pt>
                <c:pt idx="7">
                  <c:v>13.2037</c:v>
                </c:pt>
                <c:pt idx="8">
                  <c:v>13.283899999999999</c:v>
                </c:pt>
                <c:pt idx="9">
                  <c:v>13.237299999999999</c:v>
                </c:pt>
                <c:pt idx="10">
                  <c:v>13.237299999999999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32-844D-9B00-0AB719AB6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325791"/>
        <c:axId val="1928228431"/>
      </c:scatterChart>
      <c:valAx>
        <c:axId val="136032579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8228431"/>
        <c:crosses val="autoZero"/>
        <c:crossBetween val="midCat"/>
      </c:valAx>
      <c:valAx>
        <c:axId val="1928228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032579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766732283464567"/>
          <c:y val="9.7800379119276776E-2"/>
          <c:w val="0.20244313210848638"/>
          <c:h val="0.22164406532516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範囲200_seed1!$U$3</c:f>
              <c:strCache>
                <c:ptCount val="1"/>
                <c:pt idx="0">
                  <c:v>範囲内全て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範囲200_seed1!$T$4:$T$14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範囲200_seed1!$U$4:$U$14</c:f>
              <c:numCache>
                <c:formatCode>General</c:formatCode>
                <c:ptCount val="11"/>
                <c:pt idx="0">
                  <c:v>13.982799999999999</c:v>
                </c:pt>
                <c:pt idx="1">
                  <c:v>13.982799999999999</c:v>
                </c:pt>
                <c:pt idx="2">
                  <c:v>13.982799999999999</c:v>
                </c:pt>
                <c:pt idx="3">
                  <c:v>13.984</c:v>
                </c:pt>
                <c:pt idx="4">
                  <c:v>13.984</c:v>
                </c:pt>
                <c:pt idx="5">
                  <c:v>14.0458</c:v>
                </c:pt>
                <c:pt idx="6">
                  <c:v>14.6927</c:v>
                </c:pt>
                <c:pt idx="7">
                  <c:v>14.7117</c:v>
                </c:pt>
                <c:pt idx="8">
                  <c:v>13.403700000000001</c:v>
                </c:pt>
                <c:pt idx="9">
                  <c:v>13.403700000000001</c:v>
                </c:pt>
                <c:pt idx="10">
                  <c:v>13.403700000000001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0-5446-944E-07823A111142}"/>
            </c:ext>
          </c:extLst>
        </c:ser>
        <c:ser>
          <c:idx val="1"/>
          <c:order val="1"/>
          <c:tx>
            <c:strRef>
              <c:f>範囲200_seed1!$V$3</c:f>
              <c:strCache>
                <c:ptCount val="1"/>
                <c:pt idx="0">
                  <c:v>後方200m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範囲200_seed1!$T$4:$T$14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範囲200_seed1!$V$4:$V$14</c:f>
              <c:numCache>
                <c:formatCode>General</c:formatCode>
                <c:ptCount val="11"/>
                <c:pt idx="0">
                  <c:v>13.982900000000001</c:v>
                </c:pt>
                <c:pt idx="1">
                  <c:v>13.982900000000001</c:v>
                </c:pt>
                <c:pt idx="2">
                  <c:v>13.982900000000001</c:v>
                </c:pt>
                <c:pt idx="3">
                  <c:v>13.984</c:v>
                </c:pt>
                <c:pt idx="4">
                  <c:v>13.984</c:v>
                </c:pt>
                <c:pt idx="5">
                  <c:v>14.0458</c:v>
                </c:pt>
                <c:pt idx="6">
                  <c:v>14.6927</c:v>
                </c:pt>
                <c:pt idx="7">
                  <c:v>14.7117</c:v>
                </c:pt>
                <c:pt idx="8">
                  <c:v>13.4038</c:v>
                </c:pt>
                <c:pt idx="9">
                  <c:v>13.4038</c:v>
                </c:pt>
                <c:pt idx="10">
                  <c:v>13.4038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10-5446-944E-07823A111142}"/>
            </c:ext>
          </c:extLst>
        </c:ser>
        <c:ser>
          <c:idx val="2"/>
          <c:order val="2"/>
          <c:tx>
            <c:strRef>
              <c:f>範囲200_seed1!$W$3</c:f>
              <c:strCache>
                <c:ptCount val="1"/>
                <c:pt idx="0">
                  <c:v>後方100m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範囲200_seed1!$T$4:$T$14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範囲200_seed1!$W$4:$W$14</c:f>
              <c:numCache>
                <c:formatCode>General</c:formatCode>
                <c:ptCount val="11"/>
                <c:pt idx="0">
                  <c:v>13.982900000000001</c:v>
                </c:pt>
                <c:pt idx="1">
                  <c:v>13.982900000000001</c:v>
                </c:pt>
                <c:pt idx="2">
                  <c:v>13.982900000000001</c:v>
                </c:pt>
                <c:pt idx="3">
                  <c:v>13.984</c:v>
                </c:pt>
                <c:pt idx="4">
                  <c:v>13.984</c:v>
                </c:pt>
                <c:pt idx="5">
                  <c:v>14.0444</c:v>
                </c:pt>
                <c:pt idx="6">
                  <c:v>12.976100000000001</c:v>
                </c:pt>
                <c:pt idx="7">
                  <c:v>13.9748</c:v>
                </c:pt>
                <c:pt idx="8">
                  <c:v>13.444900000000001</c:v>
                </c:pt>
                <c:pt idx="9">
                  <c:v>13.4038</c:v>
                </c:pt>
                <c:pt idx="10">
                  <c:v>13.4038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10-5446-944E-07823A111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9632"/>
        <c:axId val="1140925423"/>
      </c:scatterChart>
      <c:valAx>
        <c:axId val="51766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0925423"/>
        <c:crosses val="autoZero"/>
        <c:crossBetween val="midCat"/>
      </c:valAx>
      <c:valAx>
        <c:axId val="11409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766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</a:t>
            </a:r>
            <a:r>
              <a:rPr lang="en-US" altLang="ja-JP"/>
              <a:t>α</a:t>
            </a:r>
            <a:r>
              <a:rPr lang="ja-JP" altLang="en-US"/>
              <a:t>の変化に対する平均速度の変化</a:t>
            </a:r>
          </a:p>
        </c:rich>
      </c:tx>
      <c:layout>
        <c:manualLayout>
          <c:xMode val="edge"/>
          <c:yMode val="edge"/>
          <c:x val="0.17515288713910762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881714785651793"/>
          <c:y val="6.6736293379994163E-2"/>
          <c:w val="0.83762729658792656"/>
          <c:h val="0.640308034412365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'average1-15'!$C$3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'average1-15'!$B$4:$B$14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'average1-15'!$C$4:$C$14</c:f>
              <c:numCache>
                <c:formatCode>General</c:formatCode>
                <c:ptCount val="11"/>
                <c:pt idx="0">
                  <c:v>14.015700000000001</c:v>
                </c:pt>
                <c:pt idx="1">
                  <c:v>14.013500000000001</c:v>
                </c:pt>
                <c:pt idx="2">
                  <c:v>13.728999999999999</c:v>
                </c:pt>
                <c:pt idx="3">
                  <c:v>13.968500000000001</c:v>
                </c:pt>
                <c:pt idx="4">
                  <c:v>13.808</c:v>
                </c:pt>
                <c:pt idx="5">
                  <c:v>13.8673</c:v>
                </c:pt>
                <c:pt idx="6">
                  <c:v>13.5336</c:v>
                </c:pt>
                <c:pt idx="7">
                  <c:v>12.8011</c:v>
                </c:pt>
                <c:pt idx="8">
                  <c:v>11.744199999999999</c:v>
                </c:pt>
                <c:pt idx="9">
                  <c:v>11.517099999999999</c:v>
                </c:pt>
                <c:pt idx="10">
                  <c:v>11.440799999999999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D1-6646-8D42-BAA65278D072}"/>
            </c:ext>
          </c:extLst>
        </c:ser>
        <c:ser>
          <c:idx val="1"/>
          <c:order val="1"/>
          <c:tx>
            <c:strRef>
              <c:f>'average1-15'!$D$3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'average1-15'!$B$4:$B$14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'average1-15'!$D$4:$D$14</c:f>
              <c:numCache>
                <c:formatCode>General</c:formatCode>
                <c:ptCount val="11"/>
                <c:pt idx="0">
                  <c:v>13.616300000000001</c:v>
                </c:pt>
                <c:pt idx="1">
                  <c:v>13.6379</c:v>
                </c:pt>
                <c:pt idx="2">
                  <c:v>13.8833</c:v>
                </c:pt>
                <c:pt idx="3">
                  <c:v>13.8142</c:v>
                </c:pt>
                <c:pt idx="4">
                  <c:v>14.391</c:v>
                </c:pt>
                <c:pt idx="5">
                  <c:v>15.341200000000001</c:v>
                </c:pt>
                <c:pt idx="6">
                  <c:v>15.5303</c:v>
                </c:pt>
                <c:pt idx="7">
                  <c:v>16.2729</c:v>
                </c:pt>
                <c:pt idx="8">
                  <c:v>16.548999999999999</c:v>
                </c:pt>
                <c:pt idx="9">
                  <c:v>16.669599999999999</c:v>
                </c:pt>
                <c:pt idx="10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D1-6646-8D42-BAA65278D072}"/>
            </c:ext>
          </c:extLst>
        </c:ser>
        <c:ser>
          <c:idx val="2"/>
          <c:order val="2"/>
          <c:tx>
            <c:strRef>
              <c:f>'average1-15'!$E$3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'average1-15'!$B$4:$B$14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'average1-15'!$E$4:$E$14</c:f>
              <c:numCache>
                <c:formatCode>General</c:formatCode>
                <c:ptCount val="11"/>
                <c:pt idx="0">
                  <c:v>13.819699999999999</c:v>
                </c:pt>
                <c:pt idx="1">
                  <c:v>13.829000000000001</c:v>
                </c:pt>
                <c:pt idx="2">
                  <c:v>13.796799999999999</c:v>
                </c:pt>
                <c:pt idx="3">
                  <c:v>13.8843</c:v>
                </c:pt>
                <c:pt idx="4">
                  <c:v>14.0791</c:v>
                </c:pt>
                <c:pt idx="5">
                  <c:v>14.5533</c:v>
                </c:pt>
                <c:pt idx="6">
                  <c:v>14.4633</c:v>
                </c:pt>
                <c:pt idx="7">
                  <c:v>14.3607</c:v>
                </c:pt>
                <c:pt idx="8">
                  <c:v>13.8293</c:v>
                </c:pt>
                <c:pt idx="9">
                  <c:v>13.7418</c:v>
                </c:pt>
                <c:pt idx="10">
                  <c:v>13.695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D1-6646-8D42-BAA65278D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202560"/>
        <c:axId val="332100736"/>
      </c:scatterChart>
      <c:valAx>
        <c:axId val="3322025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100736"/>
        <c:crosses val="autoZero"/>
        <c:crossBetween val="midCat"/>
      </c:valAx>
      <c:valAx>
        <c:axId val="332100736"/>
        <c:scaling>
          <c:orientation val="minMax"/>
          <c:max val="18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202560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009930008748908"/>
          <c:y val="0.50983741615631373"/>
          <c:w val="0.19757895888014002"/>
          <c:h val="0.18923665791776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図：後続の考慮範囲の変化による平均速度の変化</a:t>
            </a:r>
          </a:p>
        </c:rich>
      </c:tx>
      <c:layout>
        <c:manualLayout>
          <c:xMode val="edge"/>
          <c:yMode val="edge"/>
          <c:x val="0.15555555555555556"/>
          <c:y val="0.87962962962962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7.902777777777778E-2"/>
          <c:w val="0.81865507436570428"/>
          <c:h val="0.63727580927384064"/>
        </c:manualLayout>
      </c:layout>
      <c:scatterChart>
        <c:scatterStyle val="lineMarker"/>
        <c:varyColors val="0"/>
        <c:ser>
          <c:idx val="0"/>
          <c:order val="0"/>
          <c:tx>
            <c:strRef>
              <c:f>'average1-15'!$I$3</c:f>
              <c:strCache>
                <c:ptCount val="1"/>
                <c:pt idx="0">
                  <c:v>後方120m考慮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'average1-15'!$H$4:$H$14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'average1-15'!$I$4:$I$14</c:f>
              <c:numCache>
                <c:formatCode>General</c:formatCode>
                <c:ptCount val="11"/>
                <c:pt idx="0">
                  <c:v>13.819699999999999</c:v>
                </c:pt>
                <c:pt idx="1">
                  <c:v>13.829000000000001</c:v>
                </c:pt>
                <c:pt idx="2">
                  <c:v>13.796799999999999</c:v>
                </c:pt>
                <c:pt idx="3">
                  <c:v>13.8843</c:v>
                </c:pt>
                <c:pt idx="4">
                  <c:v>14.0791</c:v>
                </c:pt>
                <c:pt idx="5">
                  <c:v>14.5533</c:v>
                </c:pt>
                <c:pt idx="6">
                  <c:v>14.4633</c:v>
                </c:pt>
                <c:pt idx="7">
                  <c:v>14.3607</c:v>
                </c:pt>
                <c:pt idx="8">
                  <c:v>13.8293</c:v>
                </c:pt>
                <c:pt idx="9">
                  <c:v>13.7418</c:v>
                </c:pt>
                <c:pt idx="10">
                  <c:v>13.695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D-3641-9ADA-BBC1A0A5FA3A}"/>
            </c:ext>
          </c:extLst>
        </c:ser>
        <c:ser>
          <c:idx val="1"/>
          <c:order val="1"/>
          <c:tx>
            <c:strRef>
              <c:f>'average1-15'!$J$3</c:f>
              <c:strCache>
                <c:ptCount val="1"/>
                <c:pt idx="0">
                  <c:v>後方全て考慮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'average1-15'!$H$4:$H$14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'average1-15'!$J$4:$J$14</c:f>
              <c:numCache>
                <c:formatCode>General</c:formatCode>
                <c:ptCount val="11"/>
                <c:pt idx="0">
                  <c:v>13.819699999999999</c:v>
                </c:pt>
                <c:pt idx="1">
                  <c:v>13.819699999999999</c:v>
                </c:pt>
                <c:pt idx="2">
                  <c:v>13.846500000000001</c:v>
                </c:pt>
                <c:pt idx="3">
                  <c:v>13.9397</c:v>
                </c:pt>
                <c:pt idx="4">
                  <c:v>14.088699999999999</c:v>
                </c:pt>
                <c:pt idx="5">
                  <c:v>14.375500000000001</c:v>
                </c:pt>
                <c:pt idx="6">
                  <c:v>14.4377</c:v>
                </c:pt>
                <c:pt idx="7">
                  <c:v>14.504799999999999</c:v>
                </c:pt>
                <c:pt idx="8">
                  <c:v>13.9382</c:v>
                </c:pt>
                <c:pt idx="9">
                  <c:v>13.693</c:v>
                </c:pt>
                <c:pt idx="10">
                  <c:v>13.694900000000001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D-3641-9ADA-BBC1A0A5F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109728"/>
        <c:axId val="591001552"/>
      </c:scatterChart>
      <c:valAx>
        <c:axId val="7321097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1001552"/>
        <c:crosses val="autoZero"/>
        <c:crossBetween val="midCat"/>
      </c:valAx>
      <c:valAx>
        <c:axId val="591001552"/>
        <c:scaling>
          <c:orientation val="minMax"/>
          <c:max val="14.8"/>
          <c:min val="13.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</a:t>
                </a:r>
                <a:r>
                  <a:rPr lang="en-US" altLang="ja-JP" baseline="0"/>
                  <a:t>_speed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2109728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6577230971128612"/>
          <c:y val="0.24131889763779524"/>
          <c:w val="0.24623315835520565"/>
          <c:h val="0.16608850976961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508000</xdr:colOff>
      <xdr:row>15</xdr:row>
      <xdr:rowOff>222250</xdr:rowOff>
    </xdr:from>
    <xdr:to>
      <xdr:col>18</xdr:col>
      <xdr:colOff>317500</xdr:colOff>
      <xdr:row>26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E58D0EF-0433-33A8-A2AD-8E31387B1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393700</xdr:colOff>
      <xdr:row>15</xdr:row>
      <xdr:rowOff>107950</xdr:rowOff>
    </xdr:from>
    <xdr:to>
      <xdr:col>24</xdr:col>
      <xdr:colOff>203200</xdr:colOff>
      <xdr:row>26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84E7535-D4D9-0089-82E7-84BA59D2B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16</xdr:row>
      <xdr:rowOff>69850</xdr:rowOff>
    </xdr:from>
    <xdr:to>
      <xdr:col>6</xdr:col>
      <xdr:colOff>266700</xdr:colOff>
      <xdr:row>27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64FFB2-9B63-41B4-A3EC-349710D2A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736600</xdr:colOff>
      <xdr:row>15</xdr:row>
      <xdr:rowOff>247650</xdr:rowOff>
    </xdr:from>
    <xdr:to>
      <xdr:col>11</xdr:col>
      <xdr:colOff>546100</xdr:colOff>
      <xdr:row>26</xdr:row>
      <xdr:rowOff>196850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E3641B1-FF03-F5DB-8F69-52179C363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3286-8094-6445-BFFD-73FA4E4EE651}">
  <dimension ref="B2:J32"/>
  <sheetViews>
    <sheetView workbookViewId="0">
      <selection activeCell="C25" sqref="C25:E25"/>
    </sheetView>
  </sheetViews>
  <sheetFormatPr baseColWidth="10" defaultRowHeight="20"/>
  <sheetData>
    <row r="2" spans="2:10">
      <c r="B2" s="1"/>
      <c r="C2" s="1" t="s">
        <v>16</v>
      </c>
      <c r="D2" s="1"/>
      <c r="E2" s="1" t="s">
        <v>4</v>
      </c>
      <c r="G2" s="1"/>
      <c r="H2" s="1" t="s">
        <v>16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14.724299999999999</v>
      </c>
      <c r="D4">
        <v>13.223699999999999</v>
      </c>
      <c r="E4">
        <v>13.982900000000001</v>
      </c>
      <c r="G4" s="1">
        <v>0</v>
      </c>
    </row>
    <row r="5" spans="2:10">
      <c r="B5" s="1">
        <v>0.1</v>
      </c>
      <c r="C5">
        <v>14.724299999999999</v>
      </c>
      <c r="D5">
        <v>13.223699999999999</v>
      </c>
      <c r="E5">
        <v>13.982900000000001</v>
      </c>
      <c r="G5" s="1">
        <v>0.1</v>
      </c>
    </row>
    <row r="6" spans="2:10">
      <c r="B6" s="1">
        <v>0.2</v>
      </c>
      <c r="C6">
        <v>14.724299999999999</v>
      </c>
      <c r="D6">
        <v>13.223699999999999</v>
      </c>
      <c r="E6">
        <v>13.982900000000001</v>
      </c>
      <c r="G6" s="1">
        <v>0.2</v>
      </c>
    </row>
    <row r="7" spans="2:10">
      <c r="B7" s="1">
        <v>0.3</v>
      </c>
      <c r="C7">
        <v>14.7234</v>
      </c>
      <c r="D7">
        <v>13.226900000000001</v>
      </c>
      <c r="E7">
        <v>13.984</v>
      </c>
      <c r="G7" s="1">
        <v>0.3</v>
      </c>
    </row>
    <row r="8" spans="2:10">
      <c r="B8" s="1">
        <v>0.4</v>
      </c>
      <c r="C8">
        <v>14.7234</v>
      </c>
      <c r="D8">
        <v>13.226900000000001</v>
      </c>
      <c r="E8">
        <v>13.984</v>
      </c>
      <c r="G8" s="1">
        <v>0.4</v>
      </c>
    </row>
    <row r="9" spans="2:10">
      <c r="B9" s="1">
        <v>0.5</v>
      </c>
      <c r="C9">
        <v>14.410299999999999</v>
      </c>
      <c r="D9">
        <v>13.669700000000001</v>
      </c>
      <c r="E9">
        <v>14.0444</v>
      </c>
      <c r="G9" s="1">
        <v>0.5</v>
      </c>
    </row>
    <row r="10" spans="2:10">
      <c r="B10" s="1">
        <v>0.6</v>
      </c>
      <c r="C10">
        <v>12.2583</v>
      </c>
      <c r="D10">
        <v>13.8111</v>
      </c>
      <c r="E10">
        <v>12.976100000000001</v>
      </c>
      <c r="G10" s="1">
        <v>0.6</v>
      </c>
    </row>
    <row r="11" spans="2:10">
      <c r="B11" s="1">
        <v>0.7</v>
      </c>
      <c r="C11">
        <v>12.3103</v>
      </c>
      <c r="D11">
        <v>16.074300000000001</v>
      </c>
      <c r="E11">
        <v>13.9748</v>
      </c>
      <c r="G11" s="1">
        <v>0.7</v>
      </c>
    </row>
    <row r="12" spans="2:10">
      <c r="B12" s="1">
        <v>0.8</v>
      </c>
      <c r="C12">
        <v>11.0227</v>
      </c>
      <c r="D12">
        <v>16.648</v>
      </c>
      <c r="E12">
        <v>13.444900000000001</v>
      </c>
      <c r="G12" s="1">
        <v>0.8</v>
      </c>
    </row>
    <row r="13" spans="2:10">
      <c r="B13" s="1">
        <v>0.9</v>
      </c>
      <c r="C13">
        <v>10.9337</v>
      </c>
      <c r="D13">
        <v>16.670000000000002</v>
      </c>
      <c r="E13">
        <v>13.4038</v>
      </c>
      <c r="G13" s="1">
        <v>0.9</v>
      </c>
    </row>
    <row r="14" spans="2:10">
      <c r="B14" s="1">
        <v>1</v>
      </c>
      <c r="C14">
        <v>10.9337</v>
      </c>
      <c r="D14">
        <v>16.670000000000002</v>
      </c>
      <c r="E14">
        <v>13.4038</v>
      </c>
      <c r="G14" s="1">
        <v>1</v>
      </c>
    </row>
    <row r="16" spans="2:10">
      <c r="D16" t="s">
        <v>9</v>
      </c>
    </row>
    <row r="18" spans="2:10">
      <c r="B18" s="1"/>
      <c r="C18" s="1" t="s">
        <v>16</v>
      </c>
      <c r="D18" s="1"/>
      <c r="E18" s="1" t="s">
        <v>6</v>
      </c>
      <c r="G18" s="1"/>
      <c r="H18" s="1" t="s">
        <v>16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11.6867</v>
      </c>
      <c r="D20">
        <v>12.677099999999999</v>
      </c>
      <c r="E20">
        <v>12.049099999999999</v>
      </c>
      <c r="G20" s="1">
        <v>0</v>
      </c>
    </row>
    <row r="21" spans="2:10">
      <c r="B21" s="1">
        <v>0.1</v>
      </c>
      <c r="C21">
        <v>11.6867</v>
      </c>
      <c r="D21">
        <v>12.677099999999999</v>
      </c>
      <c r="E21">
        <v>12.049099999999999</v>
      </c>
      <c r="G21" s="1">
        <v>0.1</v>
      </c>
    </row>
    <row r="22" spans="2:10">
      <c r="B22" s="1">
        <v>0.2</v>
      </c>
      <c r="C22">
        <v>12.742000000000001</v>
      </c>
      <c r="D22">
        <v>12.4678</v>
      </c>
      <c r="E22">
        <v>12.64</v>
      </c>
      <c r="G22" s="1">
        <v>0.2</v>
      </c>
    </row>
    <row r="23" spans="2:10">
      <c r="B23" s="1">
        <v>0.3</v>
      </c>
      <c r="C23">
        <v>12.661300000000001</v>
      </c>
      <c r="D23">
        <v>11.8896</v>
      </c>
      <c r="E23">
        <v>12.3752</v>
      </c>
      <c r="G23" s="1">
        <v>0.3</v>
      </c>
    </row>
    <row r="24" spans="2:10">
      <c r="B24" s="1">
        <v>0.4</v>
      </c>
      <c r="C24">
        <v>12.525600000000001</v>
      </c>
      <c r="D24">
        <v>13.4596</v>
      </c>
      <c r="E24">
        <v>12.8666</v>
      </c>
      <c r="G24" s="1">
        <v>0.4</v>
      </c>
    </row>
    <row r="25" spans="2:10">
      <c r="B25" s="1">
        <v>0.5</v>
      </c>
      <c r="C25">
        <v>12.819800000000001</v>
      </c>
      <c r="D25">
        <v>12.7034</v>
      </c>
      <c r="E25">
        <v>12.777200000000001</v>
      </c>
      <c r="G25" s="1">
        <v>0.5</v>
      </c>
    </row>
    <row r="26" spans="2:10">
      <c r="B26" s="1">
        <v>0.6</v>
      </c>
      <c r="C26">
        <v>12.4483</v>
      </c>
      <c r="D26">
        <v>14.119400000000001</v>
      </c>
      <c r="E26">
        <v>13.051</v>
      </c>
      <c r="G26" s="1">
        <v>0.6</v>
      </c>
    </row>
    <row r="27" spans="2:10">
      <c r="B27" s="1">
        <v>0.7</v>
      </c>
      <c r="C27">
        <v>11.8935</v>
      </c>
      <c r="D27">
        <v>15.775499999999999</v>
      </c>
      <c r="E27">
        <v>13.2037</v>
      </c>
      <c r="G27" s="1">
        <v>0.7</v>
      </c>
    </row>
    <row r="28" spans="2:10">
      <c r="B28" s="1">
        <v>0.8</v>
      </c>
      <c r="C28">
        <v>11.648099999999999</v>
      </c>
      <c r="D28">
        <v>16.496200000000002</v>
      </c>
      <c r="E28">
        <v>13.283899999999999</v>
      </c>
      <c r="G28" s="1">
        <v>0.8</v>
      </c>
    </row>
    <row r="29" spans="2:10">
      <c r="B29" s="1">
        <v>0.9</v>
      </c>
      <c r="C29">
        <v>11.5212</v>
      </c>
      <c r="D29">
        <v>16.670000000000002</v>
      </c>
      <c r="E29">
        <v>13.237299999999999</v>
      </c>
      <c r="G29" s="1">
        <v>0.9</v>
      </c>
    </row>
    <row r="30" spans="2:10">
      <c r="B30" s="1">
        <v>1</v>
      </c>
      <c r="C30">
        <v>11.5212</v>
      </c>
      <c r="D30">
        <v>16.670000000000002</v>
      </c>
      <c r="E30">
        <v>13.237299999999999</v>
      </c>
      <c r="G30" s="1">
        <v>1</v>
      </c>
    </row>
    <row r="32" spans="2:10">
      <c r="D32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EE23-46BC-EB4C-9412-9A5A200E95AD}">
  <dimension ref="B2:E32"/>
  <sheetViews>
    <sheetView workbookViewId="0">
      <selection activeCell="F5" sqref="F5"/>
    </sheetView>
  </sheetViews>
  <sheetFormatPr baseColWidth="10" defaultRowHeight="20"/>
  <sheetData>
    <row r="2" spans="2:5">
      <c r="B2" s="1"/>
      <c r="C2" s="1" t="s">
        <v>17</v>
      </c>
      <c r="D2" s="1"/>
      <c r="E2" s="1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2">
        <v>0</v>
      </c>
      <c r="C4">
        <v>14.724299999999999</v>
      </c>
      <c r="D4">
        <v>13.223699999999999</v>
      </c>
      <c r="E4">
        <v>13.982900000000001</v>
      </c>
    </row>
    <row r="5" spans="2:5">
      <c r="B5" s="2">
        <v>0.1</v>
      </c>
      <c r="C5">
        <v>14.724299999999999</v>
      </c>
      <c r="D5">
        <v>13.223699999999999</v>
      </c>
      <c r="E5">
        <v>13.982900000000001</v>
      </c>
    </row>
    <row r="6" spans="2:5">
      <c r="B6" s="1">
        <v>0.2</v>
      </c>
      <c r="C6">
        <v>14.724299999999999</v>
      </c>
      <c r="D6">
        <v>13.223699999999999</v>
      </c>
      <c r="E6">
        <v>13.982900000000001</v>
      </c>
    </row>
    <row r="7" spans="2:5">
      <c r="B7" s="1">
        <v>0.3</v>
      </c>
      <c r="C7">
        <v>14.7234</v>
      </c>
      <c r="D7">
        <v>13.226900000000001</v>
      </c>
      <c r="E7">
        <v>13.984</v>
      </c>
    </row>
    <row r="8" spans="2:5">
      <c r="B8" s="1">
        <v>0.4</v>
      </c>
      <c r="C8">
        <v>14.7234</v>
      </c>
      <c r="D8">
        <v>13.226900000000001</v>
      </c>
      <c r="E8">
        <v>13.984</v>
      </c>
    </row>
    <row r="9" spans="2:5">
      <c r="B9" s="1">
        <v>0.5</v>
      </c>
      <c r="C9">
        <v>14.3002</v>
      </c>
      <c r="D9">
        <v>13.998699999999999</v>
      </c>
      <c r="E9">
        <v>14.152100000000001</v>
      </c>
    </row>
    <row r="10" spans="2:5">
      <c r="B10" s="2">
        <v>0.6</v>
      </c>
      <c r="C10">
        <v>14.235099999999999</v>
      </c>
      <c r="D10">
        <v>15.173</v>
      </c>
      <c r="E10">
        <v>14.6927</v>
      </c>
    </row>
    <row r="11" spans="2:5">
      <c r="B11" s="1">
        <v>0.7</v>
      </c>
      <c r="C11">
        <v>13.408300000000001</v>
      </c>
      <c r="D11">
        <v>16.232900000000001</v>
      </c>
      <c r="E11">
        <v>14.715400000000001</v>
      </c>
    </row>
    <row r="12" spans="2:5">
      <c r="B12" s="1">
        <v>0.8</v>
      </c>
      <c r="C12">
        <v>10.9337</v>
      </c>
      <c r="D12">
        <v>16.670000000000002</v>
      </c>
      <c r="E12">
        <v>13.4038</v>
      </c>
    </row>
    <row r="13" spans="2:5">
      <c r="B13" s="1">
        <v>0.9</v>
      </c>
      <c r="C13">
        <v>10.9337</v>
      </c>
      <c r="D13">
        <v>16.670000000000002</v>
      </c>
      <c r="E13">
        <v>13.4038</v>
      </c>
    </row>
    <row r="14" spans="2:5">
      <c r="B14" s="1">
        <v>1</v>
      </c>
      <c r="C14">
        <v>10.9337</v>
      </c>
      <c r="D14">
        <v>16.670000000000002</v>
      </c>
      <c r="E14">
        <v>13.4038</v>
      </c>
    </row>
    <row r="16" spans="2:5">
      <c r="D16" t="s">
        <v>9</v>
      </c>
    </row>
    <row r="18" spans="2:5">
      <c r="B18" s="1"/>
      <c r="C18" s="1" t="s">
        <v>17</v>
      </c>
      <c r="D18" s="1"/>
      <c r="E18" s="1" t="s">
        <v>6</v>
      </c>
    </row>
    <row r="19" spans="2:5">
      <c r="B19" s="1" t="s">
        <v>0</v>
      </c>
      <c r="C19" s="1" t="s">
        <v>1</v>
      </c>
      <c r="D19" s="1" t="s">
        <v>2</v>
      </c>
      <c r="E19" s="1" t="s">
        <v>3</v>
      </c>
    </row>
    <row r="20" spans="2:5">
      <c r="B20" s="1">
        <v>0</v>
      </c>
      <c r="C20">
        <v>11.6867</v>
      </c>
      <c r="D20">
        <v>12.677099999999999</v>
      </c>
      <c r="E20">
        <v>12.049099999999999</v>
      </c>
    </row>
    <row r="21" spans="2:5">
      <c r="B21" s="1">
        <v>0.1</v>
      </c>
      <c r="C21">
        <v>11.6867</v>
      </c>
      <c r="D21">
        <v>12.677099999999999</v>
      </c>
      <c r="E21">
        <v>12.049099999999999</v>
      </c>
    </row>
    <row r="22" spans="2:5">
      <c r="B22" s="1">
        <v>0.2</v>
      </c>
      <c r="C22">
        <v>14.2498</v>
      </c>
      <c r="D22">
        <v>11.4428</v>
      </c>
      <c r="E22">
        <v>13.1637</v>
      </c>
    </row>
    <row r="23" spans="2:5">
      <c r="B23" s="1">
        <v>0.3</v>
      </c>
      <c r="C23">
        <v>12.2293</v>
      </c>
      <c r="D23">
        <v>12.17</v>
      </c>
      <c r="E23">
        <v>12.2073</v>
      </c>
    </row>
    <row r="24" spans="2:5">
      <c r="B24" s="1">
        <v>0.4</v>
      </c>
      <c r="C24">
        <v>12.525600000000001</v>
      </c>
      <c r="D24">
        <v>13.4596</v>
      </c>
      <c r="E24">
        <v>12.8666</v>
      </c>
    </row>
    <row r="25" spans="2:5">
      <c r="B25" s="1">
        <v>0.5</v>
      </c>
      <c r="C25">
        <v>12.218</v>
      </c>
      <c r="D25">
        <v>13.391400000000001</v>
      </c>
      <c r="E25">
        <v>12.640700000000001</v>
      </c>
    </row>
    <row r="26" spans="2:5">
      <c r="B26" s="1">
        <v>0.6</v>
      </c>
      <c r="C26">
        <v>12.4239</v>
      </c>
      <c r="D26">
        <v>14.470800000000001</v>
      </c>
      <c r="E26">
        <v>13.1622</v>
      </c>
    </row>
    <row r="27" spans="2:5">
      <c r="B27" s="1">
        <v>0.7</v>
      </c>
      <c r="C27">
        <v>12.729200000000001</v>
      </c>
      <c r="D27">
        <v>13.9778</v>
      </c>
      <c r="E27">
        <v>13.180199999999999</v>
      </c>
    </row>
    <row r="28" spans="2:5">
      <c r="B28" s="1">
        <v>0.8</v>
      </c>
      <c r="C28">
        <v>11.648099999999999</v>
      </c>
      <c r="D28">
        <v>16.496200000000002</v>
      </c>
      <c r="E28">
        <v>13.283899999999999</v>
      </c>
    </row>
    <row r="29" spans="2:5">
      <c r="B29" s="1">
        <v>0.9</v>
      </c>
      <c r="C29">
        <v>11.5212</v>
      </c>
      <c r="D29">
        <v>16.670000000000002</v>
      </c>
      <c r="E29">
        <v>13.237299999999999</v>
      </c>
    </row>
    <row r="30" spans="2:5">
      <c r="B30" s="1">
        <v>1</v>
      </c>
      <c r="C30">
        <v>11.5212</v>
      </c>
      <c r="D30">
        <v>16.670000000000002</v>
      </c>
      <c r="E30">
        <v>13.237299999999999</v>
      </c>
    </row>
    <row r="32" spans="2:5">
      <c r="D32" t="s">
        <v>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6D35-9FD8-F142-B7E3-8237F792386D}">
  <dimension ref="B2:W32"/>
  <sheetViews>
    <sheetView topLeftCell="K1" workbookViewId="0">
      <selection activeCell="R6" sqref="R6"/>
    </sheetView>
  </sheetViews>
  <sheetFormatPr baseColWidth="10" defaultRowHeight="20"/>
  <sheetData>
    <row r="2" spans="2:23">
      <c r="B2" s="1"/>
      <c r="C2" s="1" t="s">
        <v>18</v>
      </c>
      <c r="D2" s="1"/>
      <c r="E2" s="1" t="s">
        <v>4</v>
      </c>
      <c r="G2" s="1"/>
      <c r="H2" s="1" t="s">
        <v>18</v>
      </c>
      <c r="I2" s="1"/>
      <c r="J2" s="1" t="s">
        <v>5</v>
      </c>
      <c r="O2" t="s">
        <v>6</v>
      </c>
      <c r="U2" t="s">
        <v>4</v>
      </c>
    </row>
    <row r="3" spans="2:23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N3" t="s">
        <v>10</v>
      </c>
      <c r="O3" t="s">
        <v>11</v>
      </c>
      <c r="P3" t="s">
        <v>12</v>
      </c>
      <c r="Q3" t="s">
        <v>13</v>
      </c>
      <c r="R3" t="s">
        <v>15</v>
      </c>
      <c r="T3" t="s">
        <v>10</v>
      </c>
      <c r="U3" t="s">
        <v>11</v>
      </c>
      <c r="V3" t="s">
        <v>12</v>
      </c>
      <c r="W3" t="s">
        <v>13</v>
      </c>
    </row>
    <row r="4" spans="2:23">
      <c r="B4" s="1">
        <v>0</v>
      </c>
      <c r="C4">
        <v>14.724299999999999</v>
      </c>
      <c r="D4">
        <v>13.223699999999999</v>
      </c>
      <c r="E4">
        <v>13.982900000000001</v>
      </c>
      <c r="G4" s="1">
        <v>0</v>
      </c>
      <c r="N4">
        <v>0</v>
      </c>
      <c r="O4">
        <v>12.049099999999999</v>
      </c>
      <c r="P4">
        <f>E20</f>
        <v>12.049099999999999</v>
      </c>
      <c r="Q4">
        <f>範囲100_seed1!E20</f>
        <v>12.049099999999999</v>
      </c>
      <c r="R4">
        <f>範囲150_seed1!E20</f>
        <v>12.049099999999999</v>
      </c>
      <c r="T4">
        <v>0</v>
      </c>
      <c r="U4">
        <v>13.982799999999999</v>
      </c>
      <c r="V4">
        <f>E4</f>
        <v>13.982900000000001</v>
      </c>
      <c r="W4">
        <f>範囲100_seed1!E4</f>
        <v>13.982900000000001</v>
      </c>
    </row>
    <row r="5" spans="2:23">
      <c r="B5" s="1">
        <v>0.1</v>
      </c>
      <c r="C5">
        <v>14.724299999999999</v>
      </c>
      <c r="D5">
        <v>13.223699999999999</v>
      </c>
      <c r="E5">
        <v>13.982900000000001</v>
      </c>
      <c r="G5" s="1">
        <v>0.1</v>
      </c>
      <c r="N5">
        <v>0.1</v>
      </c>
      <c r="O5">
        <v>12.049099999999999</v>
      </c>
      <c r="P5">
        <f t="shared" ref="P5:P14" si="0">E21</f>
        <v>12.049099999999999</v>
      </c>
      <c r="Q5">
        <f>範囲100_seed1!E21</f>
        <v>12.049099999999999</v>
      </c>
      <c r="R5">
        <f>範囲150_seed1!E21</f>
        <v>12.049099999999999</v>
      </c>
      <c r="T5">
        <v>0.1</v>
      </c>
      <c r="U5">
        <v>13.982799999999999</v>
      </c>
      <c r="V5">
        <f t="shared" ref="V5:V14" si="1">E5</f>
        <v>13.982900000000001</v>
      </c>
      <c r="W5">
        <f>範囲100_seed1!E5</f>
        <v>13.982900000000001</v>
      </c>
    </row>
    <row r="6" spans="2:23">
      <c r="B6" s="1">
        <v>0.2</v>
      </c>
      <c r="C6">
        <v>14.724299999999999</v>
      </c>
      <c r="D6">
        <v>13.223699999999999</v>
      </c>
      <c r="E6">
        <v>13.982900000000001</v>
      </c>
      <c r="G6" s="1">
        <v>0.2</v>
      </c>
      <c r="N6">
        <v>0.2</v>
      </c>
      <c r="O6">
        <v>12.049099999999999</v>
      </c>
      <c r="P6">
        <f t="shared" si="0"/>
        <v>12.049099999999999</v>
      </c>
      <c r="Q6">
        <f>範囲100_seed1!E22</f>
        <v>12.64</v>
      </c>
      <c r="R6">
        <f>範囲150_seed1!E22</f>
        <v>13.1637</v>
      </c>
      <c r="T6">
        <v>0.2</v>
      </c>
      <c r="U6">
        <v>13.982799999999999</v>
      </c>
      <c r="V6">
        <f t="shared" si="1"/>
        <v>13.982900000000001</v>
      </c>
      <c r="W6">
        <f>範囲100_seed1!E6</f>
        <v>13.982900000000001</v>
      </c>
    </row>
    <row r="7" spans="2:23">
      <c r="B7" s="1">
        <v>0.3</v>
      </c>
      <c r="C7">
        <v>14.7234</v>
      </c>
      <c r="D7">
        <v>13.226900000000001</v>
      </c>
      <c r="E7">
        <v>13.984</v>
      </c>
      <c r="G7" s="1">
        <v>0.3</v>
      </c>
      <c r="N7">
        <v>0.3</v>
      </c>
      <c r="O7">
        <v>12.049099999999999</v>
      </c>
      <c r="P7">
        <f t="shared" si="0"/>
        <v>12.049099999999999</v>
      </c>
      <c r="Q7">
        <f>範囲100_seed1!E23</f>
        <v>12.3752</v>
      </c>
      <c r="R7">
        <f>範囲150_seed1!E23</f>
        <v>12.2073</v>
      </c>
      <c r="T7">
        <v>0.3</v>
      </c>
      <c r="U7">
        <v>13.984</v>
      </c>
      <c r="V7">
        <f t="shared" si="1"/>
        <v>13.984</v>
      </c>
      <c r="W7">
        <f>範囲100_seed1!E7</f>
        <v>13.984</v>
      </c>
    </row>
    <row r="8" spans="2:23">
      <c r="B8" s="1">
        <v>0.4</v>
      </c>
      <c r="C8">
        <v>14.7234</v>
      </c>
      <c r="D8">
        <v>13.226900000000001</v>
      </c>
      <c r="E8">
        <v>13.984</v>
      </c>
      <c r="G8" s="1">
        <v>0.4</v>
      </c>
      <c r="N8">
        <v>0.4</v>
      </c>
      <c r="O8">
        <v>12.049099999999999</v>
      </c>
      <c r="P8">
        <f t="shared" si="0"/>
        <v>12.8948</v>
      </c>
      <c r="Q8">
        <f>範囲100_seed1!E24</f>
        <v>12.8666</v>
      </c>
      <c r="R8">
        <f>範囲150_seed1!E24</f>
        <v>12.8666</v>
      </c>
      <c r="T8">
        <v>0.4</v>
      </c>
      <c r="U8">
        <v>13.984</v>
      </c>
      <c r="V8">
        <f t="shared" si="1"/>
        <v>13.984</v>
      </c>
      <c r="W8">
        <f>範囲100_seed1!E8</f>
        <v>13.984</v>
      </c>
    </row>
    <row r="9" spans="2:23">
      <c r="B9" s="1">
        <v>0.5</v>
      </c>
      <c r="C9">
        <v>14.4062</v>
      </c>
      <c r="D9">
        <v>13.6768</v>
      </c>
      <c r="E9">
        <v>14.0458</v>
      </c>
      <c r="G9" s="1">
        <v>0.5</v>
      </c>
      <c r="N9">
        <v>0.5</v>
      </c>
      <c r="O9">
        <v>13.3705</v>
      </c>
      <c r="P9">
        <f t="shared" si="0"/>
        <v>12.654500000000001</v>
      </c>
      <c r="Q9">
        <f>範囲100_seed1!E25</f>
        <v>12.777200000000001</v>
      </c>
      <c r="R9">
        <f>範囲150_seed1!E25</f>
        <v>12.640700000000001</v>
      </c>
      <c r="T9">
        <v>0.5</v>
      </c>
      <c r="U9">
        <v>14.0458</v>
      </c>
      <c r="V9">
        <f t="shared" si="1"/>
        <v>14.0458</v>
      </c>
      <c r="W9">
        <f>範囲100_seed1!E9</f>
        <v>14.0444</v>
      </c>
    </row>
    <row r="10" spans="2:23">
      <c r="B10" s="1">
        <v>0.6</v>
      </c>
      <c r="C10">
        <v>14.235099999999999</v>
      </c>
      <c r="D10">
        <v>15.173</v>
      </c>
      <c r="E10">
        <v>14.6927</v>
      </c>
      <c r="G10" s="1">
        <v>0.6</v>
      </c>
      <c r="N10">
        <v>0.6</v>
      </c>
      <c r="O10">
        <v>13.182600000000001</v>
      </c>
      <c r="P10">
        <f t="shared" si="0"/>
        <v>13.182600000000001</v>
      </c>
      <c r="Q10">
        <f>範囲100_seed1!E26</f>
        <v>13.051</v>
      </c>
      <c r="R10">
        <f>範囲150_seed1!E26</f>
        <v>13.1622</v>
      </c>
      <c r="T10">
        <v>0.6</v>
      </c>
      <c r="U10">
        <v>14.6927</v>
      </c>
      <c r="V10">
        <f t="shared" si="1"/>
        <v>14.6927</v>
      </c>
      <c r="W10">
        <f>範囲100_seed1!E10</f>
        <v>12.976100000000001</v>
      </c>
    </row>
    <row r="11" spans="2:23">
      <c r="B11" s="1">
        <v>0.7</v>
      </c>
      <c r="C11">
        <v>13.384399999999999</v>
      </c>
      <c r="D11">
        <v>16.252700000000001</v>
      </c>
      <c r="E11">
        <v>14.7117</v>
      </c>
      <c r="G11" s="1">
        <v>0.7</v>
      </c>
      <c r="N11">
        <v>0.7</v>
      </c>
      <c r="O11">
        <v>12.539899999999999</v>
      </c>
      <c r="P11">
        <f t="shared" si="0"/>
        <v>12.539899999999999</v>
      </c>
      <c r="Q11">
        <f>範囲100_seed1!E27</f>
        <v>13.2037</v>
      </c>
      <c r="R11">
        <f>範囲150_seed1!E27</f>
        <v>13.180199999999999</v>
      </c>
      <c r="T11">
        <v>0.7</v>
      </c>
      <c r="U11">
        <v>14.7117</v>
      </c>
      <c r="V11">
        <f t="shared" si="1"/>
        <v>14.7117</v>
      </c>
      <c r="W11">
        <f>範囲100_seed1!E11</f>
        <v>13.9748</v>
      </c>
    </row>
    <row r="12" spans="2:23">
      <c r="B12" s="1">
        <v>0.8</v>
      </c>
      <c r="C12">
        <v>10.9337</v>
      </c>
      <c r="D12">
        <v>16.670000000000002</v>
      </c>
      <c r="E12">
        <v>13.4038</v>
      </c>
      <c r="G12" s="1">
        <v>0.8</v>
      </c>
      <c r="N12">
        <v>0.8</v>
      </c>
      <c r="O12">
        <v>13.283899999999999</v>
      </c>
      <c r="P12">
        <f t="shared" si="0"/>
        <v>13.283899999999999</v>
      </c>
      <c r="Q12">
        <f>範囲100_seed1!E28</f>
        <v>13.283899999999999</v>
      </c>
      <c r="R12">
        <f>範囲150_seed1!E28</f>
        <v>13.283899999999999</v>
      </c>
      <c r="T12">
        <v>0.8</v>
      </c>
      <c r="U12">
        <v>13.403700000000001</v>
      </c>
      <c r="V12">
        <f t="shared" si="1"/>
        <v>13.4038</v>
      </c>
      <c r="W12">
        <f>範囲100_seed1!E12</f>
        <v>13.444900000000001</v>
      </c>
    </row>
    <row r="13" spans="2:23">
      <c r="B13" s="1">
        <v>0.9</v>
      </c>
      <c r="C13">
        <v>10.9337</v>
      </c>
      <c r="D13">
        <v>16.670000000000002</v>
      </c>
      <c r="E13">
        <v>13.4038</v>
      </c>
      <c r="G13" s="1">
        <v>0.9</v>
      </c>
      <c r="N13">
        <v>0.9</v>
      </c>
      <c r="O13">
        <v>13.2372</v>
      </c>
      <c r="P13">
        <f t="shared" si="0"/>
        <v>13.237299999999999</v>
      </c>
      <c r="Q13">
        <f>範囲100_seed1!E29</f>
        <v>13.237299999999999</v>
      </c>
      <c r="R13">
        <f>範囲150_seed1!E29</f>
        <v>13.237299999999999</v>
      </c>
      <c r="T13">
        <v>0.9</v>
      </c>
      <c r="U13">
        <v>13.403700000000001</v>
      </c>
      <c r="V13">
        <f t="shared" si="1"/>
        <v>13.4038</v>
      </c>
      <c r="W13">
        <f>範囲100_seed1!E13</f>
        <v>13.4038</v>
      </c>
    </row>
    <row r="14" spans="2:23">
      <c r="B14" s="1">
        <v>1</v>
      </c>
      <c r="C14">
        <v>10.9337</v>
      </c>
      <c r="D14">
        <v>16.670000000000002</v>
      </c>
      <c r="E14">
        <v>13.4038</v>
      </c>
      <c r="G14" s="1">
        <v>1</v>
      </c>
      <c r="N14">
        <v>1</v>
      </c>
      <c r="O14">
        <v>13.2372</v>
      </c>
      <c r="P14">
        <f t="shared" si="0"/>
        <v>13.237299999999999</v>
      </c>
      <c r="Q14">
        <f>範囲100_seed1!E30</f>
        <v>13.237299999999999</v>
      </c>
      <c r="R14">
        <f>範囲150_seed1!E30</f>
        <v>13.237299999999999</v>
      </c>
      <c r="T14">
        <v>1</v>
      </c>
      <c r="U14">
        <v>13.403700000000001</v>
      </c>
      <c r="V14">
        <f t="shared" si="1"/>
        <v>13.4038</v>
      </c>
      <c r="W14">
        <f>範囲100_seed1!E14</f>
        <v>13.4038</v>
      </c>
    </row>
    <row r="16" spans="2:23">
      <c r="D16" t="s">
        <v>9</v>
      </c>
    </row>
    <row r="18" spans="2:10">
      <c r="B18" s="1"/>
      <c r="C18" s="1" t="s">
        <v>18</v>
      </c>
      <c r="D18" s="1"/>
      <c r="E18" s="1" t="s">
        <v>6</v>
      </c>
      <c r="G18" s="1"/>
      <c r="H18" s="1" t="s">
        <v>18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2">
        <v>0</v>
      </c>
      <c r="C20">
        <v>11.6867</v>
      </c>
      <c r="D20">
        <v>12.677099999999999</v>
      </c>
      <c r="E20">
        <v>12.049099999999999</v>
      </c>
      <c r="G20" s="1">
        <v>0</v>
      </c>
    </row>
    <row r="21" spans="2:10">
      <c r="B21" s="1">
        <v>0.1</v>
      </c>
      <c r="C21">
        <v>11.6867</v>
      </c>
      <c r="D21">
        <v>12.677099999999999</v>
      </c>
      <c r="E21">
        <v>12.049099999999999</v>
      </c>
      <c r="G21" s="1">
        <v>0.1</v>
      </c>
    </row>
    <row r="22" spans="2:10">
      <c r="B22" s="1">
        <v>0.2</v>
      </c>
      <c r="C22">
        <v>11.6867</v>
      </c>
      <c r="D22">
        <v>12.677099999999999</v>
      </c>
      <c r="E22">
        <v>12.049099999999999</v>
      </c>
      <c r="G22" s="1">
        <v>0.2</v>
      </c>
    </row>
    <row r="23" spans="2:10">
      <c r="B23" s="1">
        <v>0.3</v>
      </c>
      <c r="C23">
        <v>11.6867</v>
      </c>
      <c r="D23">
        <v>12.677099999999999</v>
      </c>
      <c r="E23">
        <v>12.049099999999999</v>
      </c>
      <c r="G23" s="1">
        <v>0.3</v>
      </c>
    </row>
    <row r="24" spans="2:10">
      <c r="B24" s="2">
        <v>0.4</v>
      </c>
      <c r="C24">
        <v>12.1564</v>
      </c>
      <c r="D24">
        <v>14.223100000000001</v>
      </c>
      <c r="E24">
        <v>12.8948</v>
      </c>
      <c r="G24" s="1">
        <v>0.4</v>
      </c>
    </row>
    <row r="25" spans="2:10">
      <c r="B25" s="1">
        <v>0.5</v>
      </c>
      <c r="C25">
        <v>11.852600000000001</v>
      </c>
      <c r="D25">
        <v>14.108000000000001</v>
      </c>
      <c r="E25">
        <v>12.654500000000001</v>
      </c>
      <c r="G25" s="1">
        <v>0.5</v>
      </c>
    </row>
    <row r="26" spans="2:10">
      <c r="B26" s="2">
        <v>0.6</v>
      </c>
      <c r="C26">
        <v>12.424200000000001</v>
      </c>
      <c r="D26">
        <v>14.526899999999999</v>
      </c>
      <c r="E26">
        <v>13.182600000000001</v>
      </c>
      <c r="G26" s="1">
        <v>0.6</v>
      </c>
    </row>
    <row r="27" spans="2:10">
      <c r="B27" s="2">
        <v>0.7</v>
      </c>
      <c r="C27">
        <v>11.4368</v>
      </c>
      <c r="D27">
        <v>14.500500000000001</v>
      </c>
      <c r="E27">
        <v>12.539899999999999</v>
      </c>
      <c r="G27" s="1">
        <v>0.7</v>
      </c>
    </row>
    <row r="28" spans="2:10">
      <c r="B28" s="2">
        <v>0.8</v>
      </c>
      <c r="C28">
        <v>11.648099999999999</v>
      </c>
      <c r="D28">
        <v>16.496200000000002</v>
      </c>
      <c r="E28">
        <v>13.283899999999999</v>
      </c>
      <c r="G28" s="1">
        <v>0.8</v>
      </c>
    </row>
    <row r="29" spans="2:10">
      <c r="B29" s="2">
        <v>0.9</v>
      </c>
      <c r="C29">
        <v>11.5212</v>
      </c>
      <c r="D29">
        <v>16.670000000000002</v>
      </c>
      <c r="E29">
        <v>13.237299999999999</v>
      </c>
      <c r="G29" s="1">
        <v>0.9</v>
      </c>
    </row>
    <row r="30" spans="2:10">
      <c r="B30" s="1">
        <v>1</v>
      </c>
      <c r="C30">
        <v>11.5212</v>
      </c>
      <c r="D30">
        <v>16.670000000000002</v>
      </c>
      <c r="E30">
        <v>13.237299999999999</v>
      </c>
      <c r="G30" s="1">
        <v>1</v>
      </c>
    </row>
    <row r="32" spans="2:10">
      <c r="D32" t="s">
        <v>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961A-F979-864A-BDCD-06760983E192}">
  <dimension ref="B2:L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14.724299999999999</v>
      </c>
      <c r="D4">
        <v>13.223699999999999</v>
      </c>
      <c r="E4">
        <v>13.982900000000001</v>
      </c>
      <c r="G4" s="1">
        <v>0</v>
      </c>
    </row>
    <row r="5" spans="2:10">
      <c r="B5" s="1">
        <v>0.1</v>
      </c>
      <c r="C5">
        <v>14.724299999999999</v>
      </c>
      <c r="D5">
        <v>13.223699999999999</v>
      </c>
      <c r="E5">
        <v>13.982900000000001</v>
      </c>
      <c r="G5" s="1">
        <v>0.1</v>
      </c>
    </row>
    <row r="6" spans="2:10">
      <c r="B6" s="1">
        <v>0.2</v>
      </c>
      <c r="C6">
        <v>14.724299999999999</v>
      </c>
      <c r="D6">
        <v>13.223699999999999</v>
      </c>
      <c r="E6">
        <v>13.982900000000001</v>
      </c>
      <c r="G6" s="1">
        <v>0.2</v>
      </c>
    </row>
    <row r="7" spans="2:10">
      <c r="B7" s="1">
        <v>0.3</v>
      </c>
      <c r="C7">
        <v>14.7234</v>
      </c>
      <c r="D7">
        <v>13.226900000000001</v>
      </c>
      <c r="E7">
        <v>13.984</v>
      </c>
      <c r="G7" s="1">
        <v>0.3</v>
      </c>
    </row>
    <row r="8" spans="2:10">
      <c r="B8" s="1">
        <v>0.4</v>
      </c>
      <c r="C8">
        <v>14.7234</v>
      </c>
      <c r="D8">
        <v>13.226900000000001</v>
      </c>
      <c r="E8">
        <v>13.984</v>
      </c>
      <c r="G8" s="1">
        <v>0.4</v>
      </c>
    </row>
    <row r="9" spans="2:10">
      <c r="B9" s="1">
        <v>0.5</v>
      </c>
      <c r="C9">
        <v>14.2485</v>
      </c>
      <c r="D9">
        <v>14.189399999999999</v>
      </c>
      <c r="E9">
        <v>14.2195</v>
      </c>
      <c r="G9" s="1">
        <v>0.5</v>
      </c>
    </row>
    <row r="10" spans="2:10">
      <c r="B10" s="1">
        <v>0.6</v>
      </c>
      <c r="C10">
        <v>14.235099999999999</v>
      </c>
      <c r="D10">
        <v>15.173</v>
      </c>
      <c r="E10">
        <v>14.6927</v>
      </c>
      <c r="G10" s="1">
        <v>0.6</v>
      </c>
    </row>
    <row r="11" spans="2:10">
      <c r="B11" s="1">
        <v>0.7</v>
      </c>
      <c r="C11">
        <v>13.4495</v>
      </c>
      <c r="D11">
        <v>16.423300000000001</v>
      </c>
      <c r="E11">
        <v>14.8287</v>
      </c>
      <c r="G11" s="1">
        <v>0.7</v>
      </c>
    </row>
    <row r="12" spans="2:10">
      <c r="B12" s="1">
        <v>0.8</v>
      </c>
      <c r="C12">
        <v>11.0084</v>
      </c>
      <c r="D12">
        <v>16.648599999999998</v>
      </c>
      <c r="E12">
        <v>13.436999999999999</v>
      </c>
      <c r="G12" s="1">
        <v>0.8</v>
      </c>
    </row>
    <row r="13" spans="2:10">
      <c r="B13" s="1">
        <v>0.9</v>
      </c>
      <c r="C13">
        <v>10.9337</v>
      </c>
      <c r="D13">
        <v>16.670000000000002</v>
      </c>
      <c r="E13">
        <v>13.4038</v>
      </c>
      <c r="G13" s="1">
        <v>0.9</v>
      </c>
    </row>
    <row r="14" spans="2:10">
      <c r="B14" s="1">
        <v>1</v>
      </c>
      <c r="C14">
        <v>10.9337</v>
      </c>
      <c r="D14">
        <v>16.670000000000002</v>
      </c>
      <c r="E14">
        <v>13.4038</v>
      </c>
      <c r="G14" s="1">
        <v>1</v>
      </c>
    </row>
    <row r="16" spans="2:10">
      <c r="D16" t="s">
        <v>9</v>
      </c>
      <c r="J16" t="s">
        <v>19</v>
      </c>
    </row>
    <row r="18" spans="2:12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2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2">
      <c r="B20" s="1">
        <v>0</v>
      </c>
      <c r="C20">
        <v>11.6867</v>
      </c>
      <c r="D20">
        <v>12.677099999999999</v>
      </c>
      <c r="E20">
        <v>12.049099999999999</v>
      </c>
      <c r="G20" s="2">
        <v>0</v>
      </c>
      <c r="H20" s="2">
        <v>14.898199999999999</v>
      </c>
      <c r="I20" s="2">
        <v>13.2539</v>
      </c>
      <c r="J20" s="2">
        <v>13.863300000000001</v>
      </c>
    </row>
    <row r="21" spans="2:12">
      <c r="B21" s="1">
        <v>0.1</v>
      </c>
      <c r="C21">
        <v>11.6867</v>
      </c>
      <c r="D21">
        <v>12.677099999999999</v>
      </c>
      <c r="E21">
        <v>12.049099999999999</v>
      </c>
      <c r="G21" s="2">
        <v>0.1</v>
      </c>
      <c r="H21" s="2">
        <v>14.898199999999999</v>
      </c>
      <c r="I21" s="2">
        <v>13.2539</v>
      </c>
      <c r="J21" s="2">
        <v>13.863300000000001</v>
      </c>
    </row>
    <row r="22" spans="2:12">
      <c r="B22" s="1">
        <v>0.2</v>
      </c>
      <c r="C22">
        <v>12.742000000000001</v>
      </c>
      <c r="D22">
        <v>12.4678</v>
      </c>
      <c r="E22">
        <v>12.64</v>
      </c>
      <c r="G22" s="1">
        <v>0.2</v>
      </c>
      <c r="H22">
        <v>14.8889</v>
      </c>
      <c r="I22">
        <v>13.3629</v>
      </c>
      <c r="J22">
        <v>13.9285</v>
      </c>
      <c r="L22" t="s">
        <v>26</v>
      </c>
    </row>
    <row r="23" spans="2:12">
      <c r="B23" s="1">
        <v>0.3</v>
      </c>
      <c r="C23">
        <v>10.824</v>
      </c>
      <c r="D23">
        <v>12.833500000000001</v>
      </c>
      <c r="E23">
        <v>11.5395</v>
      </c>
      <c r="G23" s="1">
        <v>0.3</v>
      </c>
      <c r="H23">
        <v>12.573</v>
      </c>
      <c r="I23">
        <v>13.326000000000001</v>
      </c>
      <c r="J23">
        <v>13.034599999999999</v>
      </c>
    </row>
    <row r="24" spans="2:12">
      <c r="B24" s="1">
        <v>0.4</v>
      </c>
      <c r="C24">
        <v>12.525600000000001</v>
      </c>
      <c r="D24">
        <v>13.4596</v>
      </c>
      <c r="E24">
        <v>12.8666</v>
      </c>
      <c r="G24" s="1">
        <v>0.4</v>
      </c>
      <c r="H24">
        <v>12.018599999999999</v>
      </c>
      <c r="I24">
        <v>16.073499999999999</v>
      </c>
      <c r="J24">
        <v>14.383100000000001</v>
      </c>
    </row>
    <row r="25" spans="2:12">
      <c r="B25" s="1">
        <v>0.5</v>
      </c>
      <c r="C25">
        <v>11.933400000000001</v>
      </c>
      <c r="D25">
        <v>14.4274</v>
      </c>
      <c r="E25">
        <v>12.832599999999999</v>
      </c>
      <c r="G25" s="1">
        <v>0.5</v>
      </c>
      <c r="H25">
        <v>11.81</v>
      </c>
      <c r="I25">
        <v>16.338799999999999</v>
      </c>
      <c r="J25">
        <v>14.450900000000001</v>
      </c>
    </row>
    <row r="26" spans="2:12">
      <c r="B26" s="1">
        <v>0.6</v>
      </c>
      <c r="C26">
        <v>12.4239</v>
      </c>
      <c r="D26">
        <v>14.470800000000001</v>
      </c>
      <c r="E26">
        <v>13.1622</v>
      </c>
      <c r="G26" s="1">
        <v>0.6</v>
      </c>
      <c r="H26">
        <v>11.7502</v>
      </c>
      <c r="I26">
        <v>16.418199999999999</v>
      </c>
      <c r="J26">
        <v>14.472200000000001</v>
      </c>
    </row>
    <row r="27" spans="2:12">
      <c r="B27" s="1">
        <v>0.7</v>
      </c>
      <c r="C27">
        <v>10.824</v>
      </c>
      <c r="D27">
        <v>12.833500000000001</v>
      </c>
      <c r="E27">
        <v>11.5395</v>
      </c>
      <c r="G27" s="1">
        <v>0.7</v>
      </c>
      <c r="H27">
        <v>11.731</v>
      </c>
      <c r="I27">
        <v>16.445900000000002</v>
      </c>
      <c r="J27">
        <v>14.480399999999999</v>
      </c>
    </row>
    <row r="28" spans="2:12">
      <c r="B28" s="1">
        <v>0.8</v>
      </c>
      <c r="C28">
        <v>11.6471</v>
      </c>
      <c r="D28">
        <v>16.508199999999999</v>
      </c>
      <c r="E28">
        <v>13.286899999999999</v>
      </c>
      <c r="G28" s="2">
        <v>0.8</v>
      </c>
      <c r="H28" s="2">
        <v>9.7993000000000006</v>
      </c>
      <c r="I28" s="2">
        <v>16.670000000000002</v>
      </c>
      <c r="J28" s="2">
        <v>13.648400000000001</v>
      </c>
    </row>
    <row r="29" spans="2:12">
      <c r="B29" s="2">
        <v>0.9</v>
      </c>
      <c r="C29">
        <v>11.5212</v>
      </c>
      <c r="D29">
        <v>16.670000000000002</v>
      </c>
      <c r="E29">
        <v>13.237299999999999</v>
      </c>
      <c r="G29" s="2">
        <v>0.9</v>
      </c>
      <c r="H29" s="2">
        <v>9.7993000000000006</v>
      </c>
      <c r="I29" s="2">
        <v>16.670000000000002</v>
      </c>
      <c r="J29" s="2">
        <v>13.648400000000001</v>
      </c>
    </row>
    <row r="30" spans="2:12">
      <c r="B30" s="2">
        <v>1</v>
      </c>
      <c r="C30">
        <v>11.5212</v>
      </c>
      <c r="D30">
        <v>16.670000000000002</v>
      </c>
      <c r="E30">
        <v>13.237299999999999</v>
      </c>
      <c r="G30" s="1">
        <v>1</v>
      </c>
      <c r="H30" s="2">
        <v>9.7993000000000006</v>
      </c>
      <c r="I30" s="2">
        <v>16.670000000000002</v>
      </c>
      <c r="J30" s="2">
        <v>13.648400000000001</v>
      </c>
    </row>
    <row r="32" spans="2:12">
      <c r="D32" t="s">
        <v>8</v>
      </c>
      <c r="I32" t="s">
        <v>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19DE-A470-1F4D-A20A-22436483B63D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15.4712</v>
      </c>
      <c r="D4">
        <v>14.8276</v>
      </c>
      <c r="E4">
        <v>15.142099999999999</v>
      </c>
      <c r="G4" s="1">
        <v>0</v>
      </c>
    </row>
    <row r="5" spans="2:10">
      <c r="B5" s="1">
        <v>0.1</v>
      </c>
      <c r="C5">
        <v>15.4712</v>
      </c>
      <c r="D5">
        <v>14.8276</v>
      </c>
      <c r="E5">
        <v>15.142099999999999</v>
      </c>
      <c r="G5" s="1">
        <v>0.1</v>
      </c>
    </row>
    <row r="6" spans="2:10">
      <c r="B6" s="1">
        <v>0.2</v>
      </c>
      <c r="C6">
        <v>15.3667</v>
      </c>
      <c r="D6">
        <v>15.001899999999999</v>
      </c>
      <c r="E6">
        <v>15.180199999999999</v>
      </c>
      <c r="G6" s="1">
        <v>0.2</v>
      </c>
    </row>
    <row r="7" spans="2:10">
      <c r="B7" s="1">
        <v>0.3</v>
      </c>
      <c r="C7">
        <v>15.3003</v>
      </c>
      <c r="D7">
        <v>15.182700000000001</v>
      </c>
      <c r="E7">
        <v>15.2402</v>
      </c>
      <c r="G7" s="1">
        <v>0.3</v>
      </c>
    </row>
    <row r="8" spans="2:10">
      <c r="B8" s="1">
        <v>0.4</v>
      </c>
      <c r="C8">
        <v>15.2775</v>
      </c>
      <c r="D8">
        <v>15.2418</v>
      </c>
      <c r="E8">
        <v>15.2592</v>
      </c>
      <c r="G8" s="1">
        <v>0.4</v>
      </c>
    </row>
    <row r="9" spans="2:10">
      <c r="B9" s="1">
        <v>0.5</v>
      </c>
      <c r="C9">
        <v>15.282400000000001</v>
      </c>
      <c r="D9">
        <v>15.5678</v>
      </c>
      <c r="E9">
        <v>15.4284</v>
      </c>
      <c r="G9" s="1">
        <v>0.5</v>
      </c>
    </row>
    <row r="10" spans="2:10">
      <c r="B10" s="1">
        <v>0.6</v>
      </c>
      <c r="C10">
        <v>14.283099999999999</v>
      </c>
      <c r="D10">
        <v>16.3355</v>
      </c>
      <c r="E10">
        <v>15.287000000000001</v>
      </c>
      <c r="G10" s="1">
        <v>0.6</v>
      </c>
    </row>
    <row r="11" spans="2:10">
      <c r="B11" s="1">
        <v>0.7</v>
      </c>
      <c r="C11">
        <v>13.385</v>
      </c>
      <c r="D11">
        <v>16.341999999999999</v>
      </c>
      <c r="E11">
        <v>14.808299999999999</v>
      </c>
      <c r="G11" s="1">
        <v>0.7</v>
      </c>
    </row>
    <row r="12" spans="2:10">
      <c r="B12" s="1">
        <v>0.8</v>
      </c>
      <c r="C12">
        <v>13.256600000000001</v>
      </c>
      <c r="D12">
        <v>16.670000000000002</v>
      </c>
      <c r="E12">
        <v>14.879200000000001</v>
      </c>
      <c r="G12" s="1">
        <v>0.8</v>
      </c>
    </row>
    <row r="13" spans="2:10">
      <c r="B13" s="1">
        <v>0.9</v>
      </c>
      <c r="C13">
        <v>13.256600000000001</v>
      </c>
      <c r="D13">
        <v>16.670000000000002</v>
      </c>
      <c r="E13">
        <v>14.879200000000001</v>
      </c>
      <c r="G13" s="1">
        <v>0.9</v>
      </c>
    </row>
    <row r="14" spans="2:10">
      <c r="B14" s="1">
        <v>1</v>
      </c>
      <c r="C14">
        <v>13.256600000000001</v>
      </c>
      <c r="D14">
        <v>16.670000000000002</v>
      </c>
      <c r="E14">
        <v>14.879200000000001</v>
      </c>
      <c r="G14" s="1">
        <v>1</v>
      </c>
    </row>
    <row r="16" spans="2:10">
      <c r="D16" t="s">
        <v>9</v>
      </c>
      <c r="J16" t="s">
        <v>19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14.7948</v>
      </c>
      <c r="D20">
        <v>14.311500000000001</v>
      </c>
      <c r="E20">
        <v>14.617599999999999</v>
      </c>
      <c r="G20" s="1">
        <v>0</v>
      </c>
      <c r="H20">
        <v>13.7583</v>
      </c>
      <c r="I20">
        <v>13.5191</v>
      </c>
      <c r="J20">
        <v>13.6058</v>
      </c>
    </row>
    <row r="21" spans="2:10">
      <c r="B21" s="1">
        <v>0.1</v>
      </c>
      <c r="C21">
        <v>14.7948</v>
      </c>
      <c r="D21">
        <v>14.311500000000001</v>
      </c>
      <c r="E21">
        <v>14.617599999999999</v>
      </c>
      <c r="G21" s="1">
        <v>0.1</v>
      </c>
      <c r="H21">
        <v>13.7843</v>
      </c>
      <c r="I21">
        <v>13.498900000000001</v>
      </c>
      <c r="J21">
        <v>13.6023</v>
      </c>
    </row>
    <row r="22" spans="2:10">
      <c r="B22" s="1">
        <v>0.2</v>
      </c>
      <c r="C22">
        <v>14.7811</v>
      </c>
      <c r="D22">
        <v>14.356999999999999</v>
      </c>
      <c r="E22">
        <v>14.625500000000001</v>
      </c>
      <c r="G22" s="1">
        <v>0.2</v>
      </c>
      <c r="H22">
        <v>13.628299999999999</v>
      </c>
      <c r="I22">
        <v>14.979900000000001</v>
      </c>
      <c r="J22">
        <v>14.4755</v>
      </c>
    </row>
    <row r="23" spans="2:10">
      <c r="B23" s="1">
        <v>0.3</v>
      </c>
      <c r="C23">
        <v>14.7811</v>
      </c>
      <c r="D23">
        <v>14.356999999999999</v>
      </c>
      <c r="E23">
        <v>14.625500000000001</v>
      </c>
      <c r="G23" s="1">
        <v>0.3</v>
      </c>
      <c r="H23">
        <v>13.7333</v>
      </c>
      <c r="I23">
        <v>15.9588</v>
      </c>
      <c r="J23">
        <v>15.111599999999999</v>
      </c>
    </row>
    <row r="24" spans="2:10">
      <c r="B24" s="1">
        <v>0.4</v>
      </c>
      <c r="C24">
        <v>14.8957</v>
      </c>
      <c r="D24">
        <v>14.3264</v>
      </c>
      <c r="E24">
        <v>14.6869</v>
      </c>
      <c r="G24" s="1">
        <v>0.4</v>
      </c>
      <c r="H24">
        <v>13.760199999999999</v>
      </c>
      <c r="I24">
        <v>16.4056</v>
      </c>
      <c r="J24">
        <v>15.3957</v>
      </c>
    </row>
    <row r="25" spans="2:10">
      <c r="B25" s="1">
        <v>0.5</v>
      </c>
      <c r="C25">
        <v>14.834199999999999</v>
      </c>
      <c r="D25">
        <v>15.2293</v>
      </c>
      <c r="E25">
        <v>14.979100000000001</v>
      </c>
      <c r="G25" s="1">
        <v>0.5</v>
      </c>
      <c r="H25">
        <v>13.802300000000001</v>
      </c>
      <c r="I25">
        <v>16.465</v>
      </c>
      <c r="J25">
        <v>15.448499999999999</v>
      </c>
    </row>
    <row r="26" spans="2:10">
      <c r="B26" s="1">
        <v>0.6</v>
      </c>
      <c r="C26">
        <v>14.254799999999999</v>
      </c>
      <c r="D26">
        <v>13.8086</v>
      </c>
      <c r="E26">
        <v>14.094200000000001</v>
      </c>
      <c r="G26" s="1">
        <v>0.6</v>
      </c>
      <c r="H26">
        <v>12.651400000000001</v>
      </c>
      <c r="I26">
        <v>16.4193</v>
      </c>
      <c r="J26">
        <v>14.934200000000001</v>
      </c>
    </row>
    <row r="27" spans="2:10">
      <c r="B27" s="1">
        <v>0.7</v>
      </c>
      <c r="C27">
        <v>13.5374</v>
      </c>
      <c r="D27">
        <v>14.863300000000001</v>
      </c>
      <c r="E27">
        <v>13.998900000000001</v>
      </c>
      <c r="G27" s="1">
        <v>0.7</v>
      </c>
      <c r="H27">
        <v>12.606199999999999</v>
      </c>
      <c r="I27">
        <v>16.083400000000001</v>
      </c>
      <c r="J27">
        <v>14.7324</v>
      </c>
    </row>
    <row r="28" spans="2:10">
      <c r="B28" s="1">
        <v>0.8</v>
      </c>
      <c r="C28">
        <v>13.1839</v>
      </c>
      <c r="D28">
        <v>16.663799999999998</v>
      </c>
      <c r="E28">
        <v>14.351599999999999</v>
      </c>
      <c r="G28" s="2">
        <v>0.8</v>
      </c>
      <c r="H28">
        <v>11.948700000000001</v>
      </c>
      <c r="I28">
        <v>16.670000000000002</v>
      </c>
      <c r="J28">
        <v>14.8081</v>
      </c>
    </row>
    <row r="29" spans="2:10">
      <c r="B29" s="1">
        <v>0.9</v>
      </c>
      <c r="C29">
        <v>13.1952</v>
      </c>
      <c r="D29">
        <v>16.669</v>
      </c>
      <c r="E29">
        <v>14.360799999999999</v>
      </c>
      <c r="G29" s="2">
        <v>0.9</v>
      </c>
      <c r="H29">
        <v>11.948700000000001</v>
      </c>
      <c r="I29">
        <v>16.670000000000002</v>
      </c>
      <c r="J29">
        <v>14.8081</v>
      </c>
    </row>
    <row r="30" spans="2:10">
      <c r="B30" s="1">
        <v>1</v>
      </c>
      <c r="C30">
        <v>13.186500000000001</v>
      </c>
      <c r="D30">
        <v>16.670000000000002</v>
      </c>
      <c r="E30">
        <v>14.3552</v>
      </c>
      <c r="G30" s="1">
        <v>1</v>
      </c>
      <c r="H30">
        <v>11.948700000000001</v>
      </c>
      <c r="I30">
        <v>16.670000000000002</v>
      </c>
      <c r="J30">
        <v>14.8081</v>
      </c>
    </row>
    <row r="32" spans="2:10">
      <c r="D32" t="s">
        <v>9</v>
      </c>
      <c r="I32" t="s">
        <v>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9F48-4DD5-F547-9707-D11F4DC53B72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16.215800000000002</v>
      </c>
      <c r="D4">
        <v>16.145600000000002</v>
      </c>
      <c r="E4">
        <v>16.179099999999998</v>
      </c>
      <c r="G4" s="1">
        <v>0</v>
      </c>
      <c r="H4">
        <v>16.262899999999998</v>
      </c>
      <c r="I4">
        <v>16.543099999999999</v>
      </c>
      <c r="J4">
        <v>16.3919</v>
      </c>
    </row>
    <row r="5" spans="2:10">
      <c r="B5" s="1">
        <v>0.1</v>
      </c>
      <c r="C5">
        <v>16.215800000000002</v>
      </c>
      <c r="D5">
        <v>16.145600000000002</v>
      </c>
      <c r="E5">
        <v>16.179099999999998</v>
      </c>
      <c r="G5" s="1">
        <v>0.1</v>
      </c>
      <c r="H5">
        <v>16.262899999999998</v>
      </c>
      <c r="I5">
        <v>16.543099999999999</v>
      </c>
      <c r="J5">
        <v>16.3919</v>
      </c>
    </row>
    <row r="6" spans="2:10">
      <c r="B6" s="1">
        <v>0.2</v>
      </c>
      <c r="C6">
        <v>16.215800000000002</v>
      </c>
      <c r="D6">
        <v>16.145600000000002</v>
      </c>
      <c r="E6">
        <v>16.179099999999998</v>
      </c>
      <c r="G6" s="1">
        <v>0.2</v>
      </c>
      <c r="H6">
        <v>16.262899999999998</v>
      </c>
      <c r="I6">
        <v>16.543099999999999</v>
      </c>
      <c r="J6">
        <v>16.3919</v>
      </c>
    </row>
    <row r="7" spans="2:10">
      <c r="B7" s="1">
        <v>0.3</v>
      </c>
      <c r="C7">
        <v>16.215800000000002</v>
      </c>
      <c r="D7">
        <v>16.145600000000002</v>
      </c>
      <c r="E7">
        <v>16.179099999999998</v>
      </c>
      <c r="G7" s="1">
        <v>0.3</v>
      </c>
      <c r="H7">
        <v>16.262899999999998</v>
      </c>
      <c r="I7">
        <v>16.543099999999999</v>
      </c>
      <c r="J7">
        <v>16.3919</v>
      </c>
    </row>
    <row r="8" spans="2:10">
      <c r="B8" s="1">
        <v>0.4</v>
      </c>
      <c r="C8">
        <v>16.183399999999999</v>
      </c>
      <c r="D8">
        <v>16.2225</v>
      </c>
      <c r="E8">
        <v>16.203800000000001</v>
      </c>
      <c r="G8" s="1">
        <v>0.4</v>
      </c>
      <c r="H8">
        <v>16.262899999999998</v>
      </c>
      <c r="I8">
        <v>16.543099999999999</v>
      </c>
      <c r="J8">
        <v>16.3919</v>
      </c>
    </row>
    <row r="9" spans="2:10">
      <c r="B9" s="1">
        <v>0.5</v>
      </c>
      <c r="C9">
        <v>14.8766</v>
      </c>
      <c r="D9">
        <v>16.5565</v>
      </c>
      <c r="E9">
        <v>15.7174</v>
      </c>
      <c r="G9" s="1">
        <v>0.5</v>
      </c>
      <c r="H9">
        <v>16.262899999999998</v>
      </c>
      <c r="I9">
        <v>16.543099999999999</v>
      </c>
      <c r="J9">
        <v>16.3919</v>
      </c>
    </row>
    <row r="10" spans="2:10">
      <c r="B10" s="1">
        <v>0.6</v>
      </c>
      <c r="C10">
        <v>14.8766</v>
      </c>
      <c r="D10">
        <v>16.5565</v>
      </c>
      <c r="E10">
        <v>15.7174</v>
      </c>
      <c r="G10" s="1">
        <v>0.6</v>
      </c>
      <c r="H10">
        <v>16.262899999999998</v>
      </c>
      <c r="I10">
        <v>16.543099999999999</v>
      </c>
      <c r="J10">
        <v>16.3919</v>
      </c>
    </row>
    <row r="11" spans="2:10">
      <c r="B11" s="1">
        <v>0.7</v>
      </c>
      <c r="C11">
        <v>14.7384</v>
      </c>
      <c r="D11">
        <v>16.606999999999999</v>
      </c>
      <c r="E11">
        <v>15.667899999999999</v>
      </c>
      <c r="G11" s="1">
        <v>0.7</v>
      </c>
      <c r="H11">
        <v>16.262899999999998</v>
      </c>
      <c r="I11">
        <v>16.543099999999999</v>
      </c>
      <c r="J11">
        <v>16.3919</v>
      </c>
    </row>
    <row r="12" spans="2:10">
      <c r="B12" s="1">
        <v>0.8</v>
      </c>
      <c r="C12">
        <v>14.7384</v>
      </c>
      <c r="D12">
        <v>16.606999999999999</v>
      </c>
      <c r="E12">
        <v>15.667899999999999</v>
      </c>
      <c r="G12" s="1">
        <v>0.8</v>
      </c>
      <c r="H12">
        <v>16.262899999999998</v>
      </c>
      <c r="I12">
        <v>16.543099999999999</v>
      </c>
      <c r="J12">
        <v>16.3919</v>
      </c>
    </row>
    <row r="13" spans="2:10">
      <c r="B13" s="1">
        <v>0.9</v>
      </c>
      <c r="C13">
        <v>13.0121</v>
      </c>
      <c r="D13">
        <v>16.670000000000002</v>
      </c>
      <c r="E13">
        <v>14.7402</v>
      </c>
      <c r="G13" s="1">
        <v>0.9</v>
      </c>
      <c r="H13">
        <v>16.0807</v>
      </c>
      <c r="I13">
        <v>16.670000000000002</v>
      </c>
      <c r="J13">
        <v>16.349299999999999</v>
      </c>
    </row>
    <row r="14" spans="2:10">
      <c r="B14" s="1">
        <v>1</v>
      </c>
      <c r="C14">
        <v>13.0121</v>
      </c>
      <c r="D14">
        <v>16.670000000000002</v>
      </c>
      <c r="E14">
        <v>14.7402</v>
      </c>
      <c r="G14" s="1">
        <v>1</v>
      </c>
      <c r="H14">
        <v>16.0807</v>
      </c>
      <c r="I14">
        <v>16.670000000000002</v>
      </c>
      <c r="J14">
        <v>16.349299999999999</v>
      </c>
    </row>
    <row r="16" spans="2:10">
      <c r="D16" t="s">
        <v>8</v>
      </c>
      <c r="I16" t="s">
        <v>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15.5153</v>
      </c>
      <c r="D20">
        <v>15.879200000000001</v>
      </c>
      <c r="E20">
        <v>15.665699999999999</v>
      </c>
      <c r="G20" s="1">
        <v>0</v>
      </c>
      <c r="H20">
        <v>16.262899999999998</v>
      </c>
      <c r="I20">
        <v>16.605799999999999</v>
      </c>
      <c r="J20">
        <v>16.4803</v>
      </c>
    </row>
    <row r="21" spans="2:10">
      <c r="B21" s="1">
        <v>0.1</v>
      </c>
      <c r="C21">
        <v>15.5153</v>
      </c>
      <c r="D21">
        <v>15.879200000000001</v>
      </c>
      <c r="E21">
        <v>15.665699999999999</v>
      </c>
      <c r="G21" s="1">
        <v>0.1</v>
      </c>
      <c r="H21">
        <v>16.262899999999998</v>
      </c>
      <c r="I21">
        <v>16.605799999999999</v>
      </c>
      <c r="J21">
        <v>16.4803</v>
      </c>
    </row>
    <row r="22" spans="2:10">
      <c r="B22" s="1">
        <v>0.2</v>
      </c>
      <c r="C22">
        <v>15.5153</v>
      </c>
      <c r="D22">
        <v>15.879200000000001</v>
      </c>
      <c r="E22">
        <v>15.665699999999999</v>
      </c>
      <c r="G22" s="1">
        <v>0.2</v>
      </c>
      <c r="H22">
        <v>16.262899999999998</v>
      </c>
      <c r="I22">
        <v>16.605799999999999</v>
      </c>
      <c r="J22">
        <v>16.4803</v>
      </c>
    </row>
    <row r="23" spans="2:10">
      <c r="B23" s="1">
        <v>0.3</v>
      </c>
      <c r="C23">
        <v>15.5153</v>
      </c>
      <c r="D23">
        <v>15.879200000000001</v>
      </c>
      <c r="E23">
        <v>15.665699999999999</v>
      </c>
      <c r="G23" s="1">
        <v>0.3</v>
      </c>
      <c r="H23">
        <v>16.262899999999998</v>
      </c>
      <c r="I23">
        <v>16.605799999999999</v>
      </c>
      <c r="J23">
        <v>16.4803</v>
      </c>
    </row>
    <row r="24" spans="2:10">
      <c r="B24" s="1">
        <v>0.4</v>
      </c>
      <c r="C24">
        <v>15.5153</v>
      </c>
      <c r="D24">
        <v>15.879200000000001</v>
      </c>
      <c r="E24">
        <v>15.665699999999999</v>
      </c>
      <c r="G24" s="1">
        <v>0.4</v>
      </c>
      <c r="H24">
        <v>16.262899999999998</v>
      </c>
      <c r="I24">
        <v>16.605799999999999</v>
      </c>
      <c r="J24">
        <v>16.4803</v>
      </c>
    </row>
    <row r="25" spans="2:10">
      <c r="B25" s="1">
        <v>0.5</v>
      </c>
      <c r="C25">
        <v>15.5191</v>
      </c>
      <c r="D25">
        <v>15.9222</v>
      </c>
      <c r="E25">
        <v>15.685700000000001</v>
      </c>
      <c r="G25" s="1">
        <v>0.5</v>
      </c>
      <c r="H25">
        <v>16.262899999999998</v>
      </c>
      <c r="I25">
        <v>16.605799999999999</v>
      </c>
      <c r="J25">
        <v>16.4803</v>
      </c>
    </row>
    <row r="26" spans="2:10">
      <c r="B26" s="1">
        <v>0.6</v>
      </c>
      <c r="C26">
        <v>14.4475</v>
      </c>
      <c r="D26">
        <v>16.249300000000002</v>
      </c>
      <c r="E26">
        <v>15.1646</v>
      </c>
      <c r="G26" s="1">
        <v>0.6</v>
      </c>
      <c r="H26">
        <v>16.262899999999998</v>
      </c>
      <c r="I26">
        <v>16.605799999999999</v>
      </c>
      <c r="J26">
        <v>16.4803</v>
      </c>
    </row>
    <row r="27" spans="2:10">
      <c r="B27" s="1">
        <v>0.7</v>
      </c>
      <c r="C27">
        <v>14.689399999999999</v>
      </c>
      <c r="D27">
        <v>16.449100000000001</v>
      </c>
      <c r="E27">
        <v>15.395300000000001</v>
      </c>
      <c r="G27" s="1">
        <v>0.7</v>
      </c>
      <c r="H27">
        <v>16.262899999999998</v>
      </c>
      <c r="I27">
        <v>16.605799999999999</v>
      </c>
      <c r="J27">
        <v>16.4803</v>
      </c>
    </row>
    <row r="28" spans="2:10">
      <c r="B28" s="1">
        <v>0.8</v>
      </c>
      <c r="C28">
        <v>13.4223</v>
      </c>
      <c r="D28">
        <v>16.39</v>
      </c>
      <c r="E28">
        <v>14.567399999999999</v>
      </c>
      <c r="G28" s="2">
        <v>0.8</v>
      </c>
      <c r="H28" s="2">
        <v>13.555099999999999</v>
      </c>
      <c r="I28" s="2">
        <v>16.670000000000002</v>
      </c>
      <c r="J28" s="2">
        <v>15.420199999999999</v>
      </c>
    </row>
    <row r="29" spans="2:10">
      <c r="B29" s="1">
        <v>0.9</v>
      </c>
      <c r="C29">
        <v>13.1843</v>
      </c>
      <c r="D29">
        <v>16.6403</v>
      </c>
      <c r="E29">
        <v>14.510999999999999</v>
      </c>
      <c r="G29" s="2">
        <v>0.9</v>
      </c>
      <c r="H29" s="2">
        <v>13.555099999999999</v>
      </c>
      <c r="I29" s="2">
        <v>16.670000000000002</v>
      </c>
      <c r="J29" s="2">
        <v>15.420199999999999</v>
      </c>
    </row>
    <row r="30" spans="2:10">
      <c r="B30" s="1">
        <v>1</v>
      </c>
      <c r="C30">
        <v>11.9282</v>
      </c>
      <c r="D30">
        <v>16.670000000000002</v>
      </c>
      <c r="E30">
        <v>13.6683</v>
      </c>
      <c r="G30" s="1">
        <v>1</v>
      </c>
      <c r="H30" s="2">
        <v>13.555099999999999</v>
      </c>
      <c r="I30" s="2">
        <v>16.670000000000002</v>
      </c>
      <c r="J30" s="2">
        <v>15.420199999999999</v>
      </c>
    </row>
    <row r="32" spans="2:10">
      <c r="D32" t="s">
        <v>8</v>
      </c>
      <c r="I32" t="s">
        <v>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91F5-C869-AA46-9654-674E5C6B46F5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15.3154</v>
      </c>
      <c r="D4">
        <v>15.667400000000001</v>
      </c>
      <c r="E4">
        <v>15.4833</v>
      </c>
      <c r="G4" s="1">
        <v>0</v>
      </c>
      <c r="H4">
        <v>15.9991</v>
      </c>
      <c r="I4">
        <v>16.663799999999998</v>
      </c>
      <c r="J4">
        <v>16.3263</v>
      </c>
    </row>
    <row r="5" spans="2:10">
      <c r="B5" s="1">
        <v>0.1</v>
      </c>
      <c r="C5">
        <v>15.3154</v>
      </c>
      <c r="D5">
        <v>15.667400000000001</v>
      </c>
      <c r="E5">
        <v>15.4833</v>
      </c>
      <c r="G5" s="1">
        <v>0.1</v>
      </c>
      <c r="H5">
        <v>15.9991</v>
      </c>
      <c r="I5">
        <v>16.663799999999998</v>
      </c>
      <c r="J5">
        <v>16.3263</v>
      </c>
    </row>
    <row r="6" spans="2:10">
      <c r="B6" s="1">
        <v>0.2</v>
      </c>
      <c r="C6">
        <v>15.3154</v>
      </c>
      <c r="D6">
        <v>15.667400000000001</v>
      </c>
      <c r="E6">
        <v>15.4833</v>
      </c>
      <c r="G6" s="1">
        <v>0.2</v>
      </c>
      <c r="H6">
        <v>15.9991</v>
      </c>
      <c r="I6">
        <v>16.663799999999998</v>
      </c>
      <c r="J6">
        <v>16.3263</v>
      </c>
    </row>
    <row r="7" spans="2:10">
      <c r="B7" s="1">
        <v>0.3</v>
      </c>
      <c r="C7">
        <v>14.7949</v>
      </c>
      <c r="D7">
        <v>14.9854</v>
      </c>
      <c r="E7">
        <v>14.886699999999999</v>
      </c>
      <c r="G7" s="1">
        <v>0.3</v>
      </c>
      <c r="H7">
        <v>15.986599999999999</v>
      </c>
      <c r="I7">
        <v>16.669</v>
      </c>
      <c r="J7">
        <v>16.322500000000002</v>
      </c>
    </row>
    <row r="8" spans="2:10">
      <c r="B8" s="1">
        <v>0.4</v>
      </c>
      <c r="C8">
        <v>14.8178</v>
      </c>
      <c r="D8">
        <v>15.0007</v>
      </c>
      <c r="E8">
        <v>14.906000000000001</v>
      </c>
      <c r="G8" s="1">
        <v>0.4</v>
      </c>
      <c r="H8">
        <v>15.986599999999999</v>
      </c>
      <c r="I8">
        <v>16.669</v>
      </c>
      <c r="J8">
        <v>16.322500000000002</v>
      </c>
    </row>
    <row r="9" spans="2:10">
      <c r="B9" s="1">
        <v>0.5</v>
      </c>
      <c r="C9">
        <v>15.2088</v>
      </c>
      <c r="D9">
        <v>16.080100000000002</v>
      </c>
      <c r="E9">
        <v>15.621700000000001</v>
      </c>
      <c r="G9" s="1">
        <v>0.5</v>
      </c>
      <c r="H9">
        <v>15.986599999999999</v>
      </c>
      <c r="I9">
        <v>16.669</v>
      </c>
      <c r="J9">
        <v>16.322500000000002</v>
      </c>
    </row>
    <row r="10" spans="2:10">
      <c r="B10" s="1">
        <v>0.6</v>
      </c>
      <c r="C10">
        <v>15.2088</v>
      </c>
      <c r="D10">
        <v>16.080100000000002</v>
      </c>
      <c r="E10">
        <v>15.621700000000001</v>
      </c>
      <c r="G10" s="1">
        <v>0.6</v>
      </c>
      <c r="H10">
        <v>15.986599999999999</v>
      </c>
      <c r="I10">
        <v>16.669</v>
      </c>
      <c r="J10">
        <v>16.322500000000002</v>
      </c>
    </row>
    <row r="11" spans="2:10">
      <c r="B11" s="1">
        <v>0.7</v>
      </c>
      <c r="C11">
        <v>12.658200000000001</v>
      </c>
      <c r="D11">
        <v>16.383400000000002</v>
      </c>
      <c r="E11">
        <v>14.3126</v>
      </c>
      <c r="G11" s="1">
        <v>0.7</v>
      </c>
      <c r="H11">
        <v>15.986599999999999</v>
      </c>
      <c r="I11">
        <v>16.669</v>
      </c>
      <c r="J11">
        <v>16.322500000000002</v>
      </c>
    </row>
    <row r="12" spans="2:10">
      <c r="B12" s="1">
        <v>0.8</v>
      </c>
      <c r="C12">
        <v>12.440899999999999</v>
      </c>
      <c r="D12">
        <v>16.670000000000002</v>
      </c>
      <c r="E12">
        <v>14.2773</v>
      </c>
      <c r="G12" s="1">
        <v>0.8</v>
      </c>
      <c r="H12">
        <v>15.8851</v>
      </c>
      <c r="I12">
        <v>16.668299999999999</v>
      </c>
      <c r="J12">
        <v>16.268999999999998</v>
      </c>
    </row>
    <row r="13" spans="2:10">
      <c r="B13" s="1">
        <v>0.9</v>
      </c>
      <c r="C13">
        <v>12.440899999999999</v>
      </c>
      <c r="D13">
        <v>16.670000000000002</v>
      </c>
      <c r="E13">
        <v>14.2773</v>
      </c>
      <c r="G13" s="1">
        <v>0.9</v>
      </c>
      <c r="H13">
        <v>15.8908</v>
      </c>
      <c r="I13">
        <v>16.670000000000002</v>
      </c>
      <c r="J13">
        <v>16.2728</v>
      </c>
    </row>
    <row r="14" spans="2:10">
      <c r="B14" s="1">
        <v>1</v>
      </c>
      <c r="C14">
        <v>12.440899999999999</v>
      </c>
      <c r="D14">
        <v>16.670000000000002</v>
      </c>
      <c r="E14">
        <v>14.2773</v>
      </c>
      <c r="G14" s="1">
        <v>1</v>
      </c>
      <c r="H14">
        <v>15.8908</v>
      </c>
      <c r="I14">
        <v>16.670000000000002</v>
      </c>
      <c r="J14">
        <v>16.2728</v>
      </c>
    </row>
    <row r="16" spans="2:10">
      <c r="D16" t="s">
        <v>9</v>
      </c>
      <c r="I16" t="s">
        <v>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13.756399999999999</v>
      </c>
      <c r="D20">
        <v>13.0596</v>
      </c>
      <c r="E20">
        <v>13.501799999999999</v>
      </c>
      <c r="G20" s="1">
        <v>0</v>
      </c>
      <c r="H20">
        <v>15.0533</v>
      </c>
      <c r="I20">
        <v>15.3276</v>
      </c>
      <c r="J20">
        <v>15.2181</v>
      </c>
    </row>
    <row r="21" spans="2:10">
      <c r="B21" s="1">
        <v>0.1</v>
      </c>
      <c r="C21">
        <v>13.756399999999999</v>
      </c>
      <c r="D21">
        <v>13.0596</v>
      </c>
      <c r="E21">
        <v>13.501799999999999</v>
      </c>
      <c r="G21" s="1">
        <v>0.1</v>
      </c>
      <c r="H21">
        <v>15.0533</v>
      </c>
      <c r="I21">
        <v>15.3276</v>
      </c>
      <c r="J21">
        <v>15.2181</v>
      </c>
    </row>
    <row r="22" spans="2:10">
      <c r="B22" s="1">
        <v>0.2</v>
      </c>
      <c r="C22">
        <v>13.756399999999999</v>
      </c>
      <c r="D22">
        <v>13.0596</v>
      </c>
      <c r="E22">
        <v>13.501799999999999</v>
      </c>
      <c r="G22" s="1">
        <v>0.2</v>
      </c>
      <c r="H22">
        <v>15.145799999999999</v>
      </c>
      <c r="I22">
        <v>15.399800000000001</v>
      </c>
      <c r="J22">
        <v>15.298400000000001</v>
      </c>
    </row>
    <row r="23" spans="2:10">
      <c r="B23" s="1">
        <v>0.3</v>
      </c>
      <c r="C23">
        <v>13.756399999999999</v>
      </c>
      <c r="D23">
        <v>13.0596</v>
      </c>
      <c r="E23">
        <v>13.501799999999999</v>
      </c>
      <c r="G23" s="1">
        <v>0.3</v>
      </c>
      <c r="H23">
        <v>15.065099999999999</v>
      </c>
      <c r="I23">
        <v>16.042300000000001</v>
      </c>
      <c r="J23">
        <v>15.652200000000001</v>
      </c>
    </row>
    <row r="24" spans="2:10">
      <c r="B24" s="1">
        <v>0.4</v>
      </c>
      <c r="C24">
        <v>13.7637</v>
      </c>
      <c r="D24">
        <v>13.8277</v>
      </c>
      <c r="E24">
        <v>13.787100000000001</v>
      </c>
      <c r="G24" s="1">
        <v>0.4</v>
      </c>
      <c r="H24">
        <v>13.9222</v>
      </c>
      <c r="I24">
        <v>16.075800000000001</v>
      </c>
      <c r="J24">
        <v>15.2018</v>
      </c>
    </row>
    <row r="25" spans="2:10">
      <c r="B25" s="1">
        <v>0.5</v>
      </c>
      <c r="C25">
        <v>13.791</v>
      </c>
      <c r="D25">
        <v>13.9682</v>
      </c>
      <c r="E25">
        <v>13.855700000000001</v>
      </c>
      <c r="G25" s="1">
        <v>0.5</v>
      </c>
      <c r="H25">
        <v>13.9222</v>
      </c>
      <c r="I25">
        <v>16.075800000000001</v>
      </c>
      <c r="J25">
        <v>15.2018</v>
      </c>
    </row>
    <row r="26" spans="2:10">
      <c r="B26" s="1">
        <v>0.6</v>
      </c>
      <c r="C26">
        <v>14.3079</v>
      </c>
      <c r="D26">
        <v>15.522600000000001</v>
      </c>
      <c r="E26">
        <v>14.7286</v>
      </c>
      <c r="G26" s="1">
        <v>0.6</v>
      </c>
      <c r="H26">
        <v>13.747999999999999</v>
      </c>
      <c r="I26">
        <v>16.3857</v>
      </c>
      <c r="J26">
        <v>15.315300000000001</v>
      </c>
    </row>
    <row r="27" spans="2:10">
      <c r="B27" s="1">
        <v>0.7</v>
      </c>
      <c r="C27">
        <v>13.1174</v>
      </c>
      <c r="D27">
        <v>16.669599999999999</v>
      </c>
      <c r="E27">
        <v>14.2418</v>
      </c>
      <c r="G27" s="1">
        <v>0.7</v>
      </c>
      <c r="H27">
        <v>14.0997</v>
      </c>
      <c r="I27">
        <v>16.456499999999998</v>
      </c>
      <c r="J27">
        <v>15.5</v>
      </c>
    </row>
    <row r="28" spans="2:10">
      <c r="B28" s="1">
        <v>0.8</v>
      </c>
      <c r="C28">
        <v>12.8377</v>
      </c>
      <c r="D28">
        <v>16.506599999999999</v>
      </c>
      <c r="E28">
        <v>14.007</v>
      </c>
      <c r="G28" s="2">
        <v>0.8</v>
      </c>
      <c r="H28">
        <v>11.08</v>
      </c>
      <c r="I28">
        <v>16.651299999999999</v>
      </c>
      <c r="J28">
        <v>14.196400000000001</v>
      </c>
    </row>
    <row r="29" spans="2:10">
      <c r="B29" s="1">
        <v>0.9</v>
      </c>
      <c r="C29">
        <v>12.8371</v>
      </c>
      <c r="D29">
        <v>16.506599999999999</v>
      </c>
      <c r="E29">
        <v>14.006600000000001</v>
      </c>
      <c r="G29" s="2">
        <v>0.9</v>
      </c>
      <c r="H29">
        <v>11.08</v>
      </c>
      <c r="I29">
        <v>16.651299999999999</v>
      </c>
      <c r="J29">
        <v>14.196400000000001</v>
      </c>
    </row>
    <row r="30" spans="2:10">
      <c r="B30" s="1">
        <v>1</v>
      </c>
      <c r="C30">
        <v>13.112</v>
      </c>
      <c r="D30">
        <v>16.670000000000002</v>
      </c>
      <c r="E30">
        <v>14.238200000000001</v>
      </c>
      <c r="G30" s="1">
        <v>1</v>
      </c>
      <c r="H30">
        <v>11.08</v>
      </c>
      <c r="I30">
        <v>16.651299999999999</v>
      </c>
      <c r="J30">
        <v>14.196400000000001</v>
      </c>
    </row>
    <row r="32" spans="2:10">
      <c r="D32" t="s">
        <v>8</v>
      </c>
      <c r="I32" t="s">
        <v>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E79-77ED-2445-9291-9C810A02A20B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15.856199999999999</v>
      </c>
      <c r="D4">
        <v>10.365500000000001</v>
      </c>
      <c r="E4">
        <v>13.1837</v>
      </c>
      <c r="G4" s="1">
        <v>0</v>
      </c>
      <c r="H4">
        <v>16.055399999999999</v>
      </c>
      <c r="I4">
        <v>16.1999</v>
      </c>
      <c r="J4">
        <v>16.128599999999999</v>
      </c>
    </row>
    <row r="5" spans="2:10">
      <c r="B5" s="1">
        <v>0.1</v>
      </c>
      <c r="C5">
        <v>15.848699999999999</v>
      </c>
      <c r="D5">
        <v>10.605399999999999</v>
      </c>
      <c r="E5">
        <v>13.2958</v>
      </c>
      <c r="G5" s="1">
        <v>0.1</v>
      </c>
      <c r="H5">
        <v>16.055399999999999</v>
      </c>
      <c r="I5">
        <v>16.1999</v>
      </c>
      <c r="J5">
        <v>16.128599999999999</v>
      </c>
    </row>
    <row r="6" spans="2:10">
      <c r="B6" s="1">
        <v>0.2</v>
      </c>
      <c r="C6">
        <v>15.3172</v>
      </c>
      <c r="D6">
        <v>12.4635</v>
      </c>
      <c r="E6">
        <v>13.962999999999999</v>
      </c>
      <c r="G6" s="1">
        <v>0.2</v>
      </c>
      <c r="H6">
        <v>16.055399999999999</v>
      </c>
      <c r="I6">
        <v>16.1999</v>
      </c>
      <c r="J6">
        <v>16.128599999999999</v>
      </c>
    </row>
    <row r="7" spans="2:10">
      <c r="B7" s="1">
        <v>0.3</v>
      </c>
      <c r="C7">
        <v>15.3041</v>
      </c>
      <c r="D7">
        <v>11.978999999999999</v>
      </c>
      <c r="E7">
        <v>13.7157</v>
      </c>
      <c r="G7" s="1">
        <v>0.3</v>
      </c>
      <c r="H7">
        <v>16.055399999999999</v>
      </c>
      <c r="I7">
        <v>16.1999</v>
      </c>
      <c r="J7">
        <v>16.128599999999999</v>
      </c>
    </row>
    <row r="8" spans="2:10">
      <c r="B8" s="1">
        <v>0.4</v>
      </c>
      <c r="C8">
        <v>14.609400000000001</v>
      </c>
      <c r="D8">
        <v>14.8855</v>
      </c>
      <c r="E8">
        <v>14.736499999999999</v>
      </c>
      <c r="G8" s="1">
        <v>0.4</v>
      </c>
      <c r="H8">
        <v>16.055399999999999</v>
      </c>
      <c r="I8">
        <v>16.1999</v>
      </c>
      <c r="J8">
        <v>16.128599999999999</v>
      </c>
    </row>
    <row r="9" spans="2:10">
      <c r="B9" s="1">
        <v>0.5</v>
      </c>
      <c r="C9">
        <v>14.9306</v>
      </c>
      <c r="D9">
        <v>15.9321</v>
      </c>
      <c r="E9">
        <v>15.3933</v>
      </c>
      <c r="G9" s="1">
        <v>0.5</v>
      </c>
      <c r="H9">
        <v>16.055399999999999</v>
      </c>
      <c r="I9">
        <v>16.1999</v>
      </c>
      <c r="J9">
        <v>16.128599999999999</v>
      </c>
    </row>
    <row r="10" spans="2:10">
      <c r="B10" s="1">
        <v>0.6</v>
      </c>
      <c r="C10">
        <v>14.9306</v>
      </c>
      <c r="D10">
        <v>15.9321</v>
      </c>
      <c r="E10">
        <v>15.3933</v>
      </c>
      <c r="G10" s="1">
        <v>0.6</v>
      </c>
      <c r="H10">
        <v>15.9284</v>
      </c>
      <c r="I10">
        <v>16.331299999999999</v>
      </c>
      <c r="J10">
        <v>16.132400000000001</v>
      </c>
    </row>
    <row r="11" spans="2:10">
      <c r="B11" s="1">
        <v>0.7</v>
      </c>
      <c r="C11">
        <v>14.804399999999999</v>
      </c>
      <c r="D11">
        <v>16.212299999999999</v>
      </c>
      <c r="E11">
        <v>15.4549</v>
      </c>
      <c r="G11" s="1">
        <v>0.7</v>
      </c>
      <c r="H11">
        <v>15.4673</v>
      </c>
      <c r="I11">
        <v>16.558599999999998</v>
      </c>
      <c r="J11">
        <v>16.015899999999998</v>
      </c>
    </row>
    <row r="12" spans="2:10">
      <c r="B12" s="1">
        <v>0.8</v>
      </c>
      <c r="C12">
        <v>12.8498</v>
      </c>
      <c r="D12">
        <v>16.670000000000002</v>
      </c>
      <c r="E12">
        <v>14.510400000000001</v>
      </c>
      <c r="G12" s="1">
        <v>0.8</v>
      </c>
      <c r="H12">
        <v>12.142300000000001</v>
      </c>
      <c r="I12">
        <v>16.669899999999998</v>
      </c>
      <c r="J12">
        <v>14.210699999999999</v>
      </c>
    </row>
    <row r="13" spans="2:10">
      <c r="B13" s="1">
        <v>0.9</v>
      </c>
      <c r="C13">
        <v>12.8498</v>
      </c>
      <c r="D13">
        <v>16.670000000000002</v>
      </c>
      <c r="E13">
        <v>14.510400000000001</v>
      </c>
      <c r="G13" s="1">
        <v>0.9</v>
      </c>
      <c r="H13">
        <v>12.1295</v>
      </c>
      <c r="I13">
        <v>16.670000000000002</v>
      </c>
      <c r="J13">
        <v>14.2105</v>
      </c>
    </row>
    <row r="14" spans="2:10">
      <c r="B14" s="1">
        <v>1</v>
      </c>
      <c r="C14">
        <v>11.787599999999999</v>
      </c>
      <c r="D14">
        <v>16.670000000000002</v>
      </c>
      <c r="E14">
        <v>13.855600000000001</v>
      </c>
      <c r="G14" s="1">
        <v>1</v>
      </c>
      <c r="H14">
        <v>12.1295</v>
      </c>
      <c r="I14">
        <v>16.670000000000002</v>
      </c>
      <c r="J14">
        <v>14.2105</v>
      </c>
    </row>
    <row r="16" spans="2:10">
      <c r="D16" t="s">
        <v>9</v>
      </c>
      <c r="I16" t="s">
        <v>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15.8263</v>
      </c>
      <c r="D20">
        <v>13.8079</v>
      </c>
      <c r="E20">
        <v>15.126099999999999</v>
      </c>
      <c r="G20" s="1">
        <v>0</v>
      </c>
      <c r="H20">
        <v>15.6479</v>
      </c>
      <c r="I20">
        <v>15.095599999999999</v>
      </c>
      <c r="J20">
        <v>15.307600000000001</v>
      </c>
    </row>
    <row r="21" spans="2:10">
      <c r="B21" s="1">
        <v>0.1</v>
      </c>
      <c r="C21">
        <v>15.8263</v>
      </c>
      <c r="D21">
        <v>13.8079</v>
      </c>
      <c r="E21">
        <v>15.126099999999999</v>
      </c>
      <c r="G21" s="1">
        <v>0.1</v>
      </c>
      <c r="H21">
        <v>15.6479</v>
      </c>
      <c r="I21">
        <v>15.095599999999999</v>
      </c>
      <c r="J21">
        <v>15.307600000000001</v>
      </c>
    </row>
    <row r="22" spans="2:10">
      <c r="B22" s="1">
        <v>0.2</v>
      </c>
      <c r="C22">
        <v>15.7447</v>
      </c>
      <c r="D22">
        <v>14.741199999999999</v>
      </c>
      <c r="E22">
        <v>15.396599999999999</v>
      </c>
      <c r="G22" s="1">
        <v>0.2</v>
      </c>
      <c r="H22">
        <v>15.625500000000001</v>
      </c>
      <c r="I22">
        <v>15.4742</v>
      </c>
      <c r="J22">
        <v>15.532299999999999</v>
      </c>
    </row>
    <row r="23" spans="2:10">
      <c r="B23" s="1">
        <v>0.3</v>
      </c>
      <c r="C23">
        <v>15.7447</v>
      </c>
      <c r="D23">
        <v>14.741199999999999</v>
      </c>
      <c r="E23">
        <v>15.396599999999999</v>
      </c>
      <c r="G23" s="1">
        <v>0.3</v>
      </c>
      <c r="H23">
        <v>15.6257</v>
      </c>
      <c r="I23">
        <v>15.6302</v>
      </c>
      <c r="J23">
        <v>15.628500000000001</v>
      </c>
    </row>
    <row r="24" spans="2:10">
      <c r="B24" s="1">
        <v>0.4</v>
      </c>
      <c r="C24">
        <v>15.823</v>
      </c>
      <c r="D24">
        <v>15.751099999999999</v>
      </c>
      <c r="E24">
        <v>15.7981</v>
      </c>
      <c r="G24" s="1">
        <v>0.4</v>
      </c>
      <c r="H24">
        <v>15.6252</v>
      </c>
      <c r="I24">
        <v>15.631</v>
      </c>
      <c r="J24">
        <v>15.6288</v>
      </c>
    </row>
    <row r="25" spans="2:10">
      <c r="B25" s="1">
        <v>0.5</v>
      </c>
      <c r="C25">
        <v>15.8611</v>
      </c>
      <c r="D25">
        <v>15.9842</v>
      </c>
      <c r="E25">
        <v>15.9038</v>
      </c>
      <c r="G25" s="1">
        <v>0.5</v>
      </c>
      <c r="H25">
        <v>15.6252</v>
      </c>
      <c r="I25">
        <v>15.631</v>
      </c>
      <c r="J25">
        <v>15.6288</v>
      </c>
    </row>
    <row r="26" spans="2:10">
      <c r="B26" s="1">
        <v>0.6</v>
      </c>
      <c r="C26">
        <v>15.763299999999999</v>
      </c>
      <c r="D26">
        <v>16.392099999999999</v>
      </c>
      <c r="E26">
        <v>15.9815</v>
      </c>
      <c r="G26" s="1">
        <v>0.6</v>
      </c>
      <c r="H26">
        <v>15.178900000000001</v>
      </c>
      <c r="I26">
        <v>16.335899999999999</v>
      </c>
      <c r="J26">
        <v>15.8917</v>
      </c>
    </row>
    <row r="27" spans="2:10">
      <c r="B27" s="1">
        <v>0.7</v>
      </c>
      <c r="C27">
        <v>15.763299999999999</v>
      </c>
      <c r="D27">
        <v>16.392099999999999</v>
      </c>
      <c r="E27">
        <v>15.9815</v>
      </c>
      <c r="G27" s="1">
        <v>0.7</v>
      </c>
      <c r="H27">
        <v>15.178900000000001</v>
      </c>
      <c r="I27">
        <v>16.335899999999999</v>
      </c>
      <c r="J27">
        <v>15.8917</v>
      </c>
    </row>
    <row r="28" spans="2:10">
      <c r="B28" s="1">
        <v>0.8</v>
      </c>
      <c r="C28">
        <v>15.7112</v>
      </c>
      <c r="D28">
        <v>16.581499999999998</v>
      </c>
      <c r="E28">
        <v>16.013100000000001</v>
      </c>
      <c r="G28" s="2">
        <v>0.8</v>
      </c>
      <c r="H28" s="2">
        <v>11.207599999999999</v>
      </c>
      <c r="I28" s="2">
        <v>16.670000000000002</v>
      </c>
      <c r="J28" s="2">
        <v>14.3238</v>
      </c>
    </row>
    <row r="29" spans="2:10">
      <c r="B29" s="1">
        <v>0.9</v>
      </c>
      <c r="C29">
        <v>14.138199999999999</v>
      </c>
      <c r="D29">
        <v>16.642399999999999</v>
      </c>
      <c r="E29">
        <v>14.9818</v>
      </c>
      <c r="G29" s="2">
        <v>0.9</v>
      </c>
      <c r="H29" s="2">
        <v>11.207599999999999</v>
      </c>
      <c r="I29" s="2">
        <v>16.670000000000002</v>
      </c>
      <c r="J29" s="2">
        <v>14.3238</v>
      </c>
    </row>
    <row r="30" spans="2:10">
      <c r="B30" s="1">
        <v>1</v>
      </c>
      <c r="C30">
        <v>14.138</v>
      </c>
      <c r="D30">
        <v>16.670000000000002</v>
      </c>
      <c r="E30">
        <v>14.991</v>
      </c>
      <c r="G30" s="1">
        <v>1</v>
      </c>
      <c r="H30" s="2">
        <v>11.207599999999999</v>
      </c>
      <c r="I30" s="2">
        <v>16.670000000000002</v>
      </c>
      <c r="J30" s="2">
        <v>14.3238</v>
      </c>
    </row>
    <row r="32" spans="2:10">
      <c r="D32" t="s">
        <v>8</v>
      </c>
      <c r="I32" t="s">
        <v>8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9C73-BCED-9744-8556-008E04DBB3E5}">
  <dimension ref="B2:J30"/>
  <sheetViews>
    <sheetView workbookViewId="0">
      <selection activeCell="K22" sqref="K22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f>ROUND(AVERAGE(seed1!C4,seed2!C4,seed3!C4,seed4!C4,seed5!C4),4)</f>
        <v>15.5166</v>
      </c>
      <c r="D4">
        <f>ROUND(AVERAGE(seed1!D4,seed2!D4,seed3!D4,seed4!D4,seed5!D4),4)</f>
        <v>14.045999999999999</v>
      </c>
      <c r="E4">
        <f>ROUND(AVERAGE(seed1!E4,seed2!E4,seed3!E4,seed4!E4,seed5!E4),4)</f>
        <v>14.7942</v>
      </c>
      <c r="G4" s="1">
        <v>0</v>
      </c>
      <c r="H4">
        <f>ROUND(AVERAGE(seed1!H4,seed2!H4,seed3!H4,seed4!H4,seed5!H4),4)</f>
        <v>16.105799999999999</v>
      </c>
      <c r="I4">
        <f>ROUND(AVERAGE(seed1!I4,seed2!I4,seed3!I4,seed4!I4,seed5!I4),4)</f>
        <v>16.468900000000001</v>
      </c>
      <c r="J4">
        <f>ROUND(AVERAGE(seed1!J4,seed2!J4,seed3!J4,seed4!J4,seed5!J4),4)</f>
        <v>16.282299999999999</v>
      </c>
    </row>
    <row r="5" spans="2:10">
      <c r="B5" s="1">
        <v>0.1</v>
      </c>
      <c r="C5">
        <f>ROUND(AVERAGE(seed1!C5,seed2!C5,seed3!C5,seed4!C5,seed5!C5),4)</f>
        <v>15.5151</v>
      </c>
      <c r="D5">
        <f>ROUND(AVERAGE(seed1!D5,seed2!D5,seed3!D5,seed4!D5,seed5!D5),4)</f>
        <v>14.0939</v>
      </c>
      <c r="E5">
        <f>ROUND(AVERAGE(seed1!E5,seed2!E5,seed3!E5,seed4!E5,seed5!E5),4)</f>
        <v>14.816599999999999</v>
      </c>
      <c r="G5" s="1">
        <v>0.1</v>
      </c>
      <c r="H5">
        <f>ROUND(AVERAGE(seed1!H5,seed2!H5,seed3!H5,seed4!H5,seed5!H5),4)</f>
        <v>16.105799999999999</v>
      </c>
      <c r="I5">
        <f>ROUND(AVERAGE(seed1!I5,seed2!I5,seed3!I5,seed4!I5,seed5!I5),4)</f>
        <v>16.468900000000001</v>
      </c>
      <c r="J5">
        <f>ROUND(AVERAGE(seed1!J5,seed2!J5,seed3!J5,seed4!J5,seed5!J5),4)</f>
        <v>16.282299999999999</v>
      </c>
    </row>
    <row r="6" spans="2:10">
      <c r="B6" s="1">
        <v>0.2</v>
      </c>
      <c r="C6">
        <f>ROUND(AVERAGE(seed1!C6,seed2!C6,seed3!C6,seed4!C6,seed5!C6),4)</f>
        <v>15.3879</v>
      </c>
      <c r="D6">
        <f>ROUND(AVERAGE(seed1!D6,seed2!D6,seed3!D6,seed4!D6,seed5!D6),4)</f>
        <v>14.500400000000001</v>
      </c>
      <c r="E6">
        <f>ROUND(AVERAGE(seed1!E6,seed2!E6,seed3!E6,seed4!E6,seed5!E6),4)</f>
        <v>14.957700000000001</v>
      </c>
      <c r="G6" s="1">
        <v>0.2</v>
      </c>
      <c r="H6">
        <f>ROUND(AVERAGE(seed1!H6,seed2!H6,seed3!H6,seed4!H6,seed5!H6),4)</f>
        <v>16.105799999999999</v>
      </c>
      <c r="I6">
        <f>ROUND(AVERAGE(seed1!I6,seed2!I6,seed3!I6,seed4!I6,seed5!I6),4)</f>
        <v>16.468900000000001</v>
      </c>
      <c r="J6">
        <f>ROUND(AVERAGE(seed1!J6,seed2!J6,seed3!J6,seed4!J6,seed5!J6),4)</f>
        <v>16.282299999999999</v>
      </c>
    </row>
    <row r="7" spans="2:10">
      <c r="B7" s="1">
        <v>0.3</v>
      </c>
      <c r="C7">
        <f>ROUND(AVERAGE(seed1!C7,seed2!C7,seed3!C7,seed4!C7,seed5!C7),4)</f>
        <v>15.2677</v>
      </c>
      <c r="D7">
        <f>ROUND(AVERAGE(seed1!D7,seed2!D7,seed3!D7,seed4!D7,seed5!D7),4)</f>
        <v>14.303900000000001</v>
      </c>
      <c r="E7">
        <f>ROUND(AVERAGE(seed1!E7,seed2!E7,seed3!E7,seed4!E7,seed5!E7),4)</f>
        <v>14.8011</v>
      </c>
      <c r="G7" s="1">
        <v>0.3</v>
      </c>
      <c r="H7">
        <f>ROUND(AVERAGE(seed1!H7,seed2!H7,seed3!H7,seed4!H7,seed5!H7),4)</f>
        <v>16.101600000000001</v>
      </c>
      <c r="I7">
        <f>ROUND(AVERAGE(seed1!I7,seed2!I7,seed3!I7,seed4!I7,seed5!I7),4)</f>
        <v>16.470700000000001</v>
      </c>
      <c r="J7">
        <f>ROUND(AVERAGE(seed1!J7,seed2!J7,seed3!J7,seed4!J7,seed5!J7),4)</f>
        <v>16.280999999999999</v>
      </c>
    </row>
    <row r="8" spans="2:10">
      <c r="B8" s="1">
        <v>0.4</v>
      </c>
      <c r="C8">
        <f>ROUND(AVERAGE(seed1!C8,seed2!C8,seed3!C8,seed4!C8,seed5!C8),4)</f>
        <v>15.122299999999999</v>
      </c>
      <c r="D8">
        <f>ROUND(AVERAGE(seed1!D8,seed2!D8,seed3!D8,seed4!D8,seed5!D8),4)</f>
        <v>14.9155</v>
      </c>
      <c r="E8">
        <f>ROUND(AVERAGE(seed1!E8,seed2!E8,seed3!E8,seed4!E8,seed5!E8),4)</f>
        <v>15.017899999999999</v>
      </c>
      <c r="G8" s="1">
        <v>0.4</v>
      </c>
      <c r="H8">
        <f>ROUND(AVERAGE(seed1!H8,seed2!H8,seed3!H8,seed4!H8,seed5!H8),4)</f>
        <v>16.101600000000001</v>
      </c>
      <c r="I8">
        <f>ROUND(AVERAGE(seed1!I8,seed2!I8,seed3!I8,seed4!I8,seed5!I8),4)</f>
        <v>16.470700000000001</v>
      </c>
      <c r="J8">
        <f>ROUND(AVERAGE(seed1!J8,seed2!J8,seed3!J8,seed4!J8,seed5!J8),4)</f>
        <v>16.280999999999999</v>
      </c>
    </row>
    <row r="9" spans="2:10">
      <c r="B9" s="1">
        <v>0.5</v>
      </c>
      <c r="C9">
        <f>ROUND(AVERAGE(seed1!C9,seed2!C9,seed3!C9,seed4!C9,seed5!C9),4)</f>
        <v>14.9094</v>
      </c>
      <c r="D9">
        <f>ROUND(AVERAGE(seed1!D9,seed2!D9,seed3!D9,seed4!D9,seed5!D9),4)</f>
        <v>15.6652</v>
      </c>
      <c r="E9">
        <f>ROUND(AVERAGE(seed1!E9,seed2!E9,seed3!E9,seed4!E9,seed5!E9),4)</f>
        <v>15.2761</v>
      </c>
      <c r="G9" s="1">
        <v>0.5</v>
      </c>
      <c r="H9">
        <f>ROUND(AVERAGE(seed1!H9,seed2!H9,seed3!H9,seed4!H9,seed5!H9),4)</f>
        <v>16.101600000000001</v>
      </c>
      <c r="I9">
        <f>ROUND(AVERAGE(seed1!I9,seed2!I9,seed3!I9,seed4!I9,seed5!I9),4)</f>
        <v>16.470700000000001</v>
      </c>
      <c r="J9">
        <f>ROUND(AVERAGE(seed1!J9,seed2!J9,seed3!J9,seed4!J9,seed5!J9),4)</f>
        <v>16.280999999999999</v>
      </c>
    </row>
    <row r="10" spans="2:10">
      <c r="B10" s="1">
        <v>0.6</v>
      </c>
      <c r="C10">
        <f>ROUND(AVERAGE(seed1!C10,seed2!C10,seed3!C10,seed4!C10,seed5!C10),4)</f>
        <v>14.706799999999999</v>
      </c>
      <c r="D10">
        <f>ROUND(AVERAGE(seed1!D10,seed2!D10,seed3!D10,seed4!D10,seed5!D10),4)</f>
        <v>16.0154</v>
      </c>
      <c r="E10">
        <f>ROUND(AVERAGE(seed1!E10,seed2!E10,seed3!E10,seed4!E10,seed5!E10),4)</f>
        <v>15.3424</v>
      </c>
      <c r="G10" s="1">
        <v>0.6</v>
      </c>
      <c r="H10">
        <f>ROUND(AVERAGE(seed1!H10,seed2!H10,seed3!H10,seed4!H10,seed5!H10),4)</f>
        <v>16.0593</v>
      </c>
      <c r="I10">
        <f>ROUND(AVERAGE(seed1!I10,seed2!I10,seed3!I10,seed4!I10,seed5!I10),4)</f>
        <v>16.514500000000002</v>
      </c>
      <c r="J10">
        <f>ROUND(AVERAGE(seed1!J10,seed2!J10,seed3!J10,seed4!J10,seed5!J10),4)</f>
        <v>16.282299999999999</v>
      </c>
    </row>
    <row r="11" spans="2:10">
      <c r="B11" s="1">
        <v>0.7</v>
      </c>
      <c r="C11">
        <f>ROUND(AVERAGE(seed1!C11,seed2!C11,seed3!C11,seed4!C11,seed5!C11),4)</f>
        <v>13.8071</v>
      </c>
      <c r="D11">
        <f>ROUND(AVERAGE(seed1!D11,seed2!D11,seed3!D11,seed4!D11,seed5!D11),4)</f>
        <v>16.393599999999999</v>
      </c>
      <c r="E11">
        <f>ROUND(AVERAGE(seed1!E11,seed2!E11,seed3!E11,seed4!E11,seed5!E11),4)</f>
        <v>15.0145</v>
      </c>
      <c r="G11" s="1">
        <v>0.7</v>
      </c>
      <c r="H11">
        <f>ROUND(AVERAGE(seed1!H11,seed2!H11,seed3!H11,seed4!H11,seed5!H11),4)</f>
        <v>15.9056</v>
      </c>
      <c r="I11">
        <f>ROUND(AVERAGE(seed1!I11,seed2!I11,seed3!I11,seed4!I11,seed5!I11),4)</f>
        <v>16.590199999999999</v>
      </c>
      <c r="J11">
        <f>ROUND(AVERAGE(seed1!J11,seed2!J11,seed3!J11,seed4!J11,seed5!J11),4)</f>
        <v>16.243400000000001</v>
      </c>
    </row>
    <row r="12" spans="2:10">
      <c r="B12" s="1">
        <v>0.8</v>
      </c>
      <c r="C12">
        <f>ROUND(AVERAGE(seed1!C12,seed2!C12,seed3!C12,seed4!C12,seed5!C12),4)</f>
        <v>12.8588</v>
      </c>
      <c r="D12">
        <f>ROUND(AVERAGE(seed1!D12,seed2!D12,seed3!D12,seed4!D12,seed5!D12),4)</f>
        <v>16.653099999999998</v>
      </c>
      <c r="E12">
        <f>ROUND(AVERAGE(seed1!E12,seed2!E12,seed3!E12,seed4!E12,seed5!E12),4)</f>
        <v>14.554399999999999</v>
      </c>
      <c r="G12" s="1">
        <v>0.8</v>
      </c>
      <c r="H12">
        <f>ROUND(AVERAGE(seed1!H12,seed2!H12,seed3!H12,seed4!H12,seed5!H12),4)</f>
        <v>14.763400000000001</v>
      </c>
      <c r="I12">
        <f>ROUND(AVERAGE(seed1!I12,seed2!I12,seed3!I12,seed4!I12,seed5!I12),4)</f>
        <v>16.627099999999999</v>
      </c>
      <c r="J12">
        <f>ROUND(AVERAGE(seed1!J12,seed2!J12,seed3!J12,seed4!J12,seed5!J12),4)</f>
        <v>15.623900000000001</v>
      </c>
    </row>
    <row r="13" spans="2:10">
      <c r="B13" s="1">
        <v>0.9</v>
      </c>
      <c r="C13">
        <f>ROUND(AVERAGE(seed1!C13,seed2!C13,seed3!C13,seed4!C13,seed5!C13),4)</f>
        <v>12.4986</v>
      </c>
      <c r="D13">
        <f>ROUND(AVERAGE(seed1!D13,seed2!D13,seed3!D13,seed4!D13,seed5!D13),4)</f>
        <v>16.670000000000002</v>
      </c>
      <c r="E13">
        <f>ROUND(AVERAGE(seed1!E13,seed2!E13,seed3!E13,seed4!E13,seed5!E13),4)</f>
        <v>14.3622</v>
      </c>
      <c r="G13" s="1">
        <v>0.9</v>
      </c>
      <c r="H13">
        <f>ROUND(AVERAGE(seed1!H13,seed2!H13,seed3!H13,seed4!H13,seed5!H13),4)</f>
        <v>14.7003</v>
      </c>
      <c r="I13">
        <f>ROUND(AVERAGE(seed1!I13,seed2!I13,seed3!I13,seed4!I13,seed5!I13),4)</f>
        <v>16.670000000000002</v>
      </c>
      <c r="J13">
        <f>ROUND(AVERAGE(seed1!J13,seed2!J13,seed3!J13,seed4!J13,seed5!J13),4)</f>
        <v>15.610900000000001</v>
      </c>
    </row>
    <row r="14" spans="2:10">
      <c r="B14" s="1">
        <v>1</v>
      </c>
      <c r="C14">
        <f>ROUND(AVERAGE(seed1!C14,seed2!C14,seed3!C14,seed4!C14,seed5!C14),4)</f>
        <v>12.286199999999999</v>
      </c>
      <c r="D14">
        <f>ROUND(AVERAGE(seed1!D14,seed2!D14,seed3!D14,seed4!D14,seed5!D14),4)</f>
        <v>16.670000000000002</v>
      </c>
      <c r="E14">
        <f>ROUND(AVERAGE(seed1!E14,seed2!E14,seed3!E14,seed4!E14,seed5!E14),4)</f>
        <v>14.231199999999999</v>
      </c>
      <c r="G14" s="1">
        <v>1</v>
      </c>
      <c r="H14">
        <f>ROUND(AVERAGE(seed1!H14,seed2!H14,seed3!H14,seed4!H14,seed5!H14),4)</f>
        <v>14.7003</v>
      </c>
      <c r="I14">
        <f>ROUND(AVERAGE(seed1!I14,seed2!I14,seed3!I14,seed4!I14,seed5!I14),4)</f>
        <v>16.670000000000002</v>
      </c>
      <c r="J14">
        <f>ROUND(AVERAGE(seed1!J14,seed2!J14,seed3!J14,seed4!J14,seed5!J14),4)</f>
        <v>15.610900000000001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f>ROUND(AVERAGE(seed1!C20,seed2!C20,seed3!C20,seed4!C20,seed5!C20),4)</f>
        <v>14.315899999999999</v>
      </c>
      <c r="D20">
        <f>ROUND(AVERAGE(seed1!D20,seed2!D20,seed3!D20,seed4!D20,seed5!D20),4)</f>
        <v>13.947100000000001</v>
      </c>
      <c r="E20">
        <f>ROUND(AVERAGE(seed1!E20,seed2!E20,seed3!E20,seed4!E20,seed5!E20),4)</f>
        <v>14.1921</v>
      </c>
      <c r="G20" s="1">
        <v>0</v>
      </c>
      <c r="H20">
        <f>ROUND(AVERAGE(seed1!H21,seed2!H20,seed3!H20,seed4!H20,seed5!H20),4)</f>
        <v>15.1241</v>
      </c>
      <c r="I20">
        <f>ROUND(AVERAGE(seed1!I21,seed2!I20,seed3!I20,seed4!I20,seed5!I20),4)</f>
        <v>14.760400000000001</v>
      </c>
      <c r="J20">
        <f>ROUND(AVERAGE(seed1!J21,seed2!J20,seed3!J20,seed4!J20,seed5!J20),4)</f>
        <v>14.895</v>
      </c>
    </row>
    <row r="21" spans="2:10">
      <c r="B21" s="1">
        <v>0.1</v>
      </c>
      <c r="C21">
        <f>ROUND(AVERAGE(seed1!C21,seed2!C21,seed3!C21,seed4!C21,seed5!C21),4)</f>
        <v>14.315899999999999</v>
      </c>
      <c r="D21">
        <f>ROUND(AVERAGE(seed1!D21,seed2!D21,seed3!D21,seed4!D21,seed5!D21),4)</f>
        <v>13.947100000000001</v>
      </c>
      <c r="E21">
        <f>ROUND(AVERAGE(seed1!E21,seed2!E21,seed3!E21,seed4!E21,seed5!E21),4)</f>
        <v>14.1921</v>
      </c>
      <c r="G21" s="1">
        <v>0.1</v>
      </c>
      <c r="H21">
        <f>ROUND(AVERAGE(seed1!H21,seed2!H21,seed3!H21,seed4!H21,seed5!H21),4)</f>
        <v>15.129300000000001</v>
      </c>
      <c r="I21">
        <f>ROUND(AVERAGE(seed1!I21,seed2!I21,seed3!I21,seed4!I21,seed5!I21),4)</f>
        <v>14.756399999999999</v>
      </c>
      <c r="J21">
        <f>ROUND(AVERAGE(seed1!J21,seed2!J21,seed3!J21,seed4!J21,seed5!J21),4)</f>
        <v>14.894299999999999</v>
      </c>
    </row>
    <row r="22" spans="2:10">
      <c r="B22" s="1">
        <v>0.2</v>
      </c>
      <c r="C22">
        <f>ROUND(AVERAGE(seed1!C22,seed2!C22,seed3!C22,seed4!C22,seed5!C22),4)</f>
        <v>14.507899999999999</v>
      </c>
      <c r="D22">
        <f>ROUND(AVERAGE(seed1!D22,seed2!D22,seed3!D22,seed4!D22,seed5!D22),4)</f>
        <v>14.101000000000001</v>
      </c>
      <c r="E22">
        <f>ROUND(AVERAGE(seed1!E22,seed2!E22,seed3!E22,seed4!E22,seed5!E22),4)</f>
        <v>14.3659</v>
      </c>
      <c r="G22" s="1">
        <v>0.2</v>
      </c>
      <c r="H22">
        <f>ROUND(AVERAGE(seed1!H22,seed2!H22,seed3!H22,seed4!H22,seed5!H22),4)</f>
        <v>15.110300000000001</v>
      </c>
      <c r="I22">
        <f>ROUND(AVERAGE(seed1!I22,seed2!I22,seed3!I22,seed4!I22,seed5!I22),4)</f>
        <v>15.1645</v>
      </c>
      <c r="J22">
        <f>ROUND(AVERAGE(seed1!J22,seed2!J22,seed3!J22,seed4!J22,seed5!J22),4)</f>
        <v>15.143000000000001</v>
      </c>
    </row>
    <row r="23" spans="2:10">
      <c r="B23" s="1">
        <v>0.3</v>
      </c>
      <c r="C23">
        <f>ROUND(AVERAGE(seed1!C23,seed2!C23,seed3!C23,seed4!C23,seed5!C23),4)</f>
        <v>14.1243</v>
      </c>
      <c r="D23">
        <f>ROUND(AVERAGE(seed1!D23,seed2!D23,seed3!D23,seed4!D23,seed5!D23),4)</f>
        <v>14.174099999999999</v>
      </c>
      <c r="E23">
        <f>ROUND(AVERAGE(seed1!E23,seed2!E23,seed3!E23,seed4!E23,seed5!E23),4)</f>
        <v>14.145799999999999</v>
      </c>
      <c r="G23" s="1">
        <v>0.3</v>
      </c>
      <c r="H23">
        <f>ROUND(AVERAGE(seed1!H23,seed2!H23,seed3!H23,seed4!H23,seed5!H23),4)</f>
        <v>14.651999999999999</v>
      </c>
      <c r="I23">
        <f>ROUND(AVERAGE(seed1!I23,seed2!I23,seed3!I23,seed4!I23,seed5!I23),4)</f>
        <v>15.512600000000001</v>
      </c>
      <c r="J23">
        <f>ROUND(AVERAGE(seed1!J23,seed2!J23,seed3!J23,seed4!J23,seed5!J23),4)</f>
        <v>15.1814</v>
      </c>
    </row>
    <row r="24" spans="2:10">
      <c r="B24" s="1">
        <v>0.4</v>
      </c>
      <c r="C24">
        <f>ROUND(AVERAGE(seed1!C24,seed2!C24,seed3!C24,seed4!C24,seed5!C24),4)</f>
        <v>14.5047</v>
      </c>
      <c r="D24">
        <f>ROUND(AVERAGE(seed1!D24,seed2!D24,seed3!D24,seed4!D24,seed5!D24),4)</f>
        <v>14.6488</v>
      </c>
      <c r="E24">
        <f>ROUND(AVERAGE(seed1!E24,seed2!E24,seed3!E24,seed4!E24,seed5!E24),4)</f>
        <v>14.5609</v>
      </c>
      <c r="G24" s="1">
        <v>0.4</v>
      </c>
      <c r="H24">
        <f>ROUND(AVERAGE(seed1!H24,seed2!H24,seed3!H24,seed4!H24,seed5!H24),4)</f>
        <v>14.3178</v>
      </c>
      <c r="I24">
        <f>ROUND(AVERAGE(seed1!I24,seed2!I24,seed3!I24,seed4!I24,seed5!I24),4)</f>
        <v>16.158300000000001</v>
      </c>
      <c r="J24">
        <f>ROUND(AVERAGE(seed1!J24,seed2!J24,seed3!J24,seed4!J24,seed5!J24),4)</f>
        <v>15.417899999999999</v>
      </c>
    </row>
    <row r="25" spans="2:10">
      <c r="B25" s="1">
        <v>0.5</v>
      </c>
      <c r="C25">
        <f>ROUND(AVERAGE(seed1!C25,seed2!C25,seed3!C25,seed4!C25,seed5!C25),4)</f>
        <v>14.3878</v>
      </c>
      <c r="D25">
        <f>ROUND(AVERAGE(seed1!D25,seed2!D25,seed3!D25,seed4!D25,seed5!D25),4)</f>
        <v>15.106299999999999</v>
      </c>
      <c r="E25">
        <f>ROUND(AVERAGE(seed1!E25,seed2!E25,seed3!E25,seed4!E25,seed5!E25),4)</f>
        <v>14.651400000000001</v>
      </c>
      <c r="G25" s="1">
        <v>0.5</v>
      </c>
      <c r="H25">
        <f>ROUND(AVERAGE(seed1!H25,seed2!H25,seed3!H25,seed4!H25,seed5!H25),4)</f>
        <v>14.2845</v>
      </c>
      <c r="I25">
        <f>ROUND(AVERAGE(seed1!I25,seed2!I25,seed3!I25,seed4!I25,seed5!I25),4)</f>
        <v>16.223299999999998</v>
      </c>
      <c r="J25">
        <f>ROUND(AVERAGE(seed1!J25,seed2!J25,seed3!J25,seed4!J25,seed5!J25),4)</f>
        <v>15.4421</v>
      </c>
    </row>
    <row r="26" spans="2:10">
      <c r="B26" s="1">
        <v>0.6</v>
      </c>
      <c r="C26">
        <f>ROUND(AVERAGE(seed1!C26,seed2!C26,seed3!C26,seed4!C26,seed5!C26),4)</f>
        <v>14.2395</v>
      </c>
      <c r="D26">
        <f>ROUND(AVERAGE(seed1!D26,seed2!D26,seed3!D26,seed4!D26,seed5!D26),4)</f>
        <v>15.2887</v>
      </c>
      <c r="E26">
        <f>ROUND(AVERAGE(seed1!E26,seed2!E26,seed3!E26,seed4!E26,seed5!E26),4)</f>
        <v>14.626200000000001</v>
      </c>
      <c r="G26" s="1">
        <v>0.6</v>
      </c>
      <c r="H26">
        <f>ROUND(AVERAGE(seed1!H26,seed2!H26,seed3!H26,seed4!H26,seed5!H26),4)</f>
        <v>13.9183</v>
      </c>
      <c r="I26">
        <f>ROUND(AVERAGE(seed1!I26,seed2!I26,seed3!I26,seed4!I26,seed5!I26),4)</f>
        <v>16.433</v>
      </c>
      <c r="J26">
        <f>ROUND(AVERAGE(seed1!J26,seed2!J26,seed3!J26,seed4!J26,seed5!J26),4)</f>
        <v>15.418699999999999</v>
      </c>
    </row>
    <row r="27" spans="2:10">
      <c r="B27" s="1">
        <v>0.7</v>
      </c>
      <c r="C27">
        <f>ROUND(AVERAGE(seed1!C27,seed2!C27,seed3!C27,seed4!C27,seed5!C27),4)</f>
        <v>13.5863</v>
      </c>
      <c r="D27">
        <f>ROUND(AVERAGE(seed1!D27,seed2!D27,seed3!D27,seed4!D27,seed5!D27),4)</f>
        <v>15.4415</v>
      </c>
      <c r="E27">
        <f>ROUND(AVERAGE(seed1!E27,seed2!E27,seed3!E27,seed4!E27,seed5!E27),4)</f>
        <v>14.231400000000001</v>
      </c>
      <c r="G27" s="1">
        <v>0.7</v>
      </c>
      <c r="H27">
        <f>ROUND(AVERAGE(seed1!H27,seed2!H27,seed3!H27,seed4!H27,seed5!H27),4)</f>
        <v>13.9757</v>
      </c>
      <c r="I27">
        <f>ROUND(AVERAGE(seed1!I27,seed2!I27,seed3!I27,seed4!I27,seed5!I27),4)</f>
        <v>16.3855</v>
      </c>
      <c r="J27">
        <f>ROUND(AVERAGE(seed1!J27,seed2!J27,seed3!J27,seed4!J27,seed5!J27),4)</f>
        <v>15.417</v>
      </c>
    </row>
    <row r="28" spans="2:10">
      <c r="B28" s="1">
        <v>0.8</v>
      </c>
      <c r="C28">
        <f>ROUND(AVERAGE(seed1!C28,seed2!C28,seed3!C28,seed4!C28,seed5!C28),4)</f>
        <v>13.3604</v>
      </c>
      <c r="D28">
        <f>ROUND(AVERAGE(seed1!D28,seed2!D28,seed3!D28,seed4!D28,seed5!D28),4)</f>
        <v>16.53</v>
      </c>
      <c r="E28">
        <f>ROUND(AVERAGE(seed1!E28,seed2!E28,seed3!E28,seed4!E28,seed5!E28),4)</f>
        <v>14.4452</v>
      </c>
      <c r="G28" s="2">
        <v>0.8</v>
      </c>
      <c r="H28">
        <f>ROUND(AVERAGE(seed1!H28,seed2!H28,seed3!H28,seed4!H28,seed5!H28),4)</f>
        <v>11.5181</v>
      </c>
      <c r="I28">
        <f>ROUND(AVERAGE(seed1!I28,seed2!I28,seed3!I28,seed4!I28,seed5!I28),4)</f>
        <v>16.6663</v>
      </c>
      <c r="J28">
        <f>ROUND(AVERAGE(seed1!J28,seed2!J28,seed3!J28,seed4!J28,seed5!J28),4)</f>
        <v>14.4794</v>
      </c>
    </row>
    <row r="29" spans="2:10">
      <c r="B29" s="1">
        <v>0.9</v>
      </c>
      <c r="C29">
        <f>ROUND(AVERAGE(seed1!C29,seed2!C29,seed3!C29,seed4!C29,seed5!C29),4)</f>
        <v>12.975199999999999</v>
      </c>
      <c r="D29">
        <f>ROUND(AVERAGE(seed1!D29,seed2!D29,seed3!D29,seed4!D29,seed5!D29),4)</f>
        <v>16.625699999999998</v>
      </c>
      <c r="E29">
        <f>ROUND(AVERAGE(seed1!E29,seed2!E29,seed3!E29,seed4!E29,seed5!E29),4)</f>
        <v>14.2195</v>
      </c>
      <c r="G29" s="2">
        <v>0.9</v>
      </c>
      <c r="H29">
        <f>ROUND(AVERAGE(seed1!H29,seed2!H29,seed3!H29,seed4!H29,seed5!H29),4)</f>
        <v>11.5181</v>
      </c>
      <c r="I29">
        <f>ROUND(AVERAGE(seed1!I29,seed2!I29,seed3!I29,seed4!I29,seed5!I29),4)</f>
        <v>16.6663</v>
      </c>
      <c r="J29">
        <f>ROUND(AVERAGE(seed1!J29,seed2!J29,seed3!J29,seed4!J29,seed5!J29),4)</f>
        <v>14.4794</v>
      </c>
    </row>
    <row r="30" spans="2:10">
      <c r="B30" s="1">
        <v>1</v>
      </c>
      <c r="C30">
        <f>ROUND(AVERAGE(seed1!C30,seed2!C30,seed3!C30,seed4!C30,seed5!C30),4)</f>
        <v>12.777200000000001</v>
      </c>
      <c r="D30">
        <f>ROUND(AVERAGE(seed1!D30,seed2!D30,seed3!D30,seed4!D30,seed5!D30),4)</f>
        <v>16.670000000000002</v>
      </c>
      <c r="E30">
        <f>ROUND(AVERAGE(seed1!E30,seed2!E30,seed3!E30,seed4!E30,seed5!E30),4)</f>
        <v>14.098000000000001</v>
      </c>
      <c r="G30" s="1">
        <v>1</v>
      </c>
      <c r="H30">
        <f>ROUND(AVERAGE(seed1!H30,seed2!H30,seed3!H30,seed4!H30,seed5!H30),4)</f>
        <v>11.5181</v>
      </c>
      <c r="I30">
        <f>ROUND(AVERAGE(seed1!I30,seed2!I30,seed3!I30,seed4!I30,seed5!I30),4)</f>
        <v>16.6663</v>
      </c>
      <c r="J30">
        <f>ROUND(AVERAGE(seed1!J30,seed2!J30,seed3!J30,seed4!J30,seed5!J30),4)</f>
        <v>14.4794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4696-E9B1-9145-BC5B-8F999AEF4DFF}">
  <dimension ref="B2:L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13.608700000000001</v>
      </c>
      <c r="D4">
        <v>13.573</v>
      </c>
      <c r="E4">
        <v>13.5901</v>
      </c>
      <c r="G4" s="1">
        <v>0</v>
      </c>
    </row>
    <row r="5" spans="2:10">
      <c r="B5" s="1">
        <v>0.1</v>
      </c>
      <c r="C5">
        <v>13.608700000000001</v>
      </c>
      <c r="D5">
        <v>13.573</v>
      </c>
      <c r="E5">
        <v>13.5901</v>
      </c>
      <c r="G5" s="1">
        <v>0.1</v>
      </c>
    </row>
    <row r="6" spans="2:10">
      <c r="B6" s="2">
        <v>0.2</v>
      </c>
      <c r="C6">
        <v>13.608700000000001</v>
      </c>
      <c r="D6">
        <v>13.573</v>
      </c>
      <c r="E6">
        <v>13.5901</v>
      </c>
      <c r="G6" s="1">
        <v>0.2</v>
      </c>
    </row>
    <row r="7" spans="2:10">
      <c r="B7" s="4">
        <v>0.3</v>
      </c>
      <c r="C7">
        <v>13.3917</v>
      </c>
      <c r="D7">
        <v>11.1717</v>
      </c>
      <c r="E7">
        <v>12.1778</v>
      </c>
      <c r="G7" s="1">
        <v>0.3</v>
      </c>
    </row>
    <row r="8" spans="2:10">
      <c r="B8" s="1">
        <v>0.4</v>
      </c>
      <c r="C8">
        <v>12.7658</v>
      </c>
      <c r="D8">
        <v>15.5733</v>
      </c>
      <c r="E8">
        <v>14.093999999999999</v>
      </c>
      <c r="G8" s="1">
        <v>0.4</v>
      </c>
    </row>
    <row r="9" spans="2:10">
      <c r="B9" s="1">
        <v>0.5</v>
      </c>
      <c r="C9">
        <v>13.971</v>
      </c>
      <c r="D9">
        <v>15.202400000000001</v>
      </c>
      <c r="E9">
        <v>14.5588</v>
      </c>
      <c r="G9" s="1">
        <v>0.5</v>
      </c>
    </row>
    <row r="10" spans="2:10">
      <c r="B10" s="1">
        <v>0.6</v>
      </c>
      <c r="C10">
        <v>10.9411</v>
      </c>
      <c r="D10">
        <v>14.1225</v>
      </c>
      <c r="E10">
        <v>12.467599999999999</v>
      </c>
      <c r="G10" s="1">
        <v>0.6</v>
      </c>
    </row>
    <row r="11" spans="2:10">
      <c r="B11" s="1">
        <v>0.7</v>
      </c>
      <c r="C11">
        <v>10.9808</v>
      </c>
      <c r="D11">
        <v>15.8863</v>
      </c>
      <c r="E11">
        <v>13.129899999999999</v>
      </c>
      <c r="G11" s="1">
        <v>0.7</v>
      </c>
    </row>
    <row r="12" spans="2:10">
      <c r="B12" s="1">
        <v>0.8</v>
      </c>
      <c r="C12">
        <v>10.6015</v>
      </c>
      <c r="D12">
        <v>16.4754</v>
      </c>
      <c r="E12">
        <v>13.174899999999999</v>
      </c>
      <c r="G12" s="1">
        <v>0.8</v>
      </c>
    </row>
    <row r="13" spans="2:10">
      <c r="B13" s="1">
        <v>0.9</v>
      </c>
      <c r="C13">
        <v>9.8840000000000003</v>
      </c>
      <c r="D13">
        <v>16.6648</v>
      </c>
      <c r="E13">
        <v>12.826599999999999</v>
      </c>
      <c r="G13" s="1">
        <v>0.9</v>
      </c>
    </row>
    <row r="14" spans="2:10">
      <c r="B14" s="1">
        <v>1</v>
      </c>
      <c r="C14">
        <v>9.8782999999999994</v>
      </c>
      <c r="D14">
        <v>16.670000000000002</v>
      </c>
      <c r="E14">
        <v>12.8256</v>
      </c>
      <c r="G14" s="1">
        <v>1</v>
      </c>
    </row>
    <row r="16" spans="2:10">
      <c r="D16" t="s">
        <v>9</v>
      </c>
    </row>
    <row r="18" spans="2:12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2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2">
      <c r="B20" s="1">
        <v>0</v>
      </c>
      <c r="C20">
        <v>12.5854</v>
      </c>
      <c r="D20">
        <v>12.7652</v>
      </c>
      <c r="E20">
        <v>12.6541</v>
      </c>
      <c r="G20" s="1">
        <v>0</v>
      </c>
      <c r="H20">
        <v>12.801500000000001</v>
      </c>
      <c r="I20">
        <v>11.7582</v>
      </c>
      <c r="J20">
        <v>12.1744</v>
      </c>
      <c r="L20" t="s">
        <v>31</v>
      </c>
    </row>
    <row r="21" spans="2:12">
      <c r="B21" s="1">
        <v>0.1</v>
      </c>
      <c r="C21">
        <v>12.5854</v>
      </c>
      <c r="D21">
        <v>12.7652</v>
      </c>
      <c r="E21">
        <v>12.6541</v>
      </c>
      <c r="G21" s="1">
        <v>0.1</v>
      </c>
      <c r="H21">
        <v>12.885300000000001</v>
      </c>
      <c r="I21">
        <v>11.835800000000001</v>
      </c>
      <c r="J21">
        <v>12.252599999999999</v>
      </c>
      <c r="L21" t="s">
        <v>31</v>
      </c>
    </row>
    <row r="22" spans="2:12">
      <c r="B22" s="1">
        <v>0.2</v>
      </c>
      <c r="C22">
        <v>12.0974</v>
      </c>
      <c r="D22">
        <v>11.744400000000001</v>
      </c>
      <c r="E22">
        <v>11.962999999999999</v>
      </c>
      <c r="F22" t="s">
        <v>32</v>
      </c>
      <c r="G22" s="1">
        <v>0.2</v>
      </c>
      <c r="H22">
        <v>12.885300000000001</v>
      </c>
      <c r="I22">
        <v>11.835800000000001</v>
      </c>
      <c r="J22">
        <v>12.252599999999999</v>
      </c>
      <c r="L22" t="s">
        <v>31</v>
      </c>
    </row>
    <row r="23" spans="2:12">
      <c r="B23" s="1">
        <v>0.3</v>
      </c>
      <c r="C23">
        <v>12.0974</v>
      </c>
      <c r="D23">
        <v>11.744400000000001</v>
      </c>
      <c r="E23">
        <v>11.962999999999999</v>
      </c>
      <c r="F23" t="s">
        <v>32</v>
      </c>
      <c r="G23" s="1">
        <v>0.3</v>
      </c>
      <c r="H23">
        <v>12.210100000000001</v>
      </c>
      <c r="I23">
        <v>13.9193</v>
      </c>
      <c r="J23">
        <v>13.2323</v>
      </c>
    </row>
    <row r="24" spans="2:12">
      <c r="B24" s="1">
        <v>0.4</v>
      </c>
      <c r="C24">
        <v>11.7582</v>
      </c>
      <c r="D24">
        <v>12.415800000000001</v>
      </c>
      <c r="E24">
        <v>12.008599999999999</v>
      </c>
      <c r="F24" t="s">
        <v>32</v>
      </c>
      <c r="G24" s="1">
        <v>0.4</v>
      </c>
      <c r="H24">
        <v>12.850300000000001</v>
      </c>
      <c r="I24">
        <v>12.864800000000001</v>
      </c>
      <c r="J24">
        <v>12.8592</v>
      </c>
    </row>
    <row r="25" spans="2:12">
      <c r="B25" s="1">
        <v>0.5</v>
      </c>
      <c r="C25">
        <v>11.495900000000001</v>
      </c>
      <c r="D25">
        <v>15.3592</v>
      </c>
      <c r="E25">
        <v>12.8338</v>
      </c>
      <c r="G25" s="1">
        <v>0.5</v>
      </c>
      <c r="H25">
        <v>12.428599999999999</v>
      </c>
      <c r="I25">
        <v>14.136100000000001</v>
      </c>
      <c r="J25">
        <v>13.4437</v>
      </c>
    </row>
    <row r="26" spans="2:12">
      <c r="B26" s="1">
        <v>0.6</v>
      </c>
      <c r="C26">
        <v>13.511799999999999</v>
      </c>
      <c r="D26">
        <v>16.637799999999999</v>
      </c>
      <c r="E26">
        <v>14.6076</v>
      </c>
      <c r="G26" s="1">
        <v>0.6</v>
      </c>
      <c r="H26">
        <v>12.006</v>
      </c>
      <c r="I26">
        <v>15.748100000000001</v>
      </c>
      <c r="J26">
        <v>14.131600000000001</v>
      </c>
    </row>
    <row r="27" spans="2:12">
      <c r="B27" s="1">
        <v>0.7</v>
      </c>
      <c r="C27">
        <v>13.1686</v>
      </c>
      <c r="D27">
        <v>16.434000000000001</v>
      </c>
      <c r="E27">
        <v>14.302</v>
      </c>
      <c r="G27" s="1">
        <v>0.7</v>
      </c>
      <c r="H27">
        <v>11.8765</v>
      </c>
      <c r="I27">
        <v>16</v>
      </c>
      <c r="J27">
        <v>14.220499999999999</v>
      </c>
    </row>
    <row r="28" spans="2:12">
      <c r="B28" s="1">
        <v>0.8</v>
      </c>
      <c r="C28">
        <v>13.171099999999999</v>
      </c>
      <c r="D28">
        <v>16.434200000000001</v>
      </c>
      <c r="E28">
        <v>14.303699999999999</v>
      </c>
      <c r="G28" s="2">
        <v>0.8</v>
      </c>
      <c r="H28">
        <v>9.4037000000000006</v>
      </c>
      <c r="I28">
        <v>16.666899999999998</v>
      </c>
      <c r="J28">
        <v>13.236800000000001</v>
      </c>
    </row>
    <row r="29" spans="2:12">
      <c r="B29" s="1">
        <v>0.9</v>
      </c>
      <c r="C29">
        <v>13.4956</v>
      </c>
      <c r="D29">
        <v>16.669699999999999</v>
      </c>
      <c r="E29">
        <v>14.6081</v>
      </c>
      <c r="G29" s="2">
        <v>0.9</v>
      </c>
      <c r="H29">
        <v>9.4191000000000003</v>
      </c>
      <c r="I29">
        <v>16.670000000000002</v>
      </c>
      <c r="J29">
        <v>13.2463</v>
      </c>
    </row>
    <row r="30" spans="2:12">
      <c r="B30" s="1">
        <v>1</v>
      </c>
      <c r="C30">
        <v>13.4961</v>
      </c>
      <c r="D30">
        <v>16.670000000000002</v>
      </c>
      <c r="E30">
        <v>14.608700000000001</v>
      </c>
      <c r="G30" s="1">
        <v>1</v>
      </c>
      <c r="H30">
        <v>9.4191000000000003</v>
      </c>
      <c r="I30">
        <v>16.670000000000002</v>
      </c>
      <c r="J30">
        <v>13.2463</v>
      </c>
    </row>
    <row r="32" spans="2:12">
      <c r="D32" t="s">
        <v>9</v>
      </c>
      <c r="I32" t="s">
        <v>8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D224-3303-004F-BC39-0BA012AF74D8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15.536099999999999</v>
      </c>
      <c r="D4">
        <v>15.7677</v>
      </c>
      <c r="E4">
        <v>15.652699999999999</v>
      </c>
      <c r="G4" s="1">
        <v>0</v>
      </c>
    </row>
    <row r="5" spans="2:10">
      <c r="B5" s="1">
        <v>0.1</v>
      </c>
      <c r="C5">
        <v>15.536099999999999</v>
      </c>
      <c r="D5">
        <v>15.7677</v>
      </c>
      <c r="E5">
        <v>15.652699999999999</v>
      </c>
      <c r="G5" s="1">
        <v>0.1</v>
      </c>
    </row>
    <row r="6" spans="2:10">
      <c r="B6" s="1">
        <v>0.2</v>
      </c>
      <c r="C6">
        <v>14.08</v>
      </c>
      <c r="D6">
        <v>16.5503</v>
      </c>
      <c r="E6">
        <v>15.2653</v>
      </c>
      <c r="G6" s="1">
        <v>0.2</v>
      </c>
    </row>
    <row r="7" spans="2:10">
      <c r="B7" s="1">
        <v>0.3</v>
      </c>
      <c r="C7">
        <v>14.0982</v>
      </c>
      <c r="D7">
        <v>16.184100000000001</v>
      </c>
      <c r="E7">
        <v>15.0999</v>
      </c>
      <c r="G7" s="1">
        <v>0.3</v>
      </c>
    </row>
    <row r="8" spans="2:10">
      <c r="B8" s="1">
        <v>0.4</v>
      </c>
      <c r="C8">
        <v>15.6473</v>
      </c>
      <c r="D8">
        <v>16.288699999999999</v>
      </c>
      <c r="E8">
        <v>15.966100000000001</v>
      </c>
      <c r="G8" s="1">
        <v>0.4</v>
      </c>
    </row>
    <row r="9" spans="2:10">
      <c r="B9" s="1">
        <v>0.5</v>
      </c>
      <c r="C9">
        <v>15.6473</v>
      </c>
      <c r="D9">
        <v>16.288699999999999</v>
      </c>
      <c r="E9">
        <v>15.966100000000001</v>
      </c>
      <c r="G9" s="1">
        <v>0.5</v>
      </c>
    </row>
    <row r="10" spans="2:10">
      <c r="B10" s="1">
        <v>0.6</v>
      </c>
      <c r="C10">
        <v>15.573499999999999</v>
      </c>
      <c r="D10">
        <v>16.318200000000001</v>
      </c>
      <c r="E10">
        <v>15.9437</v>
      </c>
      <c r="G10" s="1">
        <v>0.6</v>
      </c>
    </row>
    <row r="11" spans="2:10">
      <c r="B11" s="1">
        <v>0.7</v>
      </c>
      <c r="C11">
        <v>15.211499999999999</v>
      </c>
      <c r="D11">
        <v>16.519200000000001</v>
      </c>
      <c r="E11">
        <v>15.856299999999999</v>
      </c>
      <c r="G11" s="1">
        <v>0.7</v>
      </c>
    </row>
    <row r="12" spans="2:10">
      <c r="B12" s="1">
        <v>0.8</v>
      </c>
      <c r="C12">
        <v>12.9353</v>
      </c>
      <c r="D12">
        <v>16.669</v>
      </c>
      <c r="E12">
        <v>14.6662</v>
      </c>
      <c r="G12" s="1">
        <v>0.8</v>
      </c>
    </row>
    <row r="13" spans="2:10">
      <c r="B13" s="1">
        <v>0.9</v>
      </c>
      <c r="C13">
        <v>13.0008</v>
      </c>
      <c r="D13">
        <v>16.670000000000002</v>
      </c>
      <c r="E13">
        <v>14.7059</v>
      </c>
      <c r="G13" s="1">
        <v>0.9</v>
      </c>
    </row>
    <row r="14" spans="2:10">
      <c r="B14" s="1">
        <v>1</v>
      </c>
      <c r="C14">
        <v>13.0008</v>
      </c>
      <c r="D14">
        <v>16.670000000000002</v>
      </c>
      <c r="E14">
        <v>14.7059</v>
      </c>
      <c r="G14" s="1">
        <v>1</v>
      </c>
    </row>
    <row r="16" spans="2:10">
      <c r="D16" t="s">
        <v>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14.6294</v>
      </c>
      <c r="D20">
        <v>15.922800000000001</v>
      </c>
      <c r="E20">
        <v>15.116</v>
      </c>
      <c r="G20" s="1">
        <v>0</v>
      </c>
      <c r="H20">
        <v>15.3193</v>
      </c>
      <c r="I20">
        <v>14.8627</v>
      </c>
      <c r="J20">
        <v>15.025399999999999</v>
      </c>
    </row>
    <row r="21" spans="2:10">
      <c r="B21" s="1">
        <v>0.1</v>
      </c>
      <c r="C21">
        <v>14.6294</v>
      </c>
      <c r="D21">
        <v>15.922800000000001</v>
      </c>
      <c r="E21">
        <v>15.116</v>
      </c>
      <c r="G21" s="1">
        <v>0.1</v>
      </c>
      <c r="H21">
        <v>15.3193</v>
      </c>
      <c r="I21">
        <v>14.8627</v>
      </c>
      <c r="J21">
        <v>15.025399999999999</v>
      </c>
    </row>
    <row r="22" spans="2:10">
      <c r="B22" s="1">
        <v>0.2</v>
      </c>
      <c r="C22">
        <v>14.839399999999999</v>
      </c>
      <c r="D22">
        <v>16.655000000000001</v>
      </c>
      <c r="E22">
        <v>15.502800000000001</v>
      </c>
      <c r="G22" s="1">
        <v>0.2</v>
      </c>
      <c r="H22">
        <v>15.3193</v>
      </c>
      <c r="I22">
        <v>14.8627</v>
      </c>
      <c r="J22">
        <v>15.025399999999999</v>
      </c>
    </row>
    <row r="23" spans="2:10">
      <c r="B23" s="1">
        <v>0.3</v>
      </c>
      <c r="C23">
        <v>14.795299999999999</v>
      </c>
      <c r="D23">
        <v>16.665900000000001</v>
      </c>
      <c r="E23">
        <v>15.478400000000001</v>
      </c>
      <c r="G23" s="1">
        <v>0.3</v>
      </c>
      <c r="H23">
        <v>13.3809</v>
      </c>
      <c r="I23">
        <v>14.889900000000001</v>
      </c>
      <c r="J23">
        <v>14.3187</v>
      </c>
    </row>
    <row r="24" spans="2:10">
      <c r="B24" s="1">
        <v>0.4</v>
      </c>
      <c r="C24">
        <v>14.795299999999999</v>
      </c>
      <c r="D24">
        <v>16.665900000000001</v>
      </c>
      <c r="E24">
        <v>15.478400000000001</v>
      </c>
      <c r="G24" s="1">
        <v>0.4</v>
      </c>
      <c r="H24">
        <v>14.3668</v>
      </c>
      <c r="I24">
        <v>14.943099999999999</v>
      </c>
      <c r="J24">
        <v>14.7319</v>
      </c>
    </row>
    <row r="25" spans="2:10">
      <c r="B25" s="1">
        <v>0.5</v>
      </c>
      <c r="C25">
        <v>14.795299999999999</v>
      </c>
      <c r="D25">
        <v>16.665900000000001</v>
      </c>
      <c r="E25">
        <v>15.478400000000001</v>
      </c>
      <c r="G25" s="1">
        <v>0.5</v>
      </c>
      <c r="H25">
        <v>12.836</v>
      </c>
      <c r="I25">
        <v>15.8515</v>
      </c>
      <c r="J25">
        <v>14.694000000000001</v>
      </c>
    </row>
    <row r="26" spans="2:10">
      <c r="B26" s="1">
        <v>0.6</v>
      </c>
      <c r="C26">
        <v>14.795299999999999</v>
      </c>
      <c r="D26">
        <v>16.665900000000001</v>
      </c>
      <c r="E26">
        <v>15.478400000000001</v>
      </c>
      <c r="G26" s="1">
        <v>0.6</v>
      </c>
      <c r="H26">
        <v>12.932</v>
      </c>
      <c r="I26">
        <v>15.9559</v>
      </c>
      <c r="J26">
        <v>14.795199999999999</v>
      </c>
    </row>
    <row r="27" spans="2:10">
      <c r="B27" s="1">
        <v>0.7</v>
      </c>
      <c r="C27">
        <v>14.816700000000001</v>
      </c>
      <c r="D27">
        <v>16.660900000000002</v>
      </c>
      <c r="E27">
        <v>15.491400000000001</v>
      </c>
      <c r="G27" s="1">
        <v>0.7</v>
      </c>
      <c r="H27">
        <v>13.3202</v>
      </c>
      <c r="I27">
        <v>16.526</v>
      </c>
      <c r="J27">
        <v>15.276199999999999</v>
      </c>
    </row>
    <row r="28" spans="2:10">
      <c r="B28" s="1">
        <v>0.8</v>
      </c>
      <c r="C28">
        <v>14.816700000000001</v>
      </c>
      <c r="D28">
        <v>16.660900000000002</v>
      </c>
      <c r="E28">
        <v>15.491400000000001</v>
      </c>
      <c r="G28" s="2">
        <v>0.8</v>
      </c>
      <c r="H28">
        <v>13.110300000000001</v>
      </c>
      <c r="I28">
        <v>16.6053</v>
      </c>
      <c r="J28">
        <v>15.2166</v>
      </c>
    </row>
    <row r="29" spans="2:10">
      <c r="B29" s="1">
        <v>0.9</v>
      </c>
      <c r="C29">
        <v>14.780900000000001</v>
      </c>
      <c r="D29">
        <v>16.6675</v>
      </c>
      <c r="E29">
        <v>15.4696</v>
      </c>
      <c r="G29" s="2">
        <v>0.9</v>
      </c>
      <c r="H29">
        <v>13.0358</v>
      </c>
      <c r="I29">
        <v>16.670000000000002</v>
      </c>
      <c r="J29">
        <v>15.226000000000001</v>
      </c>
    </row>
    <row r="30" spans="2:10">
      <c r="B30" s="1">
        <v>1</v>
      </c>
      <c r="C30">
        <v>14.7514</v>
      </c>
      <c r="D30">
        <v>16.670000000000002</v>
      </c>
      <c r="E30">
        <v>15.4513</v>
      </c>
      <c r="G30" s="1">
        <v>1</v>
      </c>
      <c r="H30">
        <v>13.0358</v>
      </c>
      <c r="I30">
        <v>16.670000000000002</v>
      </c>
      <c r="J30">
        <v>15.226000000000001</v>
      </c>
    </row>
    <row r="32" spans="2:10">
      <c r="D32" t="s">
        <v>9</v>
      </c>
      <c r="I32" t="s">
        <v>8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D008-03D2-7040-8B07-4A661A5B50D5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14.6022</v>
      </c>
      <c r="D4">
        <v>13.301</v>
      </c>
      <c r="E4">
        <v>13.9709</v>
      </c>
      <c r="G4" s="1">
        <v>0</v>
      </c>
    </row>
    <row r="5" spans="2:10">
      <c r="B5" s="1">
        <v>0.1</v>
      </c>
      <c r="C5">
        <v>14.5794</v>
      </c>
      <c r="D5">
        <v>13.363799999999999</v>
      </c>
      <c r="E5">
        <v>13.989699999999999</v>
      </c>
      <c r="G5" s="1">
        <v>0.1</v>
      </c>
    </row>
    <row r="6" spans="2:10">
      <c r="B6" s="1">
        <v>0.2</v>
      </c>
      <c r="C6">
        <v>14.5101</v>
      </c>
      <c r="D6">
        <v>13.3538</v>
      </c>
      <c r="E6">
        <v>13.9498</v>
      </c>
      <c r="G6" s="1">
        <v>0.2</v>
      </c>
    </row>
    <row r="7" spans="2:10">
      <c r="B7" s="1">
        <v>0.3</v>
      </c>
      <c r="C7">
        <v>15.2059</v>
      </c>
      <c r="D7">
        <v>14.8733</v>
      </c>
      <c r="E7">
        <v>15.0466</v>
      </c>
      <c r="G7" s="1">
        <v>0.3</v>
      </c>
    </row>
    <row r="8" spans="2:10">
      <c r="B8" s="4">
        <v>0.4</v>
      </c>
      <c r="C8">
        <v>14.2486</v>
      </c>
      <c r="D8">
        <v>13.043699999999999</v>
      </c>
      <c r="E8">
        <v>13.6775</v>
      </c>
      <c r="G8" s="1">
        <v>0.4</v>
      </c>
    </row>
    <row r="9" spans="2:10">
      <c r="B9" s="1">
        <v>0.5</v>
      </c>
      <c r="C9">
        <v>14.350300000000001</v>
      </c>
      <c r="D9">
        <v>14.9536</v>
      </c>
      <c r="E9">
        <v>14.6363</v>
      </c>
      <c r="G9" s="1">
        <v>0.5</v>
      </c>
    </row>
    <row r="10" spans="2:10">
      <c r="B10" s="1">
        <v>0.6</v>
      </c>
      <c r="C10">
        <v>14.457800000000001</v>
      </c>
      <c r="D10">
        <v>15.8551</v>
      </c>
      <c r="E10">
        <v>15.104900000000001</v>
      </c>
      <c r="G10" s="1">
        <v>0.6</v>
      </c>
    </row>
    <row r="11" spans="2:10">
      <c r="B11" s="1">
        <v>0.7</v>
      </c>
      <c r="C11">
        <v>13.2265</v>
      </c>
      <c r="D11">
        <v>16.444600000000001</v>
      </c>
      <c r="E11">
        <v>14.643599999999999</v>
      </c>
      <c r="G11" s="1">
        <v>0.7</v>
      </c>
    </row>
    <row r="12" spans="2:10">
      <c r="B12" s="1">
        <v>0.8</v>
      </c>
      <c r="C12">
        <v>11.702999999999999</v>
      </c>
      <c r="D12">
        <v>16.6448</v>
      </c>
      <c r="E12">
        <v>13.761200000000001</v>
      </c>
      <c r="G12" s="1">
        <v>0.8</v>
      </c>
    </row>
    <row r="13" spans="2:10">
      <c r="B13" s="1">
        <v>0.9</v>
      </c>
      <c r="C13">
        <v>12.041700000000001</v>
      </c>
      <c r="D13">
        <v>16.670000000000002</v>
      </c>
      <c r="E13">
        <v>13.9693</v>
      </c>
      <c r="G13" s="1">
        <v>0.9</v>
      </c>
    </row>
    <row r="14" spans="2:10">
      <c r="B14" s="1">
        <v>1</v>
      </c>
      <c r="C14">
        <v>12.041700000000001</v>
      </c>
      <c r="D14">
        <v>16.670000000000002</v>
      </c>
      <c r="E14">
        <v>13.9693</v>
      </c>
      <c r="G14" s="1">
        <v>1</v>
      </c>
    </row>
    <row r="16" spans="2:10">
      <c r="D16" t="s">
        <v>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12.9383</v>
      </c>
      <c r="D20">
        <v>14.712</v>
      </c>
      <c r="E20">
        <v>13.5952</v>
      </c>
      <c r="G20" s="1">
        <v>0</v>
      </c>
      <c r="H20">
        <v>15.6593</v>
      </c>
      <c r="I20">
        <v>13.738799999999999</v>
      </c>
      <c r="J20">
        <v>14.4466</v>
      </c>
    </row>
    <row r="21" spans="2:10">
      <c r="B21" s="1">
        <v>0.1</v>
      </c>
      <c r="C21">
        <v>12.9383</v>
      </c>
      <c r="D21">
        <v>14.712</v>
      </c>
      <c r="E21">
        <v>13.5952</v>
      </c>
      <c r="G21" s="1">
        <v>0.1</v>
      </c>
      <c r="H21">
        <v>15.652699999999999</v>
      </c>
      <c r="I21">
        <v>13.765599999999999</v>
      </c>
      <c r="J21">
        <v>14.4611</v>
      </c>
    </row>
    <row r="22" spans="2:10">
      <c r="B22" s="1">
        <v>0.2</v>
      </c>
      <c r="C22">
        <v>12.9383</v>
      </c>
      <c r="D22">
        <v>14.712</v>
      </c>
      <c r="E22">
        <v>13.5952</v>
      </c>
      <c r="G22" s="1">
        <v>0.2</v>
      </c>
      <c r="H22">
        <v>14.0274</v>
      </c>
      <c r="I22">
        <v>15.1915</v>
      </c>
      <c r="J22">
        <v>14.7257</v>
      </c>
    </row>
    <row r="23" spans="2:10">
      <c r="B23" s="1">
        <v>0.3</v>
      </c>
      <c r="C23">
        <v>12.9383</v>
      </c>
      <c r="D23">
        <v>14.712</v>
      </c>
      <c r="E23">
        <v>13.5952</v>
      </c>
      <c r="G23" s="1">
        <v>0.3</v>
      </c>
      <c r="H23">
        <v>14.551</v>
      </c>
      <c r="I23">
        <v>13.6014</v>
      </c>
      <c r="J23">
        <v>13.956</v>
      </c>
    </row>
    <row r="24" spans="2:10">
      <c r="B24" s="1">
        <v>0.4</v>
      </c>
      <c r="C24">
        <v>12.9803</v>
      </c>
      <c r="D24">
        <v>15.446</v>
      </c>
      <c r="E24">
        <v>13.8934</v>
      </c>
      <c r="G24" s="1">
        <v>0.4</v>
      </c>
      <c r="H24">
        <v>14.846</v>
      </c>
      <c r="I24">
        <v>16.0382</v>
      </c>
      <c r="J24">
        <v>15.556900000000001</v>
      </c>
    </row>
    <row r="25" spans="2:10">
      <c r="B25" s="1">
        <v>0.5</v>
      </c>
      <c r="C25">
        <v>13.860900000000001</v>
      </c>
      <c r="D25">
        <v>15.996499999999999</v>
      </c>
      <c r="E25">
        <v>14.6488</v>
      </c>
      <c r="G25" s="1">
        <v>0.5</v>
      </c>
      <c r="H25">
        <v>13.908799999999999</v>
      </c>
      <c r="I25">
        <v>15.910399999999999</v>
      </c>
      <c r="J25">
        <v>15.0898</v>
      </c>
    </row>
    <row r="26" spans="2:10">
      <c r="B26" s="1">
        <v>0.6</v>
      </c>
      <c r="C26">
        <v>13.8688</v>
      </c>
      <c r="D26">
        <v>16.076599999999999</v>
      </c>
      <c r="E26">
        <v>14.6823</v>
      </c>
      <c r="G26" s="1">
        <v>0.6</v>
      </c>
      <c r="H26">
        <v>13.867000000000001</v>
      </c>
      <c r="I26">
        <v>16.186499999999999</v>
      </c>
      <c r="J26">
        <v>15.2356</v>
      </c>
    </row>
    <row r="27" spans="2:10">
      <c r="B27" s="1">
        <v>0.7</v>
      </c>
      <c r="C27">
        <v>13.7545</v>
      </c>
      <c r="D27">
        <v>15.526400000000001</v>
      </c>
      <c r="E27">
        <v>14.418699999999999</v>
      </c>
      <c r="G27" s="1">
        <v>0.7</v>
      </c>
      <c r="H27">
        <v>10.105499999999999</v>
      </c>
      <c r="I27">
        <v>15.5299</v>
      </c>
      <c r="J27">
        <v>13.047700000000001</v>
      </c>
    </row>
    <row r="28" spans="2:10">
      <c r="B28" s="1">
        <v>0.8</v>
      </c>
      <c r="C28">
        <v>11.826499999999999</v>
      </c>
      <c r="D28">
        <v>16.481999999999999</v>
      </c>
      <c r="E28">
        <v>13.4336</v>
      </c>
      <c r="G28" s="2">
        <v>0.8</v>
      </c>
      <c r="H28">
        <v>9.7417999999999996</v>
      </c>
      <c r="I28">
        <v>16.6143</v>
      </c>
      <c r="J28">
        <v>13.2927</v>
      </c>
    </row>
    <row r="29" spans="2:10">
      <c r="B29" s="1">
        <v>0.9</v>
      </c>
      <c r="C29">
        <v>11.769600000000001</v>
      </c>
      <c r="D29">
        <v>16.554300000000001</v>
      </c>
      <c r="E29">
        <v>13.4117</v>
      </c>
      <c r="G29" s="2">
        <v>0.9</v>
      </c>
      <c r="H29">
        <v>9.7417999999999996</v>
      </c>
      <c r="I29">
        <v>16.6143</v>
      </c>
      <c r="J29">
        <v>13.2927</v>
      </c>
    </row>
    <row r="30" spans="2:10">
      <c r="B30" s="1">
        <v>1</v>
      </c>
      <c r="C30">
        <v>11.769600000000001</v>
      </c>
      <c r="D30">
        <v>16.554300000000001</v>
      </c>
      <c r="E30">
        <v>13.4117</v>
      </c>
      <c r="G30" s="1">
        <v>1</v>
      </c>
      <c r="H30">
        <v>9.7417999999999996</v>
      </c>
      <c r="I30">
        <v>16.6143</v>
      </c>
      <c r="J30">
        <v>13.2927</v>
      </c>
    </row>
    <row r="32" spans="2:10">
      <c r="D32" t="s">
        <v>8</v>
      </c>
      <c r="I32" t="s">
        <v>8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C797-6E9F-E649-AA7D-4C69AB23C0FA}">
  <dimension ref="B2:M32"/>
  <sheetViews>
    <sheetView workbookViewId="0">
      <selection activeCell="C4" sqref="C4:E14"/>
    </sheetView>
  </sheetViews>
  <sheetFormatPr baseColWidth="10" defaultRowHeight="20"/>
  <sheetData>
    <row r="2" spans="2:13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3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3">
      <c r="B4" s="1">
        <v>0</v>
      </c>
      <c r="C4">
        <v>11.9406</v>
      </c>
      <c r="D4">
        <v>11.9671</v>
      </c>
      <c r="E4">
        <v>11.953099999999999</v>
      </c>
      <c r="G4" s="1">
        <v>0</v>
      </c>
    </row>
    <row r="5" spans="2:13">
      <c r="B5" s="1">
        <v>0.1</v>
      </c>
      <c r="C5">
        <v>11.9406</v>
      </c>
      <c r="D5">
        <v>11.9671</v>
      </c>
      <c r="E5">
        <v>11.953099999999999</v>
      </c>
      <c r="G5" s="1">
        <v>0.1</v>
      </c>
    </row>
    <row r="6" spans="2:13">
      <c r="B6" s="3">
        <v>0.2</v>
      </c>
      <c r="C6">
        <v>10.0883</v>
      </c>
      <c r="D6">
        <v>12.318</v>
      </c>
      <c r="E6">
        <v>11.075100000000001</v>
      </c>
      <c r="G6" s="1">
        <v>0.2</v>
      </c>
      <c r="M6" t="s">
        <v>24</v>
      </c>
    </row>
    <row r="7" spans="2:13">
      <c r="B7" s="1">
        <v>0.3</v>
      </c>
      <c r="C7">
        <v>13.0838</v>
      </c>
      <c r="D7">
        <v>13.0825</v>
      </c>
      <c r="E7">
        <v>13.0832</v>
      </c>
      <c r="G7" s="1">
        <v>0.3</v>
      </c>
    </row>
    <row r="8" spans="2:13">
      <c r="B8" s="1">
        <v>0.4</v>
      </c>
      <c r="C8">
        <v>13.273099999999999</v>
      </c>
      <c r="D8">
        <v>13.4602</v>
      </c>
      <c r="E8">
        <v>13.3605</v>
      </c>
      <c r="G8" s="1">
        <v>0.4</v>
      </c>
    </row>
    <row r="9" spans="2:13">
      <c r="B9" s="1">
        <v>0.5</v>
      </c>
      <c r="C9">
        <v>12.960900000000001</v>
      </c>
      <c r="D9">
        <v>14.2486</v>
      </c>
      <c r="E9">
        <v>13.562099999999999</v>
      </c>
      <c r="G9" s="1">
        <v>0.5</v>
      </c>
    </row>
    <row r="10" spans="2:13">
      <c r="B10" s="1">
        <v>0.6</v>
      </c>
      <c r="C10">
        <v>12.9475</v>
      </c>
      <c r="D10">
        <v>14.2468</v>
      </c>
      <c r="E10">
        <v>13.5542</v>
      </c>
      <c r="G10" s="1">
        <v>0.6</v>
      </c>
    </row>
    <row r="11" spans="2:13">
      <c r="B11" s="1">
        <v>0.7</v>
      </c>
      <c r="C11">
        <v>12.356999999999999</v>
      </c>
      <c r="D11">
        <v>16.376200000000001</v>
      </c>
      <c r="E11">
        <v>14.0906</v>
      </c>
      <c r="G11" s="1">
        <v>0.7</v>
      </c>
    </row>
    <row r="12" spans="2:13">
      <c r="B12" s="1">
        <v>0.8</v>
      </c>
      <c r="C12">
        <v>10.1493</v>
      </c>
      <c r="D12">
        <v>16.6248</v>
      </c>
      <c r="E12">
        <v>12.7464</v>
      </c>
      <c r="G12" s="1">
        <v>0.8</v>
      </c>
    </row>
    <row r="13" spans="2:13">
      <c r="B13" s="1">
        <v>0.9</v>
      </c>
      <c r="C13">
        <v>10.134</v>
      </c>
      <c r="D13">
        <v>16.670000000000002</v>
      </c>
      <c r="E13">
        <v>12.755699999999999</v>
      </c>
      <c r="G13" s="1">
        <v>0.9</v>
      </c>
    </row>
    <row r="14" spans="2:13">
      <c r="B14" s="1">
        <v>1</v>
      </c>
      <c r="C14">
        <v>10.134</v>
      </c>
      <c r="D14">
        <v>16.670000000000002</v>
      </c>
      <c r="E14">
        <v>12.755699999999999</v>
      </c>
      <c r="G14" s="1">
        <v>1</v>
      </c>
    </row>
    <row r="16" spans="2:13">
      <c r="D16" t="s">
        <v>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11.6523</v>
      </c>
      <c r="D20">
        <v>9.9702999999999999</v>
      </c>
      <c r="E20">
        <v>11.0684</v>
      </c>
      <c r="G20" s="1">
        <v>0</v>
      </c>
      <c r="H20">
        <v>10.5588</v>
      </c>
      <c r="I20">
        <v>11.698600000000001</v>
      </c>
      <c r="J20">
        <v>11.2036</v>
      </c>
    </row>
    <row r="21" spans="2:10">
      <c r="B21" s="1">
        <v>0.1</v>
      </c>
      <c r="C21">
        <v>11.6523</v>
      </c>
      <c r="D21">
        <v>9.9702999999999999</v>
      </c>
      <c r="E21">
        <v>11.0684</v>
      </c>
      <c r="G21" s="1">
        <v>0.1</v>
      </c>
      <c r="H21">
        <v>10.5588</v>
      </c>
      <c r="I21">
        <v>11.698600000000001</v>
      </c>
      <c r="J21">
        <v>11.2036</v>
      </c>
    </row>
    <row r="22" spans="2:10">
      <c r="B22" s="1">
        <v>0.2</v>
      </c>
      <c r="C22">
        <v>11.2529</v>
      </c>
      <c r="D22">
        <v>13.2963</v>
      </c>
      <c r="E22">
        <v>11.9185</v>
      </c>
      <c r="G22" s="1">
        <v>0.2</v>
      </c>
      <c r="H22">
        <v>10.5588</v>
      </c>
      <c r="I22">
        <v>11.698600000000001</v>
      </c>
      <c r="J22">
        <v>11.2036</v>
      </c>
    </row>
    <row r="23" spans="2:10">
      <c r="B23" s="1">
        <v>0.3</v>
      </c>
      <c r="C23">
        <v>11.963200000000001</v>
      </c>
      <c r="D23">
        <v>13.037100000000001</v>
      </c>
      <c r="E23">
        <v>12.313000000000001</v>
      </c>
      <c r="G23" s="1">
        <v>0.3</v>
      </c>
      <c r="H23">
        <v>10.557399999999999</v>
      </c>
      <c r="I23">
        <v>11.7044</v>
      </c>
      <c r="J23">
        <v>11.206300000000001</v>
      </c>
    </row>
    <row r="24" spans="2:10">
      <c r="B24" s="1">
        <v>0.4</v>
      </c>
      <c r="C24">
        <v>11.993</v>
      </c>
      <c r="D24">
        <v>13.292899999999999</v>
      </c>
      <c r="E24">
        <v>12.416399999999999</v>
      </c>
      <c r="G24" s="1">
        <v>0.4</v>
      </c>
      <c r="H24">
        <v>10.536799999999999</v>
      </c>
      <c r="I24">
        <v>11.905099999999999</v>
      </c>
      <c r="J24">
        <v>11.306699999999999</v>
      </c>
    </row>
    <row r="25" spans="2:10">
      <c r="B25" s="1">
        <v>0.5</v>
      </c>
      <c r="C25">
        <v>12.4221</v>
      </c>
      <c r="D25">
        <v>12.9076</v>
      </c>
      <c r="E25">
        <v>12.5901</v>
      </c>
      <c r="G25" s="1">
        <v>0.5</v>
      </c>
      <c r="H25">
        <v>9.8355999999999995</v>
      </c>
      <c r="I25">
        <v>13.6792</v>
      </c>
      <c r="J25">
        <v>11.893599999999999</v>
      </c>
    </row>
    <row r="26" spans="2:10">
      <c r="B26" s="1">
        <v>0.6</v>
      </c>
      <c r="C26">
        <v>12.266299999999999</v>
      </c>
      <c r="D26">
        <v>12.750500000000001</v>
      </c>
      <c r="E26">
        <v>12.4338</v>
      </c>
      <c r="G26" s="1">
        <v>0.6</v>
      </c>
      <c r="H26">
        <v>9.0693999999999999</v>
      </c>
      <c r="I26">
        <v>15.1921</v>
      </c>
      <c r="J26">
        <v>12.265599999999999</v>
      </c>
    </row>
    <row r="27" spans="2:10">
      <c r="B27" s="1">
        <v>0.7</v>
      </c>
      <c r="C27">
        <v>11.9542</v>
      </c>
      <c r="D27">
        <v>14.0992</v>
      </c>
      <c r="E27">
        <v>12.670500000000001</v>
      </c>
      <c r="G27" s="1">
        <v>0.7</v>
      </c>
      <c r="H27">
        <v>9.5991999999999997</v>
      </c>
      <c r="I27">
        <v>15.543200000000001</v>
      </c>
      <c r="J27">
        <v>12.799300000000001</v>
      </c>
    </row>
    <row r="28" spans="2:10">
      <c r="B28" s="1">
        <v>0.8</v>
      </c>
      <c r="C28">
        <v>11.9901</v>
      </c>
      <c r="D28">
        <v>15.7057</v>
      </c>
      <c r="E28">
        <v>13.154500000000001</v>
      </c>
      <c r="G28" s="2">
        <v>0.8</v>
      </c>
      <c r="H28">
        <v>9.1212</v>
      </c>
      <c r="I28">
        <v>16.669699999999999</v>
      </c>
      <c r="J28">
        <v>12.9567</v>
      </c>
    </row>
    <row r="29" spans="2:10">
      <c r="B29" s="1">
        <v>0.9</v>
      </c>
      <c r="C29">
        <v>12.2766</v>
      </c>
      <c r="D29">
        <v>16.670000000000002</v>
      </c>
      <c r="E29">
        <v>13.607200000000001</v>
      </c>
      <c r="G29" s="2">
        <v>0.9</v>
      </c>
      <c r="H29">
        <v>9.1100999999999992</v>
      </c>
      <c r="I29">
        <v>16.670000000000002</v>
      </c>
      <c r="J29">
        <v>12.947900000000001</v>
      </c>
    </row>
    <row r="30" spans="2:10">
      <c r="B30" s="1">
        <v>1</v>
      </c>
      <c r="C30">
        <v>12.2766</v>
      </c>
      <c r="D30">
        <v>16.670000000000002</v>
      </c>
      <c r="E30">
        <v>13.607200000000001</v>
      </c>
      <c r="G30" s="1">
        <v>1</v>
      </c>
      <c r="H30">
        <v>9.1100999999999992</v>
      </c>
      <c r="I30">
        <v>16.670000000000002</v>
      </c>
      <c r="J30">
        <v>12.947900000000001</v>
      </c>
    </row>
    <row r="32" spans="2:10">
      <c r="D32" t="s">
        <v>8</v>
      </c>
      <c r="I32" t="s">
        <v>8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97EC-6F3F-AB4A-9F98-30BA8077CC4C}">
  <dimension ref="B2:N30"/>
  <sheetViews>
    <sheetView topLeftCell="B1" workbookViewId="0">
      <selection activeCell="K29" sqref="K29"/>
    </sheetView>
  </sheetViews>
  <sheetFormatPr baseColWidth="10" defaultRowHeight="20"/>
  <sheetData>
    <row r="2" spans="2:14">
      <c r="B2" s="1"/>
      <c r="C2" s="1" t="s">
        <v>21</v>
      </c>
      <c r="D2" s="1"/>
      <c r="E2" s="1" t="s">
        <v>4</v>
      </c>
      <c r="G2" s="1"/>
      <c r="H2" s="1" t="s">
        <v>21</v>
      </c>
      <c r="I2" s="1"/>
      <c r="J2" s="1" t="s">
        <v>5</v>
      </c>
    </row>
    <row r="3" spans="2:14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  <c r="L3" s="1" t="s">
        <v>10</v>
      </c>
      <c r="M3" s="1" t="s">
        <v>22</v>
      </c>
      <c r="N3" s="1" t="s">
        <v>23</v>
      </c>
    </row>
    <row r="4" spans="2:14">
      <c r="B4" s="1">
        <v>0</v>
      </c>
      <c r="C4">
        <f>ROUND(AVERAGE(seed1!C4,seed2!C4,seed3!C4,seed4!C4,seed5!C4,seed7!C4,seed8!C4,seed9!C4,seed10!C4),4)</f>
        <v>14.8078</v>
      </c>
      <c r="D4">
        <f>ROUND(AVERAGE(seed1!D4,seed2!D4,seed3!D4,seed4!D4,seed5!D4,seed7!D4,seed8!D4,seed9!D4,seed10!D4),4)</f>
        <v>13.871</v>
      </c>
      <c r="E4">
        <f>ROUND(AVERAGE(seed1!E4,seed2!E4,seed3!E4,seed4!E4,seed5!E4,seed7!E4,seed8!E4,seed9!E4,seed10!E4),4)</f>
        <v>14.348699999999999</v>
      </c>
      <c r="G4" s="1">
        <v>0</v>
      </c>
      <c r="L4">
        <v>0</v>
      </c>
      <c r="M4">
        <v>14.348699999999999</v>
      </c>
      <c r="N4">
        <v>14.348599999999999</v>
      </c>
    </row>
    <row r="5" spans="2:14">
      <c r="B5" s="1">
        <v>0.1</v>
      </c>
      <c r="C5">
        <f>ROUND(AVERAGE(seed1!C5,seed2!C5,seed3!C5,seed4!C5,seed5!C5,seed7!C5,seed8!C5,seed9!C5,seed10!C5),4)</f>
        <v>14.804500000000001</v>
      </c>
      <c r="D5">
        <f>ROUND(AVERAGE(seed1!D5,seed2!D5,seed3!D5,seed4!D5,seed5!D5,seed7!D5,seed8!D5,seed9!D5,seed10!D5),4)</f>
        <v>13.9046</v>
      </c>
      <c r="E5">
        <f>ROUND(AVERAGE(seed1!E5,seed2!E5,seed3!E5,seed4!E5,seed5!E5,seed7!E5,seed8!E5,seed9!E5,seed10!E5),4)</f>
        <v>14.363200000000001</v>
      </c>
      <c r="G5" s="1">
        <v>0.1</v>
      </c>
      <c r="L5">
        <v>0.1</v>
      </c>
      <c r="M5">
        <v>14.363200000000001</v>
      </c>
      <c r="N5">
        <v>14.348599999999999</v>
      </c>
    </row>
    <row r="6" spans="2:14">
      <c r="B6" s="1">
        <v>0.2</v>
      </c>
      <c r="C6">
        <f>ROUND(AVERAGE(seed1!C6,seed2!C6,seed3!C6,seed4!C6,seed5!C6,seed7!C6,seed8!C6,seed9!C6,seed10!C6),4)</f>
        <v>14.358499999999999</v>
      </c>
      <c r="D6">
        <f>ROUND(AVERAGE(seed1!D6,seed2!D6,seed3!D6,seed4!D6,seed5!D6,seed7!D6,seed8!D6,seed9!D6,seed10!D6),4)</f>
        <v>14.2552</v>
      </c>
      <c r="E6">
        <f>ROUND(AVERAGE(seed1!E6,seed2!E6,seed3!E6,seed4!E6,seed5!E6,seed7!E6,seed8!E6,seed9!E6,seed10!E6),4)</f>
        <v>14.2965</v>
      </c>
      <c r="G6" s="1">
        <v>0.2</v>
      </c>
      <c r="L6">
        <v>0.2</v>
      </c>
      <c r="M6">
        <v>14.2965</v>
      </c>
      <c r="N6">
        <v>14.390499999999999</v>
      </c>
    </row>
    <row r="7" spans="2:14">
      <c r="B7" s="1">
        <v>0.3</v>
      </c>
      <c r="C7">
        <f>ROUND(AVERAGE(seed1!C7,seed2!C7,seed3!C7,seed4!C7,seed5!C7,seed7!C7,seed8!C7,seed9!C7,seed10!C7),4)</f>
        <v>14.6798</v>
      </c>
      <c r="D7">
        <f>ROUND(AVERAGE(seed1!D7,seed2!D7,seed3!D7,seed4!D7,seed5!D7,seed7!D7,seed8!D7,seed9!D7,seed10!D7),4)</f>
        <v>14.0924</v>
      </c>
      <c r="E7">
        <f>ROUND(AVERAGE(seed1!E7,seed2!E7,seed3!E7,seed4!E7,seed5!E7,seed7!E7,seed8!E7,seed9!E7,seed10!E7),4)</f>
        <v>14.379200000000001</v>
      </c>
      <c r="G7" s="1">
        <v>0.3</v>
      </c>
      <c r="L7">
        <v>0.3</v>
      </c>
      <c r="M7">
        <v>14.379200000000001</v>
      </c>
      <c r="N7">
        <v>14.456099999999999</v>
      </c>
    </row>
    <row r="8" spans="2:14">
      <c r="B8" s="1">
        <v>0.4</v>
      </c>
      <c r="C8">
        <f>ROUND(AVERAGE(seed1!C8,seed2!C8,seed3!C8,seed4!C8,seed5!C8,seed7!C8,seed8!C8,seed9!C8,seed10!C8),4)</f>
        <v>14.616300000000001</v>
      </c>
      <c r="D8">
        <f>ROUND(AVERAGE(seed1!D8,seed2!D8,seed3!D8,seed4!D8,seed5!D8,seed7!D8,seed8!D8,seed9!D8,seed10!D8),4)</f>
        <v>14.7715</v>
      </c>
      <c r="E8">
        <f>ROUND(AVERAGE(seed1!E8,seed2!E8,seed3!E8,seed4!E8,seed5!E8,seed7!E8,seed8!E8,seed9!E8,seed10!E8),4)</f>
        <v>14.6875</v>
      </c>
      <c r="G8" s="1">
        <v>0.4</v>
      </c>
      <c r="L8">
        <v>0.4</v>
      </c>
      <c r="M8">
        <v>14.6875</v>
      </c>
      <c r="N8">
        <v>14.664300000000001</v>
      </c>
    </row>
    <row r="9" spans="2:14">
      <c r="B9" s="1">
        <v>0.5</v>
      </c>
      <c r="C9">
        <f>ROUND(AVERAGE(seed1!C9,seed2!C9,seed3!C9,seed4!C9,seed5!C9,seed7!C9,seed8!C9,seed9!C9,seed10!C9),4)</f>
        <v>14.608499999999999</v>
      </c>
      <c r="D9">
        <f>ROUND(AVERAGE(seed1!D9,seed2!D9,seed3!D9,seed4!D9,seed5!D9,seed7!D9,seed8!D9,seed9!D9,seed10!D9),4)</f>
        <v>15.4466</v>
      </c>
      <c r="E9">
        <f>ROUND(AVERAGE(seed1!E9,seed2!E9,seed3!E9,seed4!E9,seed5!E9,seed7!E9,seed8!E9,seed9!E9,seed10!E9),4)</f>
        <v>15.0115</v>
      </c>
      <c r="G9" s="1">
        <v>0.5</v>
      </c>
      <c r="L9">
        <v>0.5</v>
      </c>
      <c r="M9">
        <v>15.0115</v>
      </c>
      <c r="N9">
        <v>14.9031</v>
      </c>
    </row>
    <row r="10" spans="2:14">
      <c r="B10" s="1">
        <v>0.6</v>
      </c>
      <c r="C10">
        <f>ROUND(AVERAGE(seed1!C10,seed2!C10,seed3!C10,seed4!C10,seed5!C10,seed7!C10,seed8!C10,seed9!C10,seed10!C10),4)</f>
        <v>14.1616</v>
      </c>
      <c r="D10">
        <f>ROUND(AVERAGE(seed1!D10,seed2!D10,seed3!D10,seed4!D10,seed5!D10,seed7!D10,seed8!D10,seed9!D10,seed10!D10),4)</f>
        <v>15.6244</v>
      </c>
      <c r="E10">
        <f>ROUND(AVERAGE(seed1!E10,seed2!E10,seed3!E10,seed4!E10,seed5!E10,seed7!E10,seed8!E10,seed9!E10,seed10!E10),4)</f>
        <v>14.864699999999999</v>
      </c>
      <c r="G10" s="1">
        <v>0.6</v>
      </c>
      <c r="L10">
        <v>0.6</v>
      </c>
      <c r="M10">
        <v>14.864699999999999</v>
      </c>
      <c r="N10">
        <v>14.9489</v>
      </c>
    </row>
    <row r="11" spans="2:14">
      <c r="B11" s="1">
        <v>0.7</v>
      </c>
      <c r="C11">
        <f>ROUND(AVERAGE(seed1!C11,seed2!C11,seed3!C11,seed4!C11,seed5!C11,seed7!C11,seed8!C11,seed9!C11,seed10!C11),4)</f>
        <v>13.423500000000001</v>
      </c>
      <c r="D11">
        <f>ROUND(AVERAGE(seed1!D11,seed2!D11,seed3!D11,seed4!D11,seed5!D11,seed7!D11,seed8!D11,seed9!D11,seed10!D11),4)</f>
        <v>16.354900000000001</v>
      </c>
      <c r="E11">
        <f>ROUND(AVERAGE(seed1!E11,seed2!E11,seed3!E11,seed4!E11,seed5!E11,seed7!E11,seed8!E11,seed9!E11,seed10!E11),4)</f>
        <v>14.754799999999999</v>
      </c>
      <c r="G11" s="1">
        <v>0.7</v>
      </c>
      <c r="L11">
        <v>0.7</v>
      </c>
      <c r="M11">
        <v>14.754799999999999</v>
      </c>
      <c r="N11">
        <v>14.7089</v>
      </c>
    </row>
    <row r="12" spans="2:14">
      <c r="B12" s="1">
        <v>0.8</v>
      </c>
      <c r="C12">
        <f>ROUND(AVERAGE(seed1!C12,seed2!C12,seed3!C12,seed4!C12,seed5!C12,seed7!C12,seed8!C12,seed9!C12,seed10!C12),4)</f>
        <v>12.186999999999999</v>
      </c>
      <c r="D12">
        <f>ROUND(AVERAGE(seed1!D12,seed2!D12,seed3!D12,seed4!D12,seed5!D12,seed7!D12,seed8!D12,seed9!D12,seed10!D12),4)</f>
        <v>16.6311</v>
      </c>
      <c r="E12">
        <f>ROUND(AVERAGE(seed1!E12,seed2!E12,seed3!E12,seed4!E12,seed5!E12,seed7!E12,seed8!E12,seed9!E12,seed10!E12),4)</f>
        <v>14.124499999999999</v>
      </c>
      <c r="G12" s="1">
        <v>0.8</v>
      </c>
      <c r="L12">
        <v>0.8</v>
      </c>
      <c r="M12">
        <v>14.124499999999999</v>
      </c>
      <c r="N12">
        <v>14.245200000000001</v>
      </c>
    </row>
    <row r="13" spans="2:14">
      <c r="B13" s="1">
        <v>0.9</v>
      </c>
      <c r="C13">
        <f>ROUND(AVERAGE(seed1!C13,seed2!C13,seed3!C13,seed4!C13,seed5!C13,seed7!C13,seed8!C13,seed9!C13,seed10!C13),4)</f>
        <v>11.9504</v>
      </c>
      <c r="D13">
        <f>ROUND(AVERAGE(seed1!D13,seed2!D13,seed3!D13,seed4!D13,seed5!D13,seed7!D13,seed8!D13,seed9!D13,seed10!D13),4)</f>
        <v>16.6694</v>
      </c>
      <c r="E13">
        <f>ROUND(AVERAGE(seed1!E13,seed2!E13,seed3!E13,seed4!E13,seed5!E13,seed7!E13,seed8!E13,seed9!E13,seed10!E13),4)</f>
        <v>14.0076</v>
      </c>
      <c r="G13" s="1">
        <v>0.9</v>
      </c>
      <c r="L13">
        <v>0.9</v>
      </c>
      <c r="M13">
        <v>14.0076</v>
      </c>
      <c r="N13">
        <v>13.9316</v>
      </c>
    </row>
    <row r="14" spans="2:14">
      <c r="B14" s="1">
        <v>1</v>
      </c>
      <c r="C14">
        <f>ROUND(AVERAGE(seed1!C14,seed2!C14,seed3!C14,seed4!C14,seed5!C14,seed7!C14,seed8!C14,seed9!C14,seed10!C14),4)</f>
        <v>11.8317</v>
      </c>
      <c r="D14">
        <f>ROUND(AVERAGE(seed1!D14,seed2!D14,seed3!D14,seed4!D14,seed5!D14,seed7!D14,seed8!D14,seed9!D14,seed10!D14),4)</f>
        <v>16.670000000000002</v>
      </c>
      <c r="E14">
        <f>ROUND(AVERAGE(seed1!E14,seed2!E14,seed3!E14,seed4!E14,seed5!E14,seed7!E14,seed8!E14,seed9!E14,seed10!E14),4)</f>
        <v>13.934699999999999</v>
      </c>
      <c r="G14" s="1">
        <v>1</v>
      </c>
      <c r="L14">
        <v>1</v>
      </c>
      <c r="M14">
        <v>13.934699999999999</v>
      </c>
      <c r="N14">
        <v>13.934699999999999</v>
      </c>
    </row>
    <row r="18" spans="2:10">
      <c r="B18" s="1"/>
      <c r="C18" s="1" t="s">
        <v>21</v>
      </c>
      <c r="D18" s="1"/>
      <c r="E18" s="1" t="s">
        <v>6</v>
      </c>
      <c r="G18" s="1"/>
      <c r="H18" s="1" t="s">
        <v>21</v>
      </c>
      <c r="I18" s="1"/>
      <c r="J18" s="1" t="s">
        <v>7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f>ROUND(AVERAGE(seed1!C20,seed2!C20,seed3!C20,seed4!C20,seed5!C20,seed7!C20,seed8!C20,seed9!C20,seed10!C20),4)</f>
        <v>13.7094</v>
      </c>
      <c r="D20">
        <f>ROUND(AVERAGE(seed1!D20,seed2!D20,seed3!D20,seed4!D20,seed5!D20,seed7!D20,seed8!D20,seed9!D20,seed10!D20),4)</f>
        <v>13.6784</v>
      </c>
      <c r="E20">
        <f>ROUND(AVERAGE(seed1!E20,seed2!E20,seed3!E20,seed4!E20,seed5!E20,seed7!E20,seed8!E20,seed9!E20,seed10!E20),4)</f>
        <v>13.7104</v>
      </c>
      <c r="G20" s="1">
        <v>0</v>
      </c>
      <c r="H20">
        <f>ROUND(AVERAGE(seed1!H20,seed2!H20,seed3!H20,seed4!H20,seed5!H20,seed7!H20,seed8!H20,seed9!H20,seed10!H20),4)</f>
        <v>14.4399</v>
      </c>
      <c r="I20">
        <f>ROUND(AVERAGE(seed1!I20,seed2!I20,seed3!I20,seed4!I20,seed5!I20,seed7!I20,seed8!I20,seed9!I20,seed10!I20),4)</f>
        <v>13.984500000000001</v>
      </c>
      <c r="J20">
        <f>ROUND(AVERAGE(seed1!J20,seed2!J20,seed3!J20,seed4!J20,seed5!J20,seed7!J20,seed8!J20,seed9!J20,seed10!J20),4)</f>
        <v>14.1472</v>
      </c>
    </row>
    <row r="21" spans="2:10">
      <c r="B21" s="1">
        <v>0.1</v>
      </c>
      <c r="C21">
        <f>ROUND(AVERAGE(seed1!C21,seed2!C21,seed3!C21,seed4!C21,seed5!C21,seed7!C21,seed8!C21,seed9!C21,seed10!C21),4)</f>
        <v>13.7094</v>
      </c>
      <c r="D21">
        <f>ROUND(AVERAGE(seed1!D21,seed2!D21,seed3!D21,seed4!D21,seed5!D21,seed7!D21,seed8!D21,seed9!D21,seed10!D21),4)</f>
        <v>13.6784</v>
      </c>
      <c r="E21">
        <f>ROUND(AVERAGE(seed1!E21,seed2!E21,seed3!E21,seed4!E21,seed5!E21,seed7!E21,seed8!E21,seed9!E21,seed10!E21),4)</f>
        <v>13.7104</v>
      </c>
      <c r="G21" s="1">
        <v>0.1</v>
      </c>
      <c r="H21">
        <f>ROUND(AVERAGE(seed1!H21,seed2!H21,seed3!H21,seed4!H21,seed5!H21,seed7!H21,seed8!H21,seed9!H21,seed10!H21),4)</f>
        <v>14.4514</v>
      </c>
      <c r="I21">
        <f>ROUND(AVERAGE(seed1!I21,seed2!I21,seed3!I21,seed4!I21,seed5!I21,seed7!I21,seed8!I21,seed9!I21,seed10!I21),4)</f>
        <v>13.9938</v>
      </c>
      <c r="J21">
        <f>ROUND(AVERAGE(seed1!J21,seed2!J21,seed3!J21,seed4!J21,seed5!J21,seed7!J21,seed8!J21,seed9!J21,seed10!J21),4)</f>
        <v>14.1571</v>
      </c>
    </row>
    <row r="22" spans="2:10">
      <c r="B22" s="1">
        <v>0.2</v>
      </c>
      <c r="C22">
        <f>ROUND(AVERAGE(seed1!C22,seed2!C22,seed3!C22,seed4!C22,seed5!C22,seed7!C22,seed8!C22,seed9!C22,seed10!C22),4)</f>
        <v>13.7408</v>
      </c>
      <c r="D22">
        <f>ROUND(AVERAGE(seed1!D22,seed2!D22,seed3!D22,seed4!D22,seed5!D22,seed7!D22,seed8!D22,seed9!D22,seed10!D22),4)</f>
        <v>14.1014</v>
      </c>
      <c r="E22">
        <f>ROUND(AVERAGE(seed1!E22,seed2!E22,seed3!E22,seed4!E22,seed5!E22,seed7!E22,seed8!E22,seed9!E22,seed10!E22),4)</f>
        <v>13.867699999999999</v>
      </c>
      <c r="G22" s="1">
        <v>0.2</v>
      </c>
      <c r="H22">
        <f>ROUND(AVERAGE(seed1!H22,seed2!H22,seed3!H22,seed4!H22,seed5!H22,seed7!H22,seed8!H22,seed9!H22,seed10!H22),4)</f>
        <v>14.260199999999999</v>
      </c>
      <c r="I22">
        <f>ROUND(AVERAGE(seed1!I22,seed2!I22,seed3!I22,seed4!I22,seed5!I22,seed7!I22,seed8!I22,seed9!I22,seed10!I22),4)</f>
        <v>14.379</v>
      </c>
      <c r="J22">
        <f>ROUND(AVERAGE(seed1!J22,seed2!J22,seed3!J22,seed4!J22,seed5!J22,seed7!J22,seed8!J22,seed9!J22,seed10!J22),4)</f>
        <v>14.3247</v>
      </c>
    </row>
    <row r="23" spans="2:10">
      <c r="B23" s="1">
        <v>0.3</v>
      </c>
      <c r="C23">
        <f>ROUND(AVERAGE(seed1!C23,seed2!C23,seed3!C23,seed4!C23,seed5!C23,seed7!C23,seed8!C23,seed9!C23,seed10!C23),4)</f>
        <v>13.601699999999999</v>
      </c>
      <c r="D23">
        <f>ROUND(AVERAGE(seed1!D23,seed2!D23,seed3!D23,seed4!D23,seed5!D23,seed7!D23,seed8!D23,seed9!D23,seed10!D23),4)</f>
        <v>14.1144</v>
      </c>
      <c r="E23">
        <f>ROUND(AVERAGE(seed1!E23,seed2!E23,seed3!E23,seed4!E23,seed5!E23,seed7!E23,seed8!E23,seed9!E23,seed10!E23),4)</f>
        <v>13.7865</v>
      </c>
      <c r="G23" s="1">
        <v>0.3</v>
      </c>
      <c r="H23">
        <f>ROUND(AVERAGE(seed1!H23,seed2!H23,seed3!H23,seed4!H23,seed5!H23,seed7!H23,seed8!H23,seed9!H23,seed10!H23),4)</f>
        <v>13.773300000000001</v>
      </c>
      <c r="I23">
        <f>ROUND(AVERAGE(seed1!I23,seed2!I23,seed3!I23,seed4!I23,seed5!I23,seed7!I23,seed8!I23,seed9!I23,seed10!I23),4)</f>
        <v>14.6309</v>
      </c>
      <c r="J23">
        <f>ROUND(AVERAGE(seed1!J23,seed2!J23,seed3!J23,seed4!J23,seed5!J23,seed7!J23,seed8!J23,seed9!J23,seed10!J23),4)</f>
        <v>14.2912</v>
      </c>
    </row>
    <row r="24" spans="2:10">
      <c r="B24" s="1">
        <v>0.4</v>
      </c>
      <c r="C24">
        <f>ROUND(AVERAGE(seed1!C24,seed2!C24,seed3!C24,seed4!C24,seed5!C24,seed7!C24,seed8!C24,seed9!C24,seed10!C24),4)</f>
        <v>13.783300000000001</v>
      </c>
      <c r="D24">
        <f>ROUND(AVERAGE(seed1!D24,seed2!D24,seed3!D24,seed4!D24,seed5!D24,seed7!D24,seed8!D24,seed9!D24,seed10!D24),4)</f>
        <v>14.5627</v>
      </c>
      <c r="E24">
        <f>ROUND(AVERAGE(seed1!E24,seed2!E24,seed3!E24,seed4!E24,seed5!E24,seed7!E24,seed8!E24,seed9!E24,seed10!E24),4)</f>
        <v>14.066800000000001</v>
      </c>
      <c r="G24" s="1">
        <v>0.4</v>
      </c>
      <c r="H24">
        <f>ROUND(AVERAGE(seed1!H24,seed2!H24,seed3!H24,seed4!H24,seed5!H24,seed7!H24,seed8!H24,seed9!H24,seed10!H24),4)</f>
        <v>13.7988</v>
      </c>
      <c r="I24">
        <f>ROUND(AVERAGE(seed1!I24,seed2!I24,seed3!I24,seed4!I24,seed5!I24,seed7!I24,seed8!I24,seed9!I24,seed10!I24),4)</f>
        <v>15.1714</v>
      </c>
      <c r="J24">
        <f>ROUND(AVERAGE(seed1!J24,seed2!J24,seed3!J24,seed4!J24,seed5!J24,seed7!J24,seed8!J24,seed9!J24,seed10!J24),4)</f>
        <v>14.616</v>
      </c>
    </row>
    <row r="25" spans="2:10">
      <c r="B25" s="1">
        <v>0.5</v>
      </c>
      <c r="C25">
        <f>ROUND(AVERAGE(seed1!C25,seed2!C25,seed3!C25,seed4!C25,seed5!C25,seed7!C25,seed8!C25,seed9!C25,seed10!C25),4)</f>
        <v>13.8348</v>
      </c>
      <c r="D25">
        <f>ROUND(AVERAGE(seed1!D25,seed2!D25,seed3!D25,seed4!D25,seed5!D25,seed7!D25,seed8!D25,seed9!D25,seed10!D25),4)</f>
        <v>15.1623</v>
      </c>
      <c r="E25">
        <f>ROUND(AVERAGE(seed1!E25,seed2!E25,seed3!E25,seed4!E25,seed5!E25,seed7!E25,seed8!E25,seed9!E25,seed10!E25),4)</f>
        <v>14.311999999999999</v>
      </c>
      <c r="G25" s="1">
        <v>0.5</v>
      </c>
      <c r="H25">
        <f>ROUND(AVERAGE(seed1!H25,seed2!H25,seed3!H25,seed4!H25,seed5!H25,seed7!H25,seed8!H25,seed9!H25,seed10!H25),4)</f>
        <v>13.3813</v>
      </c>
      <c r="I25">
        <f>ROUND(AVERAGE(seed1!I25,seed2!I25,seed3!I25,seed4!I25,seed5!I25,seed7!I25,seed8!I25,seed9!I25,seed10!I25),4)</f>
        <v>15.6326</v>
      </c>
      <c r="J25">
        <f>ROUND(AVERAGE(seed1!J25,seed2!J25,seed3!J25,seed4!J25,seed5!J25,seed7!J25,seed8!J25,seed9!J25,seed10!J25),4)</f>
        <v>14.7035</v>
      </c>
    </row>
    <row r="26" spans="2:10">
      <c r="B26" s="1">
        <v>0.6</v>
      </c>
      <c r="C26">
        <f>ROUND(AVERAGE(seed1!C26,seed2!C26,seed3!C26,seed4!C26,seed5!C26,seed7!C26,seed8!C26,seed9!C26,seed10!C26),4)</f>
        <v>13.96</v>
      </c>
      <c r="D26">
        <f>ROUND(AVERAGE(seed1!D26,seed2!D26,seed3!D26,seed4!D26,seed5!D26,seed7!D26,seed8!D26,seed9!D26,seed10!D26),4)</f>
        <v>15.3971</v>
      </c>
      <c r="E26">
        <f>ROUND(AVERAGE(seed1!E26,seed2!E26,seed3!E26,seed4!E26,seed5!E26,seed7!E26,seed8!E26,seed9!E26,seed10!E26),4)</f>
        <v>14.4815</v>
      </c>
      <c r="G26" s="1">
        <v>0.6</v>
      </c>
      <c r="H26">
        <f>ROUND(AVERAGE(seed1!H26,seed2!H26,seed3!H26,seed4!H26,seed5!H26,seed7!H26,seed8!H26,seed9!H26,seed10!H26),4)</f>
        <v>13.0518</v>
      </c>
      <c r="I26">
        <f>ROUND(AVERAGE(seed1!I26,seed2!I26,seed3!I26,seed4!I26,seed5!I26,seed7!I26,seed8!I26,seed9!I26,seed10!I26),4)</f>
        <v>16.1386</v>
      </c>
      <c r="J26">
        <f>ROUND(AVERAGE(seed1!J26,seed2!J26,seed3!J26,seed4!J26,seed5!J26,seed7!J26,seed8!J26,seed9!J26,seed10!J26),4)</f>
        <v>14.835699999999999</v>
      </c>
    </row>
    <row r="27" spans="2:10">
      <c r="B27" s="1">
        <v>0.7</v>
      </c>
      <c r="C27">
        <f>ROUND(AVERAGE(seed1!C27,seed2!C27,seed3!C27,seed4!C27,seed5!C27,seed7!C27,seed8!C27,seed9!C27,seed10!C27),4)</f>
        <v>13.5139</v>
      </c>
      <c r="D27">
        <f>ROUND(AVERAGE(seed1!D27,seed2!D27,seed3!D27,seed4!D27,seed5!D27,seed7!D27,seed8!D27,seed9!D27,seed10!D27),4)</f>
        <v>15.547599999999999</v>
      </c>
      <c r="E27">
        <f>ROUND(AVERAGE(seed1!E27,seed2!E27,seed3!E27,seed4!E27,seed5!E27,seed7!E27,seed8!E27,seed9!E27,seed10!E27),4)</f>
        <v>14.226599999999999</v>
      </c>
      <c r="G27" s="1">
        <v>0.7</v>
      </c>
      <c r="H27">
        <f>ROUND(AVERAGE(seed1!H27,seed2!H27,seed3!H27,seed4!H27,seed5!H27,seed7!H27,seed8!H27,seed9!H27,seed10!H27),4)</f>
        <v>12.753299999999999</v>
      </c>
      <c r="I27">
        <f>ROUND(AVERAGE(seed1!I27,seed2!I27,seed3!I27,seed4!I27,seed5!I27,seed7!I27,seed8!I27,seed9!I27,seed10!I27),4)</f>
        <v>16.169599999999999</v>
      </c>
      <c r="J27">
        <f>ROUND(AVERAGE(seed1!J27,seed2!J27,seed3!J27,seed4!J27,seed5!J27,seed7!J27,seed8!J27,seed9!J27,seed10!J27),4)</f>
        <v>14.7143</v>
      </c>
    </row>
    <row r="28" spans="2:10">
      <c r="B28" s="1">
        <v>0.8</v>
      </c>
      <c r="C28">
        <f>ROUND(AVERAGE(seed1!C28,seed2!C28,seed3!C28,seed4!C28,seed5!C28,seed7!C28,seed8!C28,seed9!C28,seed10!C28),4)</f>
        <v>13.1785</v>
      </c>
      <c r="D28">
        <f>ROUND(AVERAGE(seed1!D28,seed2!D28,seed3!D28,seed4!D28,seed5!D28,seed7!D28,seed8!D28,seed9!D28,seed10!D28),4)</f>
        <v>16.437000000000001</v>
      </c>
      <c r="E28">
        <f>ROUND(AVERAGE(seed1!E28,seed2!E28,seed3!E28,seed4!E28,seed5!E28,seed7!E28,seed8!E28,seed9!E28,seed10!E28),4)</f>
        <v>14.289899999999999</v>
      </c>
      <c r="G28" s="2">
        <v>0.8</v>
      </c>
      <c r="H28">
        <f>ROUND(AVERAGE(seed1!H28,seed2!H28,seed3!H28,seed4!H28,seed5!H28,seed7!H28,seed8!H28,seed9!H28,seed10!H28),4)</f>
        <v>10.9964</v>
      </c>
      <c r="I28">
        <f>ROUND(AVERAGE(seed1!I28,seed2!I28,seed3!I28,seed4!I28,seed5!I28,seed7!I28,seed8!I28,seed9!I28,seed10!I28),4)</f>
        <v>16.654199999999999</v>
      </c>
      <c r="J28">
        <f>ROUND(AVERAGE(seed1!J28,seed2!J28,seed3!J28,seed4!J28,seed5!J28,seed7!J28,seed8!J28,seed9!J28,seed10!J28),4)</f>
        <v>14.122199999999999</v>
      </c>
    </row>
    <row r="29" spans="2:10">
      <c r="B29" s="1">
        <v>0.9</v>
      </c>
      <c r="C29">
        <f>ROUND(AVERAGE(seed1!C29,seed2!C29,seed3!C29,seed4!C29,seed5!C29,seed7!C29,seed8!C29,seed9!C29,seed10!C29),4)</f>
        <v>13.0221</v>
      </c>
      <c r="D29">
        <f>ROUND(AVERAGE(seed1!D29,seed2!D29,seed3!D29,seed4!D29,seed5!D29,seed7!D29,seed8!D29,seed9!D29,seed10!D29),4)</f>
        <v>16.632200000000001</v>
      </c>
      <c r="E29">
        <f>ROUND(AVERAGE(seed1!E29,seed2!E29,seed3!E29,seed4!E29,seed5!E29,seed7!E29,seed8!E29,seed9!E29,seed10!E29),4)</f>
        <v>14.2438</v>
      </c>
      <c r="G29" s="2">
        <v>0.9</v>
      </c>
      <c r="H29">
        <f>ROUND(AVERAGE(seed1!H29,seed2!H29,seed3!H29,seed4!H29,seed5!H29,seed7!H29,seed8!H29,seed9!H29,seed10!H29),4)</f>
        <v>10.9886</v>
      </c>
      <c r="I29">
        <f>ROUND(AVERAGE(seed1!I29,seed2!I29,seed3!I29,seed4!I29,seed5!I29,seed7!I29,seed8!I29,seed9!I29,seed10!I29),4)</f>
        <v>16.6617</v>
      </c>
      <c r="J29">
        <f>ROUND(AVERAGE(seed1!J29,seed2!J29,seed3!J29,seed4!J29,seed5!J29,seed7!J29,seed8!J29,seed9!J29,seed10!J29),4)</f>
        <v>14.1233</v>
      </c>
    </row>
    <row r="30" spans="2:10">
      <c r="B30" s="1">
        <v>1</v>
      </c>
      <c r="C30">
        <f>ROUND(AVERAGE(seed1!C30,seed2!C30,seed3!C30,seed4!C30,seed5!C30,seed7!C30,seed8!C30,seed9!C30,seed10!C30),4)</f>
        <v>12.908799999999999</v>
      </c>
      <c r="D30">
        <f>ROUND(AVERAGE(seed1!D30,seed2!D30,seed3!D30,seed4!D30,seed5!D30,seed7!D30,seed8!D30,seed9!D30,seed10!D30),4)</f>
        <v>16.6571</v>
      </c>
      <c r="E30">
        <f>ROUND(AVERAGE(seed1!E30,seed2!E30,seed3!E30,seed4!E30,seed5!E30,seed7!E30,seed8!E30,seed9!E30,seed10!E30),4)</f>
        <v>14.174300000000001</v>
      </c>
      <c r="G30" s="1">
        <v>1</v>
      </c>
      <c r="H30">
        <f>ROUND(AVERAGE(seed1!H30,seed2!H30,seed3!H30,seed4!H30,seed5!H30,seed7!H30,seed8!H30,seed9!H30,seed10!H30),4)</f>
        <v>10.9886</v>
      </c>
      <c r="I30">
        <f>ROUND(AVERAGE(seed1!I30,seed2!I30,seed3!I30,seed4!I30,seed5!I30,seed7!I30,seed8!I30,seed9!I30,seed10!I30),4)</f>
        <v>16.6617</v>
      </c>
      <c r="J30">
        <f>ROUND(AVERAGE(seed1!J30,seed2!J30,seed3!J30,seed4!J30,seed5!J30,seed7!J30,seed8!J30,seed9!J30,seed10!J30),4)</f>
        <v>14.1233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FDB3-747C-3A48-AE92-7B2E2C075836}">
  <dimension ref="B2:E16"/>
  <sheetViews>
    <sheetView workbookViewId="0">
      <selection activeCell="C4" sqref="C4:E14"/>
    </sheetView>
  </sheetViews>
  <sheetFormatPr baseColWidth="10" defaultRowHeight="20"/>
  <sheetData>
    <row r="2" spans="2:5">
      <c r="B2" s="1"/>
      <c r="C2" s="1" t="s">
        <v>21</v>
      </c>
      <c r="D2" s="1"/>
      <c r="E2" s="1" t="s">
        <v>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>
        <v>14.9702</v>
      </c>
      <c r="D4">
        <v>14.926</v>
      </c>
      <c r="E4">
        <v>14.9482</v>
      </c>
    </row>
    <row r="5" spans="2:5">
      <c r="B5" s="1">
        <v>0.1</v>
      </c>
      <c r="C5">
        <v>14.9702</v>
      </c>
      <c r="D5">
        <v>14.926</v>
      </c>
      <c r="E5">
        <v>14.9482</v>
      </c>
    </row>
    <row r="6" spans="2:5">
      <c r="B6" s="1">
        <v>0.2</v>
      </c>
      <c r="C6">
        <v>14.9666</v>
      </c>
      <c r="D6">
        <v>14.9824</v>
      </c>
      <c r="E6">
        <v>14.974500000000001</v>
      </c>
    </row>
    <row r="7" spans="2:5">
      <c r="B7" s="1">
        <v>0.3</v>
      </c>
      <c r="C7">
        <v>14.953099999999999</v>
      </c>
      <c r="D7">
        <v>15.0205</v>
      </c>
      <c r="E7">
        <v>14.986800000000001</v>
      </c>
    </row>
    <row r="8" spans="2:5">
      <c r="B8" s="1">
        <v>0.4</v>
      </c>
      <c r="C8">
        <v>14.9336</v>
      </c>
      <c r="D8">
        <v>15.033300000000001</v>
      </c>
      <c r="E8">
        <v>14.9834</v>
      </c>
    </row>
    <row r="9" spans="2:5">
      <c r="B9" s="1">
        <v>0.5</v>
      </c>
      <c r="C9">
        <v>14.7881</v>
      </c>
      <c r="D9">
        <v>15.773899999999999</v>
      </c>
      <c r="E9">
        <v>15.280200000000001</v>
      </c>
    </row>
    <row r="10" spans="2:5">
      <c r="B10" s="1">
        <v>0.6</v>
      </c>
      <c r="C10">
        <v>15.136100000000001</v>
      </c>
      <c r="D10">
        <v>15.7582</v>
      </c>
      <c r="E10">
        <v>15.4468</v>
      </c>
    </row>
    <row r="11" spans="2:5">
      <c r="B11" s="1">
        <v>0.7</v>
      </c>
      <c r="C11">
        <v>11.3261</v>
      </c>
      <c r="D11">
        <v>16.577400000000001</v>
      </c>
      <c r="E11">
        <v>13.719099999999999</v>
      </c>
    </row>
    <row r="12" spans="2:5">
      <c r="B12" s="1">
        <v>0.8</v>
      </c>
      <c r="C12">
        <v>11.391299999999999</v>
      </c>
      <c r="D12">
        <v>16.592600000000001</v>
      </c>
      <c r="E12">
        <v>13.7615</v>
      </c>
    </row>
    <row r="13" spans="2:5">
      <c r="B13" s="1">
        <v>0.9</v>
      </c>
      <c r="C13">
        <v>11.270300000000001</v>
      </c>
      <c r="D13">
        <v>16.670000000000002</v>
      </c>
      <c r="E13">
        <v>13.7309</v>
      </c>
    </row>
    <row r="14" spans="2:5">
      <c r="B14" s="1">
        <v>1</v>
      </c>
      <c r="C14">
        <v>11.270300000000001</v>
      </c>
      <c r="D14">
        <v>16.670000000000002</v>
      </c>
      <c r="E14">
        <v>13.7309</v>
      </c>
    </row>
    <row r="16" spans="2:5">
      <c r="D16" t="s">
        <v>9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97B4-CEE3-3A4C-9CC0-C5B9C29A7730}">
  <dimension ref="B2:G16"/>
  <sheetViews>
    <sheetView workbookViewId="0">
      <selection activeCell="C4" sqref="C4:E14"/>
    </sheetView>
  </sheetViews>
  <sheetFormatPr baseColWidth="10" defaultRowHeight="20"/>
  <sheetData>
    <row r="2" spans="2:7">
      <c r="B2" s="1"/>
      <c r="C2" s="1" t="s">
        <v>21</v>
      </c>
      <c r="D2" s="1"/>
      <c r="E2" s="1" t="s">
        <v>4</v>
      </c>
    </row>
    <row r="3" spans="2:7">
      <c r="B3" s="1" t="s">
        <v>0</v>
      </c>
      <c r="C3" s="1" t="s">
        <v>1</v>
      </c>
      <c r="D3" s="1" t="s">
        <v>2</v>
      </c>
      <c r="E3" s="1" t="s">
        <v>3</v>
      </c>
    </row>
    <row r="4" spans="2:7">
      <c r="B4" s="1">
        <v>0</v>
      </c>
      <c r="C4">
        <v>12.988300000000001</v>
      </c>
      <c r="D4">
        <v>12.8924</v>
      </c>
      <c r="E4">
        <v>12.9457</v>
      </c>
    </row>
    <row r="5" spans="2:7">
      <c r="B5" s="1">
        <v>0.1</v>
      </c>
      <c r="C5">
        <v>12.988300000000001</v>
      </c>
      <c r="D5">
        <v>12.8924</v>
      </c>
      <c r="E5">
        <v>12.9457</v>
      </c>
    </row>
    <row r="6" spans="2:7">
      <c r="B6" s="1">
        <v>0.2</v>
      </c>
      <c r="C6">
        <v>12.996499999999999</v>
      </c>
      <c r="D6">
        <v>13.0063</v>
      </c>
      <c r="E6">
        <v>13.0009</v>
      </c>
      <c r="G6" t="s">
        <v>25</v>
      </c>
    </row>
    <row r="7" spans="2:7">
      <c r="B7" s="1">
        <v>0.3</v>
      </c>
      <c r="C7">
        <v>13.472200000000001</v>
      </c>
      <c r="D7">
        <v>13.464700000000001</v>
      </c>
      <c r="E7">
        <v>13.4689</v>
      </c>
    </row>
    <row r="8" spans="2:7">
      <c r="B8" s="1">
        <v>0.4</v>
      </c>
      <c r="C8">
        <v>11.9146</v>
      </c>
      <c r="D8">
        <v>14.2103</v>
      </c>
      <c r="E8" s="5">
        <v>12.9217</v>
      </c>
    </row>
    <row r="9" spans="2:7">
      <c r="B9" s="1">
        <v>0.5</v>
      </c>
      <c r="C9">
        <v>13.370100000000001</v>
      </c>
      <c r="D9">
        <v>15.724299999999999</v>
      </c>
      <c r="E9">
        <v>14.3962</v>
      </c>
    </row>
    <row r="10" spans="2:7">
      <c r="B10" s="1">
        <v>0.6</v>
      </c>
      <c r="C10">
        <v>12.882400000000001</v>
      </c>
      <c r="D10">
        <v>15.4109</v>
      </c>
      <c r="E10">
        <v>13.9894</v>
      </c>
    </row>
    <row r="11" spans="2:7">
      <c r="B11" s="1">
        <v>0.7</v>
      </c>
      <c r="C11">
        <v>13.0472</v>
      </c>
      <c r="D11">
        <v>15.9915</v>
      </c>
      <c r="E11">
        <v>14.3203</v>
      </c>
    </row>
    <row r="12" spans="2:7">
      <c r="B12" s="1">
        <v>0.8</v>
      </c>
      <c r="C12">
        <v>11.6837</v>
      </c>
      <c r="D12">
        <v>15.8081</v>
      </c>
      <c r="E12">
        <v>13.4383</v>
      </c>
    </row>
    <row r="13" spans="2:7">
      <c r="B13" s="1">
        <v>0.9</v>
      </c>
      <c r="C13">
        <v>12.0619</v>
      </c>
      <c r="D13">
        <v>16.670000000000002</v>
      </c>
      <c r="E13">
        <v>13.961600000000001</v>
      </c>
    </row>
    <row r="14" spans="2:7">
      <c r="B14" s="1">
        <v>1</v>
      </c>
      <c r="C14">
        <v>12.0619</v>
      </c>
      <c r="D14">
        <v>16.670000000000002</v>
      </c>
      <c r="E14">
        <v>13.961600000000001</v>
      </c>
    </row>
    <row r="16" spans="2:7">
      <c r="D16" t="s">
        <v>9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B31A-2634-6B47-9EA0-FDDCE1A72CD6}">
  <dimension ref="B2:E16"/>
  <sheetViews>
    <sheetView workbookViewId="0">
      <selection activeCell="C4" sqref="C4:E14"/>
    </sheetView>
  </sheetViews>
  <sheetFormatPr baseColWidth="10" defaultRowHeight="20"/>
  <sheetData>
    <row r="2" spans="2:5">
      <c r="B2" s="1"/>
      <c r="C2" s="1" t="s">
        <v>20</v>
      </c>
      <c r="D2" s="1"/>
      <c r="E2" s="1" t="s">
        <v>14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12.141999999999999</v>
      </c>
      <c r="D4" s="1">
        <v>12.4002</v>
      </c>
      <c r="E4" s="1">
        <v>12.2698</v>
      </c>
    </row>
    <row r="5" spans="2:5">
      <c r="B5" s="1">
        <v>0.1</v>
      </c>
      <c r="C5" s="1">
        <v>12.141999999999999</v>
      </c>
      <c r="D5" s="1">
        <v>12.4002</v>
      </c>
      <c r="E5" s="1">
        <v>12.2698</v>
      </c>
    </row>
    <row r="6" spans="2:5">
      <c r="B6" s="1">
        <v>0.2</v>
      </c>
      <c r="C6" s="1">
        <v>12.140599999999999</v>
      </c>
      <c r="D6" s="1">
        <v>12.4055</v>
      </c>
      <c r="E6" s="1">
        <v>12.271699999999999</v>
      </c>
    </row>
    <row r="7" spans="2:5">
      <c r="B7" s="1">
        <v>0.3</v>
      </c>
      <c r="C7" s="1">
        <v>12.140599999999999</v>
      </c>
      <c r="D7" s="1">
        <v>12.4055</v>
      </c>
      <c r="E7" s="1">
        <v>12.271699999999999</v>
      </c>
    </row>
    <row r="8" spans="2:5">
      <c r="B8" s="1">
        <v>0.4</v>
      </c>
      <c r="C8" s="1">
        <v>12.0684</v>
      </c>
      <c r="D8" s="1">
        <v>12.3956</v>
      </c>
      <c r="E8" s="1">
        <v>12.229699999999999</v>
      </c>
    </row>
    <row r="9" spans="2:5">
      <c r="B9" s="1">
        <v>0.5</v>
      </c>
      <c r="C9" s="1">
        <v>12.2864</v>
      </c>
      <c r="D9" s="1">
        <v>13.5039</v>
      </c>
      <c r="E9" s="1">
        <v>12.8666</v>
      </c>
    </row>
    <row r="10" spans="2:5">
      <c r="B10" s="1">
        <v>0.6</v>
      </c>
      <c r="C10" s="1">
        <v>11.084199999999999</v>
      </c>
      <c r="D10" s="1">
        <v>15.4895</v>
      </c>
      <c r="E10" s="1">
        <v>12.965199999999999</v>
      </c>
    </row>
    <row r="11" spans="2:5">
      <c r="B11" s="1">
        <v>0.7</v>
      </c>
      <c r="C11" s="1">
        <v>10.851000000000001</v>
      </c>
      <c r="D11" s="1">
        <v>15.983599999999999</v>
      </c>
      <c r="E11" s="1">
        <v>13.0139</v>
      </c>
    </row>
    <row r="12" spans="2:5">
      <c r="B12" s="1">
        <v>0.8</v>
      </c>
      <c r="C12" s="1">
        <v>9.9883000000000006</v>
      </c>
      <c r="D12" s="1">
        <v>16.338200000000001</v>
      </c>
      <c r="E12" s="1">
        <v>12.513</v>
      </c>
    </row>
    <row r="13" spans="2:5">
      <c r="B13" s="1">
        <v>0.9</v>
      </c>
      <c r="C13" s="1">
        <v>9.6273</v>
      </c>
      <c r="D13" s="1">
        <v>16.670000000000002</v>
      </c>
      <c r="E13" s="1">
        <v>12.392200000000001</v>
      </c>
    </row>
    <row r="14" spans="2:5">
      <c r="B14" s="1">
        <v>1</v>
      </c>
      <c r="C14" s="1">
        <v>9.6273</v>
      </c>
      <c r="D14" s="1">
        <v>16.670000000000002</v>
      </c>
      <c r="E14" s="1">
        <v>12.392200000000001</v>
      </c>
    </row>
    <row r="16" spans="2:5">
      <c r="D16" t="s">
        <v>9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1211-2BD9-4C47-9CFF-EAD67235C637}">
  <dimension ref="B2:E16"/>
  <sheetViews>
    <sheetView workbookViewId="0">
      <selection activeCell="C4" sqref="C4:E14"/>
    </sheetView>
  </sheetViews>
  <sheetFormatPr baseColWidth="10" defaultRowHeight="20"/>
  <sheetData>
    <row r="2" spans="2:5">
      <c r="B2" s="1"/>
      <c r="C2" s="1" t="s">
        <v>20</v>
      </c>
      <c r="D2" s="1"/>
      <c r="E2" s="1" t="s">
        <v>14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11.817399999999999</v>
      </c>
      <c r="D4" s="1">
        <v>11.9574</v>
      </c>
      <c r="E4" s="1">
        <v>11.886799999999999</v>
      </c>
    </row>
    <row r="5" spans="2:5">
      <c r="B5" s="1">
        <v>0.1</v>
      </c>
      <c r="C5" s="1">
        <v>11.817399999999999</v>
      </c>
      <c r="D5" s="1">
        <v>11.9574</v>
      </c>
      <c r="E5" s="1">
        <v>11.886799999999999</v>
      </c>
    </row>
    <row r="6" spans="2:5">
      <c r="B6" s="1">
        <v>0.2</v>
      </c>
      <c r="C6" s="1">
        <v>11.8445</v>
      </c>
      <c r="D6" s="1">
        <v>12.0619</v>
      </c>
      <c r="E6" s="1">
        <v>11.9521</v>
      </c>
    </row>
    <row r="7" spans="2:5">
      <c r="B7" s="1">
        <v>0.3</v>
      </c>
      <c r="C7" s="1">
        <v>11.8428</v>
      </c>
      <c r="D7" s="1">
        <v>12.064</v>
      </c>
      <c r="E7" s="1">
        <v>11.952299999999999</v>
      </c>
    </row>
    <row r="8" spans="2:5">
      <c r="B8" s="1">
        <v>0.4</v>
      </c>
      <c r="C8" s="1">
        <v>11.524800000000001</v>
      </c>
      <c r="D8" s="1">
        <v>12.5174</v>
      </c>
      <c r="E8" s="1">
        <v>12.016299999999999</v>
      </c>
    </row>
    <row r="9" spans="2:5">
      <c r="B9" s="1">
        <v>0.5</v>
      </c>
      <c r="C9" s="1">
        <v>11.002800000000001</v>
      </c>
      <c r="D9" s="1">
        <v>15.6013</v>
      </c>
      <c r="E9" s="1">
        <v>13.0494</v>
      </c>
    </row>
    <row r="10" spans="2:5">
      <c r="B10" s="1">
        <v>0.6</v>
      </c>
      <c r="C10" s="1">
        <v>11.611599999999999</v>
      </c>
      <c r="D10" s="1">
        <v>14.863</v>
      </c>
      <c r="E10" s="1">
        <v>13.1471</v>
      </c>
    </row>
    <row r="11" spans="2:5">
      <c r="B11" s="1">
        <v>0.7</v>
      </c>
      <c r="C11" s="1">
        <v>11.014900000000001</v>
      </c>
      <c r="D11" s="1">
        <v>15.901899999999999</v>
      </c>
      <c r="E11" s="1">
        <v>13.1858</v>
      </c>
    </row>
    <row r="12" spans="2:5">
      <c r="B12" s="1">
        <v>0.8</v>
      </c>
      <c r="C12" s="1">
        <v>10.5352</v>
      </c>
      <c r="D12" s="1">
        <v>16.5975</v>
      </c>
      <c r="E12" s="1">
        <v>13.1686</v>
      </c>
    </row>
    <row r="13" spans="2:5">
      <c r="B13" s="1">
        <v>0.9</v>
      </c>
      <c r="C13" s="1">
        <v>10.2834</v>
      </c>
      <c r="D13" s="1">
        <v>16.670000000000002</v>
      </c>
      <c r="E13" s="1">
        <v>13.0124</v>
      </c>
    </row>
    <row r="14" spans="2:5">
      <c r="B14" s="1">
        <v>1</v>
      </c>
      <c r="C14" s="1">
        <v>10.2834</v>
      </c>
      <c r="D14" s="1">
        <v>16.670000000000002</v>
      </c>
      <c r="E14" s="1">
        <v>13.0124</v>
      </c>
    </row>
    <row r="16" spans="2:5">
      <c r="D16" t="s">
        <v>9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359A-DCEA-8A4D-A832-9C1DEA0FF45B}">
  <dimension ref="B2:E16"/>
  <sheetViews>
    <sheetView tabSelected="1" workbookViewId="0">
      <selection activeCell="C4" sqref="C4:E14"/>
    </sheetView>
  </sheetViews>
  <sheetFormatPr baseColWidth="10" defaultRowHeight="20"/>
  <sheetData>
    <row r="2" spans="2:5">
      <c r="B2" s="1"/>
      <c r="C2" s="1" t="s">
        <v>20</v>
      </c>
      <c r="D2" s="1"/>
      <c r="E2" s="1" t="s">
        <v>14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11.031499999999999</v>
      </c>
      <c r="D4" s="1">
        <v>13.6134</v>
      </c>
      <c r="E4" s="1">
        <v>12.287000000000001</v>
      </c>
    </row>
    <row r="5" spans="2:5">
      <c r="B5" s="1">
        <v>0.1</v>
      </c>
      <c r="C5" s="1">
        <v>11.031499999999999</v>
      </c>
      <c r="D5" s="1">
        <v>13.6134</v>
      </c>
      <c r="E5" s="1">
        <v>12.287000000000001</v>
      </c>
    </row>
    <row r="6" spans="2:5">
      <c r="B6" s="1">
        <v>0.2</v>
      </c>
      <c r="C6" s="1">
        <v>11.031499999999999</v>
      </c>
      <c r="D6" s="1">
        <v>13.6134</v>
      </c>
      <c r="E6" s="1">
        <v>12.287000000000001</v>
      </c>
    </row>
    <row r="7" spans="2:5">
      <c r="B7" s="1">
        <v>0.3</v>
      </c>
      <c r="C7" s="1">
        <v>11.031499999999999</v>
      </c>
      <c r="D7" s="1">
        <v>13.6134</v>
      </c>
      <c r="E7" s="1">
        <v>12.287000000000001</v>
      </c>
    </row>
    <row r="8" spans="2:5">
      <c r="B8" s="1">
        <v>0.4</v>
      </c>
      <c r="C8" s="1">
        <v>11.3247</v>
      </c>
      <c r="D8" s="1">
        <v>14.374000000000001</v>
      </c>
      <c r="E8" s="1">
        <v>12.7691</v>
      </c>
    </row>
    <row r="9" spans="2:5">
      <c r="B9" s="1">
        <v>0.5</v>
      </c>
      <c r="C9" s="1">
        <v>11.2187</v>
      </c>
      <c r="D9" s="1">
        <v>15.1541</v>
      </c>
      <c r="E9" s="1">
        <v>13.050599999999999</v>
      </c>
    </row>
    <row r="10" spans="2:5">
      <c r="B10" s="1">
        <v>0.6</v>
      </c>
      <c r="C10" s="1">
        <v>11.3018</v>
      </c>
      <c r="D10" s="1">
        <v>15.2821</v>
      </c>
      <c r="E10" s="1">
        <v>13.1546</v>
      </c>
    </row>
    <row r="11" spans="2:5">
      <c r="B11" s="1">
        <v>0.7</v>
      </c>
      <c r="C11" s="1">
        <v>12.164199999999999</v>
      </c>
      <c r="D11" s="1">
        <v>16.171800000000001</v>
      </c>
      <c r="E11" s="1">
        <v>14.0175</v>
      </c>
    </row>
    <row r="12" spans="2:5">
      <c r="B12" s="1">
        <v>0.8</v>
      </c>
      <c r="C12" s="1">
        <v>11.1374</v>
      </c>
      <c r="D12" s="1">
        <v>16.669699999999999</v>
      </c>
      <c r="E12" s="1">
        <v>13.608499999999999</v>
      </c>
    </row>
    <row r="13" spans="2:5">
      <c r="B13" s="1">
        <v>0.9</v>
      </c>
      <c r="C13" s="1">
        <v>10.442299999999999</v>
      </c>
      <c r="D13" s="1">
        <v>16.670000000000002</v>
      </c>
      <c r="E13" s="1">
        <v>13.2197</v>
      </c>
    </row>
    <row r="14" spans="2:5">
      <c r="B14" s="1">
        <v>1</v>
      </c>
      <c r="C14" s="1">
        <v>10.442299999999999</v>
      </c>
      <c r="D14" s="1">
        <v>16.670000000000002</v>
      </c>
      <c r="E14" s="1">
        <v>13.2197</v>
      </c>
    </row>
    <row r="16" spans="2:5">
      <c r="D16" t="s">
        <v>9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B321-6609-AF4C-8F06-B6070DE929FE}">
  <dimension ref="B2:AC26"/>
  <sheetViews>
    <sheetView workbookViewId="0">
      <selection activeCell="O15" sqref="O15"/>
    </sheetView>
  </sheetViews>
  <sheetFormatPr baseColWidth="10" defaultRowHeight="20"/>
  <cols>
    <col min="16" max="29" width="4.5703125" customWidth="1"/>
  </cols>
  <sheetData>
    <row r="2" spans="2:29">
      <c r="B2" s="1"/>
      <c r="C2" s="1" t="s">
        <v>20</v>
      </c>
      <c r="D2" s="1"/>
      <c r="E2" s="1" t="s">
        <v>14</v>
      </c>
      <c r="M2" s="6" t="s">
        <v>33</v>
      </c>
      <c r="N2" s="6"/>
    </row>
    <row r="3" spans="2:29">
      <c r="B3" s="1" t="s">
        <v>0</v>
      </c>
      <c r="C3" s="1" t="s">
        <v>1</v>
      </c>
      <c r="D3" s="1" t="s">
        <v>2</v>
      </c>
      <c r="E3" s="1" t="s">
        <v>3</v>
      </c>
      <c r="H3" s="1" t="s">
        <v>10</v>
      </c>
      <c r="I3" s="1" t="s">
        <v>30</v>
      </c>
      <c r="J3" s="1" t="s">
        <v>27</v>
      </c>
      <c r="L3" s="1" t="s">
        <v>10</v>
      </c>
      <c r="M3" s="1" t="s">
        <v>28</v>
      </c>
      <c r="N3" s="1" t="s">
        <v>29</v>
      </c>
      <c r="P3">
        <v>1</v>
      </c>
      <c r="Q3">
        <v>2</v>
      </c>
      <c r="R3">
        <v>3</v>
      </c>
      <c r="S3">
        <v>4</v>
      </c>
      <c r="T3">
        <v>5</v>
      </c>
      <c r="U3">
        <v>7</v>
      </c>
      <c r="V3">
        <v>8</v>
      </c>
      <c r="W3">
        <v>9</v>
      </c>
      <c r="X3">
        <v>10</v>
      </c>
      <c r="Y3">
        <v>11</v>
      </c>
      <c r="Z3">
        <v>12</v>
      </c>
      <c r="AA3">
        <v>13</v>
      </c>
      <c r="AB3">
        <v>14</v>
      </c>
      <c r="AC3">
        <v>15</v>
      </c>
    </row>
    <row r="4" spans="2:29">
      <c r="B4" s="1">
        <v>0</v>
      </c>
      <c r="C4" s="1">
        <f>ROUND(AVERAGE(seed1!C4,seed2!C4,seed3!C4,seed4!C4,seed5!C4,seed7!C4,seed8!C4,seed9!C4,seed10!C4,seed11!C4,seed12!C4,seed13!C4,seed14!C4,seed15!C4),4)</f>
        <v>14.015700000000001</v>
      </c>
      <c r="D4" s="1">
        <f>ROUND(AVERAGE(seed1!D4,seed2!D4,seed3!D4,seed4!D4,seed5!D4,seed7!D4,seed8!D4,seed9!D4,seed10!D4,seed11!D4,seed12!D4,seed13!D4,seed14!D4,seed15!D4),4)</f>
        <v>13.616300000000001</v>
      </c>
      <c r="E4" s="1">
        <f>ROUND(AVERAGE(seed1!E4,seed2!E4,seed3!E4,seed4!E4,seed5!E4,seed7!E4,seed8!E4,seed9!E4,seed10!E4,seed11!E4,seed12!E4,seed13!E4,seed14!E4,seed15!E4),4)</f>
        <v>13.819699999999999</v>
      </c>
      <c r="H4">
        <v>0</v>
      </c>
      <c r="I4">
        <v>13.819699999999999</v>
      </c>
      <c r="J4">
        <v>13.819699999999999</v>
      </c>
      <c r="L4">
        <v>0</v>
      </c>
      <c r="M4">
        <f>COUNTIF(P4:AC4,"120")</f>
        <v>0</v>
      </c>
      <c r="N4">
        <f>COUNTIF(P4:AC4,"200")</f>
        <v>0</v>
      </c>
    </row>
    <row r="5" spans="2:29">
      <c r="B5" s="1">
        <v>0.1</v>
      </c>
      <c r="C5" s="1">
        <f>ROUND(AVERAGE(seed1!C5,seed2!C5,seed3!C5,seed4!C5,seed5!C5,seed7!C5,seed8!C5,seed9!C5,seed10!C5,seed11!C5,seed12!C5,seed13!C5,seed14!C5,seed15!C5),4)</f>
        <v>14.013500000000001</v>
      </c>
      <c r="D5" s="1">
        <f>ROUND(AVERAGE(seed1!D5,seed2!D5,seed3!D5,seed4!D5,seed5!D5,seed7!D5,seed8!D5,seed9!D5,seed10!D5,seed11!D5,seed12!D5,seed13!D5,seed14!D5,seed15!D5),4)</f>
        <v>13.6379</v>
      </c>
      <c r="E5" s="1">
        <f>ROUND(AVERAGE(seed1!E5,seed2!E5,seed3!E5,seed4!E5,seed5!E5,seed7!E5,seed8!E5,seed9!E5,seed10!E5,seed11!E5,seed12!E5,seed13!E5,seed14!E5,seed15!E5),4)</f>
        <v>13.829000000000001</v>
      </c>
      <c r="H5">
        <v>0.1</v>
      </c>
      <c r="I5">
        <v>13.829000000000001</v>
      </c>
      <c r="J5">
        <v>13.819699999999999</v>
      </c>
      <c r="L5">
        <v>0.1</v>
      </c>
      <c r="M5">
        <f t="shared" ref="M5:M14" si="0">COUNTIF(P5:AC5,"120")</f>
        <v>1</v>
      </c>
      <c r="N5">
        <f t="shared" ref="N5:N14" si="1">COUNTIF(P5:AC5,"200")</f>
        <v>0</v>
      </c>
      <c r="W5">
        <v>120</v>
      </c>
    </row>
    <row r="6" spans="2:29">
      <c r="B6" s="1">
        <v>0.2</v>
      </c>
      <c r="C6" s="1">
        <f>ROUND(AVERAGE(seed1!C6,seed2!C6,seed3!C6,seed4!C6,seed5!C6,seed7!C6,seed8!C6,seed9!C6,seed10!C6,seed11!C6,seed12!C6,seed13!C6,seed14!C6,seed15!C6),4)</f>
        <v>13.728999999999999</v>
      </c>
      <c r="D6" s="1">
        <f>ROUND(AVERAGE(seed1!D6,seed2!D6,seed3!D6,seed4!D6,seed5!D6,seed7!D6,seed8!D6,seed9!D6,seed10!D6,seed11!D6,seed12!D6,seed13!D6,seed14!D6,seed15!D6),4)</f>
        <v>13.8833</v>
      </c>
      <c r="E6" s="1">
        <f>ROUND(AVERAGE(seed1!E6,seed2!E6,seed3!E6,seed4!E6,seed5!E6,seed7!E6,seed8!E6,seed9!E6,seed10!E6,seed11!E6,seed12!E6,seed13!E6,seed14!E6,seed15!E6),4)</f>
        <v>13.796799999999999</v>
      </c>
      <c r="H6">
        <v>0.2</v>
      </c>
      <c r="I6">
        <v>13.796799999999999</v>
      </c>
      <c r="J6">
        <v>13.846500000000001</v>
      </c>
      <c r="L6">
        <v>0.2</v>
      </c>
      <c r="M6">
        <f t="shared" si="0"/>
        <v>7</v>
      </c>
      <c r="N6">
        <f t="shared" si="1"/>
        <v>1</v>
      </c>
      <c r="Q6">
        <v>120</v>
      </c>
      <c r="T6">
        <v>120</v>
      </c>
      <c r="V6">
        <v>120</v>
      </c>
      <c r="X6">
        <v>200</v>
      </c>
      <c r="Y6">
        <v>120</v>
      </c>
      <c r="Z6">
        <v>120</v>
      </c>
      <c r="AA6">
        <v>120</v>
      </c>
      <c r="AB6">
        <v>120</v>
      </c>
    </row>
    <row r="7" spans="2:29">
      <c r="B7" s="1">
        <v>0.3</v>
      </c>
      <c r="C7" s="1">
        <f>ROUND(AVERAGE(seed1!C7,seed2!C7,seed3!C7,seed4!C7,seed5!C7,seed7!C7,seed8!C7,seed9!C7,seed10!C7,seed11!C7,seed12!C7,seed13!C7,seed14!C7,seed15!C7),4)</f>
        <v>13.968500000000001</v>
      </c>
      <c r="D7" s="1">
        <f>ROUND(AVERAGE(seed1!D7,seed2!D7,seed3!D7,seed4!D7,seed5!D7,seed7!D7,seed8!D7,seed9!D7,seed10!D7,seed11!D7,seed12!D7,seed13!D7,seed14!D7,seed15!D7),4)</f>
        <v>13.8142</v>
      </c>
      <c r="E7" s="1">
        <f>ROUND(AVERAGE(seed1!E7,seed2!E7,seed3!E7,seed4!E7,seed5!E7,seed7!E7,seed8!E7,seed9!E7,seed10!E7,seed11!E7,seed12!E7,seed13!E7,seed14!E7,seed15!E7),4)</f>
        <v>13.8843</v>
      </c>
      <c r="H7">
        <v>0.3</v>
      </c>
      <c r="I7">
        <v>13.8843</v>
      </c>
      <c r="J7">
        <v>13.9397</v>
      </c>
      <c r="L7">
        <v>0.3</v>
      </c>
      <c r="M7">
        <f t="shared" si="0"/>
        <v>3</v>
      </c>
      <c r="N7">
        <f t="shared" si="1"/>
        <v>4</v>
      </c>
      <c r="S7">
        <v>200</v>
      </c>
      <c r="U7">
        <v>200</v>
      </c>
      <c r="V7">
        <v>120</v>
      </c>
      <c r="X7">
        <v>120</v>
      </c>
      <c r="Z7">
        <v>120</v>
      </c>
      <c r="AA7">
        <v>200</v>
      </c>
      <c r="AB7">
        <v>200</v>
      </c>
    </row>
    <row r="8" spans="2:29">
      <c r="B8" s="1">
        <v>0.4</v>
      </c>
      <c r="C8" s="1">
        <f>ROUND(AVERAGE(seed1!C8,seed2!C8,seed3!C8,seed4!C8,seed5!C8,seed7!C8,seed8!C8,seed9!C8,seed10!C8,seed11!C8,seed12!C8,seed13!C8,seed14!C8,seed15!C8),4)</f>
        <v>13.808</v>
      </c>
      <c r="D8" s="1">
        <f>ROUND(AVERAGE(seed1!D8,seed2!D8,seed3!D8,seed4!D8,seed5!D8,seed7!D8,seed8!D8,seed9!D8,seed10!D8,seed11!D8,seed12!D8,seed13!D8,seed14!D8,seed15!D8),4)</f>
        <v>14.391</v>
      </c>
      <c r="E8" s="1">
        <f>ROUND(AVERAGE(seed1!E8,seed2!E8,seed3!E8,seed4!E8,seed5!E8,seed7!E8,seed8!E8,seed9!E8,seed10!E8,seed11!E8,seed12!E8,seed13!E8,seed14!E8,seed15!E8),4)</f>
        <v>14.0791</v>
      </c>
      <c r="H8">
        <v>0.4</v>
      </c>
      <c r="I8">
        <v>14.0791</v>
      </c>
      <c r="J8">
        <v>14.088699999999999</v>
      </c>
      <c r="L8">
        <v>0.4</v>
      </c>
      <c r="M8">
        <f t="shared" si="0"/>
        <v>5</v>
      </c>
      <c r="N8">
        <f t="shared" si="1"/>
        <v>5</v>
      </c>
      <c r="R8">
        <v>120</v>
      </c>
      <c r="T8">
        <v>200</v>
      </c>
      <c r="U8">
        <v>120</v>
      </c>
      <c r="W8">
        <v>200</v>
      </c>
      <c r="X8">
        <v>120</v>
      </c>
      <c r="Y8">
        <v>200</v>
      </c>
      <c r="Z8">
        <v>200</v>
      </c>
      <c r="AA8">
        <v>200</v>
      </c>
      <c r="AB8">
        <v>120</v>
      </c>
      <c r="AC8">
        <v>120</v>
      </c>
    </row>
    <row r="9" spans="2:29">
      <c r="B9" s="1">
        <v>0.5</v>
      </c>
      <c r="C9" s="1">
        <f>ROUND(AVERAGE(seed1!C9,seed2!C9,seed3!C9,seed4!C9,seed5!C9,seed7!C9,seed8!C9,seed9!C9,seed10!C9,seed11!C9,seed12!C9,seed13!C9,seed14!C9,seed15!C9),4)</f>
        <v>13.8673</v>
      </c>
      <c r="D9" s="1">
        <f>ROUND(AVERAGE(seed1!D9,seed2!D9,seed3!D9,seed4!D9,seed5!D9,seed7!D9,seed8!D9,seed9!D9,seed10!D9,seed11!D9,seed12!D9,seed13!D9,seed14!D9,seed15!D9),4)</f>
        <v>15.341200000000001</v>
      </c>
      <c r="E9" s="1">
        <f>ROUND(AVERAGE(seed1!E9,seed2!E9,seed3!E9,seed4!E9,seed5!E9,seed7!E9,seed8!E9,seed9!E9,seed10!E9,seed11!E9,seed12!E9,seed13!E9,seed14!E9,seed15!E9),4)</f>
        <v>14.5533</v>
      </c>
      <c r="H9">
        <v>0.5</v>
      </c>
      <c r="I9">
        <v>14.5533</v>
      </c>
      <c r="J9">
        <v>14.375500000000001</v>
      </c>
      <c r="L9">
        <v>0.5</v>
      </c>
      <c r="M9">
        <f t="shared" si="0"/>
        <v>8</v>
      </c>
      <c r="N9">
        <f t="shared" si="1"/>
        <v>3</v>
      </c>
      <c r="P9">
        <v>120</v>
      </c>
      <c r="Q9">
        <v>120</v>
      </c>
      <c r="R9">
        <v>200</v>
      </c>
      <c r="S9">
        <v>120</v>
      </c>
      <c r="T9">
        <v>120</v>
      </c>
      <c r="U9">
        <v>120</v>
      </c>
      <c r="W9">
        <v>200</v>
      </c>
      <c r="Z9">
        <v>120</v>
      </c>
      <c r="AA9">
        <v>120</v>
      </c>
      <c r="AB9">
        <v>120</v>
      </c>
      <c r="AC9">
        <v>200</v>
      </c>
    </row>
    <row r="10" spans="2:29">
      <c r="B10" s="1">
        <v>0.6</v>
      </c>
      <c r="C10" s="1">
        <f>ROUND(AVERAGE(seed1!C10,seed2!C10,seed3!C10,seed4!C10,seed5!C10,seed7!C10,seed8!C10,seed9!C10,seed10!C10,seed11!C10,seed12!C10,seed13!C10,seed14!C10,seed15!C10),4)</f>
        <v>13.5336</v>
      </c>
      <c r="D10" s="1">
        <f>ROUND(AVERAGE(seed1!D10,seed2!D10,seed3!D10,seed4!D10,seed5!D10,seed7!D10,seed8!D10,seed9!D10,seed10!D10,seed11!D10,seed12!D10,seed13!D10,seed14!D10,seed15!D10),4)</f>
        <v>15.5303</v>
      </c>
      <c r="E10" s="1">
        <f>ROUND(AVERAGE(seed1!E10,seed2!E10,seed3!E10,seed4!E10,seed5!E10,seed7!E10,seed8!E10,seed9!E10,seed10!E10,seed11!E10,seed12!E10,seed13!E10,seed14!E10,seed15!E10),4)</f>
        <v>14.4633</v>
      </c>
      <c r="H10">
        <v>0.6</v>
      </c>
      <c r="I10">
        <v>14.4633</v>
      </c>
      <c r="J10">
        <v>14.4377</v>
      </c>
      <c r="L10">
        <v>0.6</v>
      </c>
      <c r="M10">
        <f t="shared" si="0"/>
        <v>7</v>
      </c>
      <c r="N10">
        <f t="shared" si="1"/>
        <v>4</v>
      </c>
      <c r="Q10">
        <v>120</v>
      </c>
      <c r="R10">
        <v>200</v>
      </c>
      <c r="S10">
        <v>120</v>
      </c>
      <c r="U10">
        <v>200</v>
      </c>
      <c r="V10">
        <v>200</v>
      </c>
      <c r="X10">
        <v>120</v>
      </c>
      <c r="Y10">
        <v>200</v>
      </c>
      <c r="Z10">
        <v>120</v>
      </c>
      <c r="AA10">
        <v>120</v>
      </c>
      <c r="AB10">
        <v>120</v>
      </c>
      <c r="AC10">
        <v>120</v>
      </c>
    </row>
    <row r="11" spans="2:29">
      <c r="B11" s="1">
        <v>0.7</v>
      </c>
      <c r="C11" s="1">
        <f>ROUND(AVERAGE(seed1!C11,seed2!C11,seed3!C11,seed4!C11,seed5!C11,seed7!C11,seed8!C11,seed9!C11,seed10!C11,seed11!C11,seed12!C11,seed13!C11,seed14!C11,seed15!C11),4)</f>
        <v>12.8011</v>
      </c>
      <c r="D11" s="1">
        <f>ROUND(AVERAGE(seed1!D11,seed2!D11,seed3!D11,seed4!D11,seed5!D11,seed7!D11,seed8!D11,seed9!D11,seed10!D11,seed11!D11,seed12!D11,seed13!D11,seed14!D11,seed15!D11),4)</f>
        <v>16.2729</v>
      </c>
      <c r="E11" s="1">
        <f>ROUND(AVERAGE(seed1!E11,seed2!E11,seed3!E11,seed4!E11,seed5!E11,seed7!E11,seed8!E11,seed9!E11,seed10!E11,seed11!E11,seed12!E11,seed13!E11,seed14!E11,seed15!E11),4)</f>
        <v>14.3607</v>
      </c>
      <c r="H11">
        <v>0.7</v>
      </c>
      <c r="I11">
        <v>14.3607</v>
      </c>
      <c r="J11">
        <v>14.504799999999999</v>
      </c>
      <c r="L11">
        <v>0.7</v>
      </c>
      <c r="M11">
        <f t="shared" si="0"/>
        <v>5</v>
      </c>
      <c r="N11">
        <f t="shared" si="1"/>
        <v>8</v>
      </c>
      <c r="P11">
        <v>120</v>
      </c>
      <c r="Q11">
        <v>200</v>
      </c>
      <c r="R11">
        <v>200</v>
      </c>
      <c r="S11">
        <v>200</v>
      </c>
      <c r="T11">
        <v>200</v>
      </c>
      <c r="U11">
        <v>120</v>
      </c>
      <c r="V11">
        <v>120</v>
      </c>
      <c r="W11">
        <v>120</v>
      </c>
      <c r="Y11">
        <v>200</v>
      </c>
      <c r="Z11">
        <v>120</v>
      </c>
      <c r="AA11">
        <v>200</v>
      </c>
      <c r="AB11">
        <v>200</v>
      </c>
      <c r="AC11">
        <v>200</v>
      </c>
    </row>
    <row r="12" spans="2:29">
      <c r="B12" s="1">
        <v>0.8</v>
      </c>
      <c r="C12" s="1">
        <f>ROUND(AVERAGE(seed1!C12,seed2!C12,seed3!C12,seed4!C12,seed5!C12,seed7!C12,seed8!C12,seed9!C12,seed10!C12,seed11!C12,seed12!C12,seed13!C12,seed14!C12,seed15!C12),4)</f>
        <v>11.744199999999999</v>
      </c>
      <c r="D12" s="1">
        <f>ROUND(AVERAGE(seed1!D12,seed2!D12,seed3!D12,seed4!D12,seed5!D12,seed7!D12,seed8!D12,seed9!D12,seed10!D12,seed11!D12,seed12!D12,seed13!D12,seed14!D12,seed15!D12),4)</f>
        <v>16.548999999999999</v>
      </c>
      <c r="E12" s="1">
        <f>ROUND(AVERAGE(seed1!E12,seed2!E12,seed3!E12,seed4!E12,seed5!E12,seed7!E12,seed8!E12,seed9!E12,seed10!E12,seed11!E12,seed12!E12,seed13!E12,seed14!E12,seed15!E12),4)</f>
        <v>13.8293</v>
      </c>
      <c r="H12">
        <v>0.8</v>
      </c>
      <c r="I12">
        <v>13.8293</v>
      </c>
      <c r="J12">
        <v>13.9382</v>
      </c>
      <c r="L12">
        <v>0.8</v>
      </c>
      <c r="M12">
        <f t="shared" si="0"/>
        <v>3</v>
      </c>
      <c r="N12">
        <f t="shared" si="1"/>
        <v>4</v>
      </c>
      <c r="P12">
        <v>120</v>
      </c>
      <c r="T12">
        <v>200</v>
      </c>
      <c r="U12">
        <v>120</v>
      </c>
      <c r="V12">
        <v>200</v>
      </c>
      <c r="W12">
        <v>200</v>
      </c>
      <c r="Z12">
        <v>200</v>
      </c>
      <c r="AA12">
        <v>120</v>
      </c>
    </row>
    <row r="13" spans="2:29">
      <c r="B13" s="1">
        <v>0.9</v>
      </c>
      <c r="C13" s="1">
        <f>ROUND(AVERAGE(seed1!C13,seed2!C13,seed3!C13,seed4!C13,seed5!C13,seed7!C13,seed8!C13,seed9!C13,seed10!C13,seed11!C13,seed12!C13,seed13!C13,seed14!C13,seed15!C13),4)</f>
        <v>11.517099999999999</v>
      </c>
      <c r="D13" s="1">
        <f>ROUND(AVERAGE(seed1!D13,seed2!D13,seed3!D13,seed4!D13,seed5!D13,seed7!D13,seed8!D13,seed9!D13,seed10!D13,seed11!D13,seed12!D13,seed13!D13,seed14!D13,seed15!D13),4)</f>
        <v>16.669599999999999</v>
      </c>
      <c r="E13" s="1">
        <f>ROUND(AVERAGE(seed1!E13,seed2!E13,seed3!E13,seed4!E13,seed5!E13,seed7!E13,seed8!E13,seed9!E13,seed10!E13,seed11!E13,seed12!E13,seed13!E13,seed14!E13,seed15!E13),4)</f>
        <v>13.7418</v>
      </c>
      <c r="H13">
        <v>0.9</v>
      </c>
      <c r="I13">
        <v>13.7418</v>
      </c>
      <c r="J13">
        <v>13.693</v>
      </c>
      <c r="L13">
        <v>0.9</v>
      </c>
      <c r="M13">
        <f t="shared" si="0"/>
        <v>2</v>
      </c>
      <c r="N13">
        <f t="shared" si="1"/>
        <v>1</v>
      </c>
      <c r="T13">
        <v>120</v>
      </c>
      <c r="V13">
        <v>120</v>
      </c>
      <c r="X13">
        <v>200</v>
      </c>
    </row>
    <row r="14" spans="2:29">
      <c r="B14" s="1">
        <v>1</v>
      </c>
      <c r="C14" s="1">
        <f>ROUND(AVERAGE(seed1!C14,seed2!C14,seed3!C14,seed4!C14,seed5!C14,seed7!C14,seed8!C14,seed9!C14,seed10!C14,seed11!C14,seed12!C14,seed13!C14,seed14!C14,seed15!C14),4)</f>
        <v>11.440799999999999</v>
      </c>
      <c r="D14" s="1">
        <f>ROUND(AVERAGE(seed1!D14,seed2!D14,seed3!D14,seed4!D14,seed5!D14,seed7!D14,seed8!D14,seed9!D14,seed10!D14,seed11!D14,seed12!D14,seed13!D14,seed14!D14,seed15!D14),4)</f>
        <v>16.670000000000002</v>
      </c>
      <c r="E14" s="1">
        <f>ROUND(AVERAGE(seed1!E14,seed2!E14,seed3!E14,seed4!E14,seed5!E14,seed7!E14,seed8!E14,seed9!E14,seed10!E14,seed11!E14,seed12!E14,seed13!E14,seed14!E14,seed15!E14),4)</f>
        <v>13.695</v>
      </c>
      <c r="H14">
        <v>1</v>
      </c>
      <c r="I14">
        <v>13.695</v>
      </c>
      <c r="J14">
        <v>13.694900000000001</v>
      </c>
      <c r="L14">
        <v>1</v>
      </c>
      <c r="M14">
        <f t="shared" si="0"/>
        <v>0</v>
      </c>
      <c r="N14">
        <f t="shared" si="1"/>
        <v>0</v>
      </c>
    </row>
    <row r="16" spans="2:29">
      <c r="G16" s="1"/>
      <c r="M16">
        <f>SUM(M5:M13)</f>
        <v>41</v>
      </c>
      <c r="N16">
        <f>SUM(N5:N13)</f>
        <v>30</v>
      </c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</sheetData>
  <mergeCells count="1">
    <mergeCell ref="M2:N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範囲100_seed1</vt:lpstr>
      <vt:lpstr>範囲150_seed1</vt:lpstr>
      <vt:lpstr>範囲200_seed1</vt:lpstr>
      <vt:lpstr>seed1</vt:lpstr>
      <vt:lpstr>seed2</vt:lpstr>
      <vt:lpstr>seed3</vt:lpstr>
      <vt:lpstr>seed4</vt:lpstr>
      <vt:lpstr>seed5</vt:lpstr>
      <vt:lpstr>average1-5</vt:lpstr>
      <vt:lpstr>seed7</vt:lpstr>
      <vt:lpstr>seed8</vt:lpstr>
      <vt:lpstr>seed9</vt:lpstr>
      <vt:lpstr>seed10</vt:lpstr>
      <vt:lpstr>average1-10</vt:lpstr>
      <vt:lpstr>seed11</vt:lpstr>
      <vt:lpstr>seed12</vt:lpstr>
      <vt:lpstr>seed13</vt:lpstr>
      <vt:lpstr>seed14</vt:lpstr>
      <vt:lpstr>seed15</vt:lpstr>
      <vt:lpstr>average1-15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2023-12-12T04:00:25Z</dcterms:created>
  <dcterms:modified xsi:type="dcterms:W3CDTF">2023-12-22T18:12:35Z</dcterms:modified>
</cp:coreProperties>
</file>