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8EDADCD0-5108-BC4F-9EFD-C303E2B6B092}" xr6:coauthVersionLast="47" xr6:coauthVersionMax="47" xr10:uidLastSave="{00000000-0000-0000-0000-000000000000}"/>
  <bookViews>
    <workbookView xWindow="0" yWindow="0" windowWidth="28800" windowHeight="18000" activeTab="1" xr2:uid="{4E4FD61E-C6BB-2A4C-AA46-98F81A9C077D}"/>
  </bookViews>
  <sheets>
    <sheet name="inflow3200" sheetId="1" r:id="rId1"/>
    <sheet name="inflow10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K4" i="2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</calcChain>
</file>

<file path=xl/sharedStrings.xml><?xml version="1.0" encoding="utf-8"?>
<sst xmlns="http://schemas.openxmlformats.org/spreadsheetml/2006/main" count="40" uniqueCount="18">
  <si>
    <t>CAV_0とCAV_1に着目, 全範囲で平均算出</t>
  </si>
  <si>
    <t>走行車線に着目, 全範囲で平均算出</t>
  </si>
  <si>
    <t>走行車線に着目, 合流前のみで平均算出</t>
  </si>
  <si>
    <t>α</t>
  </si>
  <si>
    <t>vehicle0</t>
  </si>
  <si>
    <t>vehicle1</t>
  </si>
  <si>
    <t>all</t>
  </si>
  <si>
    <t>lane_0</t>
  </si>
  <si>
    <t>lane_1</t>
  </si>
  <si>
    <t>lane_0(CAV_0)</t>
  </si>
  <si>
    <t>lane_1(CAV_1)</t>
  </si>
  <si>
    <t>grep CAV_0</t>
  </si>
  <si>
    <t>grep CAV_1</t>
  </si>
  <si>
    <t>cat</t>
  </si>
  <si>
    <t>grep main_0</t>
  </si>
  <si>
    <t>grep main_1</t>
  </si>
  <si>
    <t>grep main_0 + -v</t>
  </si>
  <si>
    <t>grep main_1 + 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</si>
</sst>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</a:t>
            </a:r>
            <a:r>
              <a:rPr lang="en-US" altLang="ja-JP"/>
              <a:t>α</a:t>
            </a:r>
            <a:r>
              <a:rPr lang="ja-JP" altLang="en-US"/>
              <a:t>に対する平均速度の変化</a:t>
            </a:r>
            <a:r>
              <a:rPr lang="en-US" altLang="ja-JP"/>
              <a:t>(inflow=3200)</a:t>
            </a:r>
          </a:p>
        </c:rich>
      </c:tx>
      <c:layout>
        <c:manualLayout>
          <c:xMode val="edge"/>
          <c:yMode val="edge"/>
          <c:x val="0.14290966754155732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6.2106663750364527E-2"/>
          <c:w val="0.83762729658792656"/>
          <c:h val="0.6541969233012540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inflow3200!$C$3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9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solidFill>
                  <a:srgbClr val="FF9300"/>
                </a:solidFill>
              </a:ln>
              <a:effectLst/>
            </c:spPr>
          </c:marker>
          <c:xVal>
            <c:numRef>
              <c:f>inflow3200!$B$4:$B$14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inflow3200!$C$4:$C$14</c:f>
              <c:numCache>
                <c:formatCode>General</c:formatCode>
                <c:ptCount val="11"/>
                <c:pt idx="0">
                  <c:v>8.6998999999999995</c:v>
                </c:pt>
                <c:pt idx="1">
                  <c:v>6.33073</c:v>
                </c:pt>
                <c:pt idx="2">
                  <c:v>3.88686</c:v>
                </c:pt>
                <c:pt idx="3">
                  <c:v>3.2261299999999999</c:v>
                </c:pt>
                <c:pt idx="4">
                  <c:v>3.2261299999999999</c:v>
                </c:pt>
                <c:pt idx="5">
                  <c:v>2.5855700000000001</c:v>
                </c:pt>
                <c:pt idx="6">
                  <c:v>2.5855700000000001</c:v>
                </c:pt>
                <c:pt idx="7">
                  <c:v>2.5855700000000001</c:v>
                </c:pt>
                <c:pt idx="8">
                  <c:v>2.5855700000000001</c:v>
                </c:pt>
                <c:pt idx="9">
                  <c:v>2.5855700000000001</c:v>
                </c:pt>
                <c:pt idx="10">
                  <c:v>2.5855700000000001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9-7746-A317-AF6BFAC5BC40}"/>
            </c:ext>
          </c:extLst>
        </c:ser>
        <c:ser>
          <c:idx val="1"/>
          <c:order val="1"/>
          <c:tx>
            <c:strRef>
              <c:f>inflow3200!$D$3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inflow3200!$B$4:$B$14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inflow3200!$D$4:$D$14</c:f>
              <c:numCache>
                <c:formatCode>General</c:formatCode>
                <c:ptCount val="11"/>
                <c:pt idx="0">
                  <c:v>6.8794399999999998</c:v>
                </c:pt>
                <c:pt idx="1">
                  <c:v>11.453900000000001</c:v>
                </c:pt>
                <c:pt idx="2">
                  <c:v>13.9008</c:v>
                </c:pt>
                <c:pt idx="3">
                  <c:v>16.526900000000001</c:v>
                </c:pt>
                <c:pt idx="4">
                  <c:v>16.526900000000001</c:v>
                </c:pt>
                <c:pt idx="5">
                  <c:v>16.670000000000002</c:v>
                </c:pt>
                <c:pt idx="6">
                  <c:v>16.670000000000002</c:v>
                </c:pt>
                <c:pt idx="7">
                  <c:v>16.670000000000002</c:v>
                </c:pt>
                <c:pt idx="8">
                  <c:v>16.670000000000002</c:v>
                </c:pt>
                <c:pt idx="9">
                  <c:v>16.670000000000002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9-7746-A317-AF6BFAC5BC40}"/>
            </c:ext>
          </c:extLst>
        </c:ser>
        <c:ser>
          <c:idx val="2"/>
          <c:order val="2"/>
          <c:tx>
            <c:strRef>
              <c:f>inflow3200!$E$3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inflow3200!$B$4:$B$14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inflow3200!$E$4:$E$14</c:f>
              <c:numCache>
                <c:formatCode>General</c:formatCode>
                <c:ptCount val="11"/>
                <c:pt idx="0">
                  <c:v>7.6719400000000002</c:v>
                </c:pt>
                <c:pt idx="1">
                  <c:v>8.8966799999999999</c:v>
                </c:pt>
                <c:pt idx="2">
                  <c:v>8.6567600000000002</c:v>
                </c:pt>
                <c:pt idx="3">
                  <c:v>9.0554699999999997</c:v>
                </c:pt>
                <c:pt idx="4">
                  <c:v>9.0554699999999997</c:v>
                </c:pt>
                <c:pt idx="5">
                  <c:v>8.6737699999999993</c:v>
                </c:pt>
                <c:pt idx="6">
                  <c:v>8.6737699999999993</c:v>
                </c:pt>
                <c:pt idx="7">
                  <c:v>8.6737699999999993</c:v>
                </c:pt>
                <c:pt idx="8">
                  <c:v>8.6737699999999993</c:v>
                </c:pt>
                <c:pt idx="9">
                  <c:v>8.6737699999999993</c:v>
                </c:pt>
                <c:pt idx="10">
                  <c:v>8.6737699999999993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9-7746-A317-AF6BFAC5B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75535"/>
        <c:axId val="1552376543"/>
      </c:scatterChart>
      <c:valAx>
        <c:axId val="172407553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2376543"/>
        <c:crosses val="autoZero"/>
        <c:crossBetween val="midCat"/>
      </c:valAx>
      <c:valAx>
        <c:axId val="15523765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407553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121041119860017"/>
          <c:y val="0.16724482356372125"/>
          <c:w val="0.24202340332458444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</a:t>
            </a:r>
            <a:r>
              <a:rPr lang="en-US" altLang="ja-JP"/>
              <a:t>α</a:t>
            </a:r>
            <a:r>
              <a:rPr lang="ja-JP" altLang="en-US"/>
              <a:t>に対する平均速度の変化</a:t>
            </a:r>
            <a:r>
              <a:rPr lang="en-US" altLang="ja-JP"/>
              <a:t>(inflow=1000)</a:t>
            </a:r>
          </a:p>
        </c:rich>
      </c:tx>
      <c:layout>
        <c:manualLayout>
          <c:xMode val="edge"/>
          <c:yMode val="edge"/>
          <c:x val="0.12346522309711286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7.5995552639253422E-2"/>
          <c:w val="0.83762729658792656"/>
          <c:h val="0.64030803441236517"/>
        </c:manualLayout>
      </c:layout>
      <c:scatterChart>
        <c:scatterStyle val="lineMarker"/>
        <c:varyColors val="0"/>
        <c:ser>
          <c:idx val="0"/>
          <c:order val="0"/>
          <c:tx>
            <c:strRef>
              <c:f>inflow1000!$C$3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9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solidFill>
                  <a:srgbClr val="FF9300"/>
                </a:solidFill>
              </a:ln>
              <a:effectLst/>
            </c:spPr>
          </c:marker>
          <c:xVal>
            <c:numRef>
              <c:f>inflow1000!$B$4:$B$14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inflow1000!$C$4:$C$14</c:f>
              <c:numCache>
                <c:formatCode>General</c:formatCode>
                <c:ptCount val="11"/>
                <c:pt idx="0">
                  <c:v>15.568</c:v>
                </c:pt>
                <c:pt idx="1">
                  <c:v>15.568</c:v>
                </c:pt>
                <c:pt idx="2">
                  <c:v>15.568</c:v>
                </c:pt>
                <c:pt idx="3">
                  <c:v>15.568</c:v>
                </c:pt>
                <c:pt idx="4">
                  <c:v>15.568</c:v>
                </c:pt>
                <c:pt idx="5">
                  <c:v>15.568</c:v>
                </c:pt>
                <c:pt idx="6">
                  <c:v>14.7545</c:v>
                </c:pt>
                <c:pt idx="7">
                  <c:v>13.255800000000001</c:v>
                </c:pt>
                <c:pt idx="8">
                  <c:v>10.5008</c:v>
                </c:pt>
                <c:pt idx="9">
                  <c:v>10.5008</c:v>
                </c:pt>
                <c:pt idx="10">
                  <c:v>10.5008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5D-F449-B32F-D26F0FC1EA85}"/>
            </c:ext>
          </c:extLst>
        </c:ser>
        <c:ser>
          <c:idx val="1"/>
          <c:order val="1"/>
          <c:tx>
            <c:strRef>
              <c:f>inflow1000!$D$3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inflow1000!$B$4:$B$14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inflow1000!$D$4:$D$14</c:f>
              <c:numCache>
                <c:formatCode>General</c:formatCode>
                <c:ptCount val="11"/>
                <c:pt idx="0">
                  <c:v>16.134499999999999</c:v>
                </c:pt>
                <c:pt idx="1">
                  <c:v>16.134499999999999</c:v>
                </c:pt>
                <c:pt idx="2">
                  <c:v>16.134499999999999</c:v>
                </c:pt>
                <c:pt idx="3">
                  <c:v>16.134499999999999</c:v>
                </c:pt>
                <c:pt idx="4">
                  <c:v>16.134499999999999</c:v>
                </c:pt>
                <c:pt idx="5">
                  <c:v>16.134499999999999</c:v>
                </c:pt>
                <c:pt idx="6">
                  <c:v>16.391100000000002</c:v>
                </c:pt>
                <c:pt idx="7">
                  <c:v>16.5778</c:v>
                </c:pt>
                <c:pt idx="8">
                  <c:v>16.670000000000002</c:v>
                </c:pt>
                <c:pt idx="9">
                  <c:v>16.670000000000002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5D-F449-B32F-D26F0FC1EA85}"/>
            </c:ext>
          </c:extLst>
        </c:ser>
        <c:ser>
          <c:idx val="2"/>
          <c:order val="2"/>
          <c:tx>
            <c:strRef>
              <c:f>inflow1000!$E$3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inflow1000!$B$4:$B$14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inflow1000!$E$4:$E$14</c:f>
              <c:numCache>
                <c:formatCode>General</c:formatCode>
                <c:ptCount val="11"/>
                <c:pt idx="0">
                  <c:v>15.8689</c:v>
                </c:pt>
                <c:pt idx="1">
                  <c:v>15.8689</c:v>
                </c:pt>
                <c:pt idx="2">
                  <c:v>15.8689</c:v>
                </c:pt>
                <c:pt idx="3">
                  <c:v>15.8689</c:v>
                </c:pt>
                <c:pt idx="4">
                  <c:v>15.8689</c:v>
                </c:pt>
                <c:pt idx="5">
                  <c:v>15.8689</c:v>
                </c:pt>
                <c:pt idx="6">
                  <c:v>15.5953</c:v>
                </c:pt>
                <c:pt idx="7">
                  <c:v>14.864100000000001</c:v>
                </c:pt>
                <c:pt idx="8">
                  <c:v>13.1922</c:v>
                </c:pt>
                <c:pt idx="9">
                  <c:v>13.1922</c:v>
                </c:pt>
                <c:pt idx="10">
                  <c:v>13.1922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5D-F449-B32F-D26F0FC1E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40463"/>
        <c:axId val="1720184815"/>
      </c:scatterChart>
      <c:valAx>
        <c:axId val="1720040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0184815"/>
        <c:crosses val="autoZero"/>
        <c:crossBetween val="midCat"/>
      </c:valAx>
      <c:valAx>
        <c:axId val="1720184815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0040463"/>
        <c:crosses val="autoZero"/>
        <c:crossBetween val="midCat"/>
        <c:majorUnit val="2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176596675415572"/>
          <c:y val="0.495948527267425"/>
          <c:w val="0.24757895888013998"/>
          <c:h val="0.18460702828813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23</xdr:row>
      <xdr:rowOff>158750</xdr:rowOff>
    </xdr:from>
    <xdr:to>
      <xdr:col>5</xdr:col>
      <xdr:colOff>368300</xdr:colOff>
      <xdr:row>34</xdr:row>
      <xdr:rowOff>107950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2568571-38EC-95CF-EC86-1CB8BD7F1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539750</xdr:colOff>
      <xdr:row>15</xdr:row>
      <xdr:rowOff>184150</xdr:rowOff>
    </xdr:from>
    <xdr:to>
      <xdr:col>6</xdr:col>
      <xdr:colOff>6350</xdr:colOff>
      <xdr:row>26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52B5A8-DDEE-75A4-E3C7-CFA05B0A3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EA13-284E-A94A-B247-4AEB099C6E80}">
  <dimension ref="B2:M21"/>
  <sheetViews>
    <sheetView topLeftCell="A5" workbookViewId="0">
      <selection activeCell="I32" sqref="I32"/>
    </sheetView>
  </sheetViews>
  <sheetFormatPr baseColWidth="10" defaultRowHeight="20"/>
  <cols>
    <col min="3" max="5" width="12.42578125" customWidth="1"/>
    <col min="7" max="9" width="12.42578125" customWidth="1"/>
    <col min="11" max="13" width="12.28515625" customWidth="1"/>
  </cols>
  <sheetData>
    <row r="2" spans="2:13">
      <c r="B2" s="1"/>
      <c r="C2" s="3" t="s">
        <v>0</v>
      </c>
      <c r="D2" s="3"/>
      <c r="E2" s="3"/>
      <c r="F2" s="1"/>
      <c r="G2" s="3" t="s">
        <v>1</v>
      </c>
      <c r="H2" s="3"/>
      <c r="I2" s="3"/>
      <c r="J2" s="1"/>
      <c r="K2" s="3" t="s">
        <v>2</v>
      </c>
      <c r="L2" s="3"/>
      <c r="M2" s="3"/>
    </row>
    <row r="3" spans="2:13"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6</v>
      </c>
      <c r="J3" s="1" t="s">
        <v>3</v>
      </c>
      <c r="K3" s="1" t="s">
        <v>7</v>
      </c>
      <c r="L3" s="1" t="s">
        <v>8</v>
      </c>
      <c r="M3" s="1" t="s">
        <v>6</v>
      </c>
    </row>
    <row r="4" spans="2:13">
      <c r="B4" s="1">
        <v>0</v>
      </c>
      <c r="C4" s="1">
        <v>8.6998999999999995</v>
      </c>
      <c r="D4" s="1">
        <v>6.8794399999999998</v>
      </c>
      <c r="E4" s="1">
        <v>7.6719400000000002</v>
      </c>
      <c r="F4" s="1">
        <v>0</v>
      </c>
      <c r="G4" s="1">
        <v>6.8579600000000003</v>
      </c>
      <c r="H4" s="1">
        <v>8.10412</v>
      </c>
      <c r="I4" s="1">
        <f>E4</f>
        <v>7.6719400000000002</v>
      </c>
      <c r="J4" s="1">
        <v>0</v>
      </c>
      <c r="K4" s="1">
        <f>G4</f>
        <v>6.8579600000000003</v>
      </c>
      <c r="L4" s="1">
        <v>6.0958199999999998</v>
      </c>
      <c r="M4" s="2">
        <v>6.41174</v>
      </c>
    </row>
    <row r="5" spans="2:13">
      <c r="B5" s="1">
        <v>0.1</v>
      </c>
      <c r="C5" s="1">
        <v>6.33073</v>
      </c>
      <c r="D5" s="1">
        <v>11.453900000000001</v>
      </c>
      <c r="E5" s="1">
        <v>8.8966799999999999</v>
      </c>
      <c r="F5" s="1">
        <v>0.1</v>
      </c>
      <c r="G5" s="1">
        <v>4.9714400000000003</v>
      </c>
      <c r="H5" s="1">
        <v>11.9223</v>
      </c>
      <c r="I5" s="1">
        <f t="shared" ref="I5:I14" si="0">E5</f>
        <v>8.8966799999999999</v>
      </c>
      <c r="J5" s="1">
        <v>0.1</v>
      </c>
      <c r="K5" s="1">
        <f t="shared" ref="K5:K14" si="1">G5</f>
        <v>4.9714400000000003</v>
      </c>
      <c r="L5" s="1">
        <v>9.4942700000000002</v>
      </c>
      <c r="M5" s="2">
        <v>7.0046299999999997</v>
      </c>
    </row>
    <row r="6" spans="2:13">
      <c r="B6" s="1">
        <v>0.2</v>
      </c>
      <c r="C6" s="1">
        <v>3.88686</v>
      </c>
      <c r="D6" s="1">
        <v>13.9008</v>
      </c>
      <c r="E6" s="1">
        <v>8.6567600000000002</v>
      </c>
      <c r="F6" s="1">
        <v>0.2</v>
      </c>
      <c r="G6" s="1">
        <v>3.30667</v>
      </c>
      <c r="H6" s="1">
        <v>14.0214</v>
      </c>
      <c r="I6" s="1">
        <f t="shared" si="0"/>
        <v>8.6567600000000002</v>
      </c>
      <c r="J6" s="1">
        <v>0.2</v>
      </c>
      <c r="K6" s="1">
        <f t="shared" si="1"/>
        <v>3.30667</v>
      </c>
      <c r="L6" s="1">
        <v>12.4085</v>
      </c>
      <c r="M6" s="1">
        <v>6.7561200000000001</v>
      </c>
    </row>
    <row r="7" spans="2:13">
      <c r="B7" s="1">
        <v>0.3</v>
      </c>
      <c r="C7" s="1">
        <v>3.2261299999999999</v>
      </c>
      <c r="D7" s="1">
        <v>16.526900000000001</v>
      </c>
      <c r="E7" s="1">
        <v>9.0554699999999997</v>
      </c>
      <c r="F7" s="1">
        <v>0.3</v>
      </c>
      <c r="G7" s="1">
        <v>2.9275799999999998</v>
      </c>
      <c r="H7" s="1">
        <v>16.5275</v>
      </c>
      <c r="I7" s="1">
        <f t="shared" si="0"/>
        <v>9.0554699999999997</v>
      </c>
      <c r="J7" s="1">
        <v>0.3</v>
      </c>
      <c r="K7" s="1">
        <f t="shared" si="1"/>
        <v>2.9275799999999998</v>
      </c>
      <c r="L7" s="1">
        <v>16.426100000000002</v>
      </c>
      <c r="M7" s="1">
        <v>7.0605000000000002</v>
      </c>
    </row>
    <row r="8" spans="2:13">
      <c r="B8" s="1">
        <v>0.4</v>
      </c>
      <c r="C8" s="1">
        <v>3.2261299999999999</v>
      </c>
      <c r="D8" s="1">
        <v>16.526900000000001</v>
      </c>
      <c r="E8" s="1">
        <v>9.0554699999999997</v>
      </c>
      <c r="F8" s="1">
        <v>0.4</v>
      </c>
      <c r="G8" s="1">
        <v>2.9275799999999998</v>
      </c>
      <c r="H8" s="1">
        <v>16.5275</v>
      </c>
      <c r="I8" s="1">
        <f t="shared" si="0"/>
        <v>9.0554699999999997</v>
      </c>
      <c r="J8" s="1">
        <v>0.4</v>
      </c>
      <c r="K8" s="1">
        <f t="shared" si="1"/>
        <v>2.9275799999999998</v>
      </c>
      <c r="L8" s="1">
        <v>16.426100000000002</v>
      </c>
      <c r="M8" s="1">
        <v>7.0605000000000002</v>
      </c>
    </row>
    <row r="9" spans="2:13">
      <c r="B9" s="1">
        <v>0.5</v>
      </c>
      <c r="C9" s="1">
        <v>2.5855700000000001</v>
      </c>
      <c r="D9" s="1">
        <v>16.670000000000002</v>
      </c>
      <c r="E9" s="1">
        <v>8.6737699999999993</v>
      </c>
      <c r="F9" s="1">
        <v>0.5</v>
      </c>
      <c r="G9" s="1">
        <v>2.5855700000000001</v>
      </c>
      <c r="H9" s="1">
        <v>16.670000000000002</v>
      </c>
      <c r="I9" s="1">
        <f t="shared" si="0"/>
        <v>8.6737699999999993</v>
      </c>
      <c r="J9" s="1">
        <v>0.5</v>
      </c>
      <c r="K9" s="1">
        <f t="shared" si="1"/>
        <v>2.5855700000000001</v>
      </c>
      <c r="L9" s="1">
        <v>16.670000000000002</v>
      </c>
      <c r="M9" s="2">
        <v>6.7194000000000003</v>
      </c>
    </row>
    <row r="10" spans="2:13">
      <c r="B10" s="1">
        <v>0.6</v>
      </c>
      <c r="C10" s="1">
        <v>2.5855700000000001</v>
      </c>
      <c r="D10" s="1">
        <v>16.670000000000002</v>
      </c>
      <c r="E10" s="1">
        <v>8.6737699999999993</v>
      </c>
      <c r="F10" s="1">
        <v>0.6</v>
      </c>
      <c r="G10" s="1">
        <v>2.5855700000000001</v>
      </c>
      <c r="H10" s="1">
        <v>16.670000000000002</v>
      </c>
      <c r="I10" s="1">
        <f t="shared" si="0"/>
        <v>8.6737699999999993</v>
      </c>
      <c r="J10" s="1">
        <v>0.6</v>
      </c>
      <c r="K10" s="1">
        <f t="shared" si="1"/>
        <v>2.5855700000000001</v>
      </c>
      <c r="L10" s="1">
        <v>16.670000000000002</v>
      </c>
      <c r="M10" s="2">
        <v>6.7194000000000003</v>
      </c>
    </row>
    <row r="11" spans="2:13">
      <c r="B11" s="1">
        <v>0.7</v>
      </c>
      <c r="C11" s="1">
        <v>2.5855700000000001</v>
      </c>
      <c r="D11" s="1">
        <v>16.670000000000002</v>
      </c>
      <c r="E11" s="1">
        <v>8.6737699999999993</v>
      </c>
      <c r="F11" s="1">
        <v>0.7</v>
      </c>
      <c r="G11" s="1">
        <v>2.5855700000000001</v>
      </c>
      <c r="H11" s="1">
        <v>16.670000000000002</v>
      </c>
      <c r="I11" s="1">
        <f t="shared" si="0"/>
        <v>8.6737699999999993</v>
      </c>
      <c r="J11" s="1">
        <v>0.7</v>
      </c>
      <c r="K11" s="1">
        <f t="shared" si="1"/>
        <v>2.5855700000000001</v>
      </c>
      <c r="L11" s="1">
        <v>16.670000000000002</v>
      </c>
      <c r="M11" s="2">
        <v>6.7194000000000003</v>
      </c>
    </row>
    <row r="12" spans="2:13">
      <c r="B12" s="1">
        <v>0.8</v>
      </c>
      <c r="C12" s="1">
        <v>2.5855700000000001</v>
      </c>
      <c r="D12" s="1">
        <v>16.670000000000002</v>
      </c>
      <c r="E12" s="1">
        <v>8.6737699999999993</v>
      </c>
      <c r="F12" s="1">
        <v>0.8</v>
      </c>
      <c r="G12" s="1">
        <v>2.5855700000000001</v>
      </c>
      <c r="H12" s="1">
        <v>16.670000000000002</v>
      </c>
      <c r="I12" s="1">
        <f t="shared" si="0"/>
        <v>8.6737699999999993</v>
      </c>
      <c r="J12" s="1">
        <v>0.8</v>
      </c>
      <c r="K12" s="1">
        <f t="shared" si="1"/>
        <v>2.5855700000000001</v>
      </c>
      <c r="L12" s="1">
        <v>16.670000000000002</v>
      </c>
      <c r="M12" s="2">
        <v>6.7194000000000003</v>
      </c>
    </row>
    <row r="13" spans="2:13">
      <c r="B13" s="1">
        <v>0.9</v>
      </c>
      <c r="C13" s="1">
        <v>2.5855700000000001</v>
      </c>
      <c r="D13" s="1">
        <v>16.670000000000002</v>
      </c>
      <c r="E13" s="1">
        <v>8.6737699999999993</v>
      </c>
      <c r="F13" s="1">
        <v>0.9</v>
      </c>
      <c r="G13" s="1">
        <v>2.5855700000000001</v>
      </c>
      <c r="H13" s="1">
        <v>16.670000000000002</v>
      </c>
      <c r="I13" s="1">
        <f t="shared" si="0"/>
        <v>8.6737699999999993</v>
      </c>
      <c r="J13" s="1">
        <v>0.9</v>
      </c>
      <c r="K13" s="1">
        <f t="shared" si="1"/>
        <v>2.5855700000000001</v>
      </c>
      <c r="L13" s="1">
        <v>16.670000000000002</v>
      </c>
      <c r="M13" s="2">
        <v>6.7194000000000003</v>
      </c>
    </row>
    <row r="14" spans="2:13">
      <c r="B14" s="1">
        <v>1</v>
      </c>
      <c r="C14" s="1">
        <v>2.5855700000000001</v>
      </c>
      <c r="D14" s="1">
        <v>16.670000000000002</v>
      </c>
      <c r="E14" s="1">
        <v>8.6737699999999993</v>
      </c>
      <c r="F14" s="1">
        <v>1</v>
      </c>
      <c r="G14" s="1">
        <v>2.5855700000000001</v>
      </c>
      <c r="H14" s="1">
        <v>16.670000000000002</v>
      </c>
      <c r="I14" s="1">
        <f t="shared" si="0"/>
        <v>8.6737699999999993</v>
      </c>
      <c r="J14" s="1">
        <v>1</v>
      </c>
      <c r="K14" s="1">
        <f t="shared" si="1"/>
        <v>2.5855700000000001</v>
      </c>
      <c r="L14" s="1">
        <v>16.670000000000002</v>
      </c>
      <c r="M14" s="2">
        <v>6.7194000000000003</v>
      </c>
    </row>
    <row r="15" spans="2:1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>
      <c r="B17" s="1"/>
      <c r="C17" s="1" t="s">
        <v>9</v>
      </c>
      <c r="D17" s="1" t="s">
        <v>10</v>
      </c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>
      <c r="B20" s="1"/>
      <c r="C20" s="1" t="s">
        <v>11</v>
      </c>
      <c r="D20" s="1" t="s">
        <v>12</v>
      </c>
      <c r="E20" s="1" t="s">
        <v>13</v>
      </c>
      <c r="F20" s="1"/>
      <c r="G20" s="1" t="s">
        <v>14</v>
      </c>
      <c r="H20" s="1" t="s">
        <v>15</v>
      </c>
      <c r="I20" s="1" t="s">
        <v>13</v>
      </c>
      <c r="J20" s="1"/>
      <c r="K20" s="1" t="s">
        <v>16</v>
      </c>
      <c r="L20" s="1" t="s">
        <v>17</v>
      </c>
      <c r="M20" s="1"/>
    </row>
    <row r="21" spans="2:13">
      <c r="B21" s="1"/>
      <c r="C21" s="1">
        <v>-600</v>
      </c>
      <c r="D21" s="1"/>
      <c r="E21" s="1">
        <v>-600</v>
      </c>
      <c r="F21" s="1"/>
      <c r="G21" s="1">
        <v>-600</v>
      </c>
      <c r="H21" s="1"/>
      <c r="I21" s="1">
        <v>-600</v>
      </c>
      <c r="J21" s="1"/>
      <c r="K21" s="1"/>
      <c r="L21" s="1"/>
      <c r="M21" s="1"/>
    </row>
  </sheetData>
  <mergeCells count="3">
    <mergeCell ref="C2:E2"/>
    <mergeCell ref="G2:I2"/>
    <mergeCell ref="K2:M2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9CD1-A39C-BA43-B511-D1569E68A5A4}">
  <dimension ref="B2:M15"/>
  <sheetViews>
    <sheetView tabSelected="1" workbookViewId="0">
      <selection activeCell="J25" sqref="J25"/>
    </sheetView>
  </sheetViews>
  <sheetFormatPr baseColWidth="10" defaultRowHeight="20"/>
  <cols>
    <col min="3" max="5" width="12" customWidth="1"/>
    <col min="7" max="9" width="12.5703125" customWidth="1"/>
    <col min="11" max="13" width="12.42578125" customWidth="1"/>
  </cols>
  <sheetData>
    <row r="2" spans="2:13">
      <c r="B2" s="1"/>
      <c r="C2" s="3" t="s">
        <v>0</v>
      </c>
      <c r="D2" s="3"/>
      <c r="E2" s="3"/>
      <c r="F2" s="1"/>
      <c r="G2" s="3" t="s">
        <v>1</v>
      </c>
      <c r="H2" s="3"/>
      <c r="I2" s="3"/>
      <c r="J2" s="1"/>
      <c r="K2" s="3" t="s">
        <v>2</v>
      </c>
      <c r="L2" s="3"/>
      <c r="M2" s="3"/>
    </row>
    <row r="3" spans="2:13"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6</v>
      </c>
      <c r="J3" s="1" t="s">
        <v>3</v>
      </c>
      <c r="K3" s="1" t="s">
        <v>7</v>
      </c>
      <c r="L3" s="1" t="s">
        <v>8</v>
      </c>
      <c r="M3" s="1" t="s">
        <v>6</v>
      </c>
    </row>
    <row r="4" spans="2:13">
      <c r="B4" s="1">
        <v>0</v>
      </c>
      <c r="C4" s="1">
        <v>15.568</v>
      </c>
      <c r="D4" s="1">
        <v>16.134499999999999</v>
      </c>
      <c r="E4" s="1">
        <v>15.8689</v>
      </c>
      <c r="F4" s="1">
        <v>0</v>
      </c>
      <c r="G4" s="1">
        <v>14.295</v>
      </c>
      <c r="H4" s="1">
        <v>16.2746</v>
      </c>
      <c r="I4" s="1">
        <f>E4</f>
        <v>15.8689</v>
      </c>
      <c r="J4" s="1">
        <v>0</v>
      </c>
      <c r="K4" s="1">
        <f>G4</f>
        <v>14.295</v>
      </c>
      <c r="L4" s="1">
        <v>15.755100000000001</v>
      </c>
      <c r="M4" s="1">
        <v>15.193199999999999</v>
      </c>
    </row>
    <row r="5" spans="2:13">
      <c r="B5" s="1">
        <v>0.1</v>
      </c>
      <c r="C5" s="1">
        <v>15.568</v>
      </c>
      <c r="D5" s="1">
        <v>16.134499999999999</v>
      </c>
      <c r="E5" s="1">
        <v>15.8689</v>
      </c>
      <c r="F5" s="1">
        <v>0.1</v>
      </c>
      <c r="G5" s="1">
        <v>14.295</v>
      </c>
      <c r="H5" s="1">
        <v>16.2746</v>
      </c>
      <c r="I5" s="1">
        <f>E5</f>
        <v>15.8689</v>
      </c>
      <c r="J5" s="1">
        <v>0.1</v>
      </c>
      <c r="K5" s="1">
        <f t="shared" ref="K5:K14" si="0">G5</f>
        <v>14.295</v>
      </c>
      <c r="L5" s="1">
        <v>15.755100000000001</v>
      </c>
      <c r="M5" s="1">
        <v>15.193199999999999</v>
      </c>
    </row>
    <row r="6" spans="2:13">
      <c r="B6" s="1">
        <v>0.2</v>
      </c>
      <c r="C6" s="1">
        <v>15.568</v>
      </c>
      <c r="D6" s="1">
        <v>16.134499999999999</v>
      </c>
      <c r="E6" s="1">
        <v>15.8689</v>
      </c>
      <c r="F6" s="1">
        <v>0.2</v>
      </c>
      <c r="G6" s="1">
        <v>14.295</v>
      </c>
      <c r="H6" s="1">
        <v>16.2746</v>
      </c>
      <c r="I6" s="1">
        <f t="shared" ref="I5:I14" si="1">E6</f>
        <v>15.8689</v>
      </c>
      <c r="J6" s="1">
        <v>0.2</v>
      </c>
      <c r="K6" s="1">
        <f t="shared" si="0"/>
        <v>14.295</v>
      </c>
      <c r="L6" s="1">
        <v>15.755100000000001</v>
      </c>
      <c r="M6" s="1">
        <v>15.193199999999999</v>
      </c>
    </row>
    <row r="7" spans="2:13">
      <c r="B7" s="1">
        <v>0.3</v>
      </c>
      <c r="C7" s="1">
        <v>15.568</v>
      </c>
      <c r="D7" s="1">
        <v>16.134499999999999</v>
      </c>
      <c r="E7" s="1">
        <v>15.8689</v>
      </c>
      <c r="F7" s="1">
        <v>0.3</v>
      </c>
      <c r="G7" s="1">
        <v>14.295</v>
      </c>
      <c r="H7" s="1">
        <v>16.2746</v>
      </c>
      <c r="I7" s="1">
        <f t="shared" si="1"/>
        <v>15.8689</v>
      </c>
      <c r="J7" s="1">
        <v>0.3</v>
      </c>
      <c r="K7" s="1">
        <f t="shared" si="0"/>
        <v>14.295</v>
      </c>
      <c r="L7" s="1">
        <v>15.755100000000001</v>
      </c>
      <c r="M7" s="1">
        <v>15.193199999999999</v>
      </c>
    </row>
    <row r="8" spans="2:13">
      <c r="B8" s="1">
        <v>0.4</v>
      </c>
      <c r="C8" s="1">
        <v>15.568</v>
      </c>
      <c r="D8" s="1">
        <v>16.134499999999999</v>
      </c>
      <c r="E8" s="1">
        <v>15.8689</v>
      </c>
      <c r="F8" s="1">
        <v>0.4</v>
      </c>
      <c r="G8" s="1">
        <v>14.295</v>
      </c>
      <c r="H8" s="1">
        <v>16.2746</v>
      </c>
      <c r="I8" s="1">
        <f t="shared" si="1"/>
        <v>15.8689</v>
      </c>
      <c r="J8" s="1">
        <v>0.4</v>
      </c>
      <c r="K8" s="1">
        <f t="shared" si="0"/>
        <v>14.295</v>
      </c>
      <c r="L8" s="1">
        <v>15.755100000000001</v>
      </c>
      <c r="M8" s="1">
        <v>15.193199999999999</v>
      </c>
    </row>
    <row r="9" spans="2:13">
      <c r="B9" s="1">
        <v>0.5</v>
      </c>
      <c r="C9" s="1">
        <v>15.568</v>
      </c>
      <c r="D9" s="1">
        <v>16.134499999999999</v>
      </c>
      <c r="E9" s="1">
        <v>15.8689</v>
      </c>
      <c r="F9" s="1">
        <v>0.5</v>
      </c>
      <c r="G9" s="1">
        <v>14.295</v>
      </c>
      <c r="H9" s="1">
        <v>16.2746</v>
      </c>
      <c r="I9" s="1">
        <f t="shared" si="1"/>
        <v>15.8689</v>
      </c>
      <c r="J9" s="1">
        <v>0.5</v>
      </c>
      <c r="K9" s="1">
        <f t="shared" si="0"/>
        <v>14.295</v>
      </c>
      <c r="L9" s="1">
        <v>15.755100000000001</v>
      </c>
      <c r="M9" s="1">
        <v>15.193199999999999</v>
      </c>
    </row>
    <row r="10" spans="2:13">
      <c r="B10" s="1">
        <v>0.6</v>
      </c>
      <c r="C10" s="1">
        <v>14.7545</v>
      </c>
      <c r="D10" s="1">
        <v>16.391100000000002</v>
      </c>
      <c r="E10" s="1">
        <v>15.5953</v>
      </c>
      <c r="F10" s="1">
        <v>0.6</v>
      </c>
      <c r="G10" s="1">
        <v>13.4275</v>
      </c>
      <c r="H10" s="1">
        <v>16.2227</v>
      </c>
      <c r="I10" s="1">
        <f t="shared" si="1"/>
        <v>15.5953</v>
      </c>
      <c r="J10" s="1">
        <v>0.6</v>
      </c>
      <c r="K10" s="1">
        <f t="shared" si="0"/>
        <v>13.4275</v>
      </c>
      <c r="L10" s="1">
        <v>16.005800000000001</v>
      </c>
      <c r="M10" s="1">
        <v>14.919499999999999</v>
      </c>
    </row>
    <row r="11" spans="2:13">
      <c r="B11" s="1">
        <v>0.7</v>
      </c>
      <c r="C11" s="1">
        <v>13.255800000000001</v>
      </c>
      <c r="D11" s="1">
        <v>16.5778</v>
      </c>
      <c r="E11" s="1">
        <v>14.864100000000001</v>
      </c>
      <c r="F11" s="1">
        <v>0.7</v>
      </c>
      <c r="G11" s="1">
        <v>11.261900000000001</v>
      </c>
      <c r="H11" s="1">
        <v>16.081499999999998</v>
      </c>
      <c r="I11" s="1">
        <f t="shared" si="1"/>
        <v>14.864100000000001</v>
      </c>
      <c r="J11" s="1">
        <v>0.7</v>
      </c>
      <c r="K11" s="1">
        <f t="shared" si="0"/>
        <v>11.261900000000001</v>
      </c>
      <c r="L11" s="1">
        <v>16.197500000000002</v>
      </c>
      <c r="M11" s="1">
        <v>13.908300000000001</v>
      </c>
    </row>
    <row r="12" spans="2:13">
      <c r="B12" s="1">
        <v>0.8</v>
      </c>
      <c r="C12" s="1">
        <v>10.5008</v>
      </c>
      <c r="D12" s="1">
        <v>16.670000000000002</v>
      </c>
      <c r="E12" s="1">
        <v>13.1922</v>
      </c>
      <c r="F12" s="1">
        <v>0.8</v>
      </c>
      <c r="G12" s="1">
        <v>8.1544799999999995</v>
      </c>
      <c r="H12" s="1">
        <v>15.711</v>
      </c>
      <c r="I12" s="1">
        <f t="shared" si="1"/>
        <v>13.1922</v>
      </c>
      <c r="J12" s="1">
        <v>0.8</v>
      </c>
      <c r="K12" s="1">
        <f t="shared" si="0"/>
        <v>8.1544799999999995</v>
      </c>
      <c r="L12" s="1">
        <v>16.261099999999999</v>
      </c>
      <c r="M12" s="1">
        <v>11.665900000000001</v>
      </c>
    </row>
    <row r="13" spans="2:13">
      <c r="B13" s="1">
        <v>0.9</v>
      </c>
      <c r="C13" s="1">
        <v>10.5008</v>
      </c>
      <c r="D13" s="1">
        <v>16.670000000000002</v>
      </c>
      <c r="E13" s="1">
        <v>13.1922</v>
      </c>
      <c r="F13" s="1">
        <v>0.9</v>
      </c>
      <c r="G13" s="1">
        <v>8.1544799999999995</v>
      </c>
      <c r="H13" s="1">
        <v>15.711</v>
      </c>
      <c r="I13" s="1">
        <f t="shared" si="1"/>
        <v>13.1922</v>
      </c>
      <c r="J13" s="1">
        <v>0.9</v>
      </c>
      <c r="K13" s="1">
        <f t="shared" si="0"/>
        <v>8.1544799999999995</v>
      </c>
      <c r="L13" s="1">
        <v>16.261099999999999</v>
      </c>
      <c r="M13" s="1">
        <v>11.665900000000001</v>
      </c>
    </row>
    <row r="14" spans="2:13">
      <c r="B14" s="2">
        <v>1</v>
      </c>
      <c r="C14" s="1">
        <v>10.5008</v>
      </c>
      <c r="D14" s="1">
        <v>16.670000000000002</v>
      </c>
      <c r="E14" s="1">
        <v>13.1922</v>
      </c>
      <c r="F14" s="1">
        <v>1</v>
      </c>
      <c r="G14" s="1">
        <v>8.1544799999999995</v>
      </c>
      <c r="H14" s="1">
        <v>15.711</v>
      </c>
      <c r="I14" s="1">
        <f t="shared" si="1"/>
        <v>13.1922</v>
      </c>
      <c r="J14" s="1">
        <v>1</v>
      </c>
      <c r="K14" s="1">
        <f t="shared" si="0"/>
        <v>8.1544799999999995</v>
      </c>
      <c r="L14" s="1">
        <v>16.261099999999999</v>
      </c>
      <c r="M14" s="1">
        <v>11.665900000000001</v>
      </c>
    </row>
    <row r="15" spans="2:1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mergeCells count="3">
    <mergeCell ref="C2:E2"/>
    <mergeCell ref="G2:I2"/>
    <mergeCell ref="K2:M2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inflow3200</vt:lpstr>
      <vt:lpstr>inflow1000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2023-11-23T02:10:04Z</dcterms:created>
  <dcterms:modified xsi:type="dcterms:W3CDTF">2023-11-24T18:32:15Z</dcterms:modified>
</cp:coreProperties>
</file>