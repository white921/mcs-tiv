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5B659C5F-7528-EC4D-BFD6-2BA362182FF7}" xr6:coauthVersionLast="47" xr6:coauthVersionMax="47" xr10:uidLastSave="{00000000-0000-0000-0000-000000000000}"/>
  <bookViews>
    <workbookView xWindow="0" yWindow="500" windowWidth="28800" windowHeight="16480" activeTab="2" xr2:uid="{66FCFD36-06C8-C147-B312-AE7591FD4407}"/>
  </bookViews>
  <sheets>
    <sheet name="seed0" sheetId="1" r:id="rId1"/>
    <sheet name="αに対する平均速度の変化_seed1" sheetId="3" r:id="rId2"/>
    <sheet name="seed1" sheetId="2" r:id="rId3"/>
    <sheet name="seed10" sheetId="4" r:id="rId4"/>
    <sheet name="seed1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5" l="1"/>
  <c r="I14" i="5"/>
  <c r="K13" i="5"/>
  <c r="I13" i="5"/>
  <c r="K12" i="5"/>
  <c r="I12" i="5"/>
  <c r="K11" i="5"/>
  <c r="I11" i="5"/>
  <c r="K10" i="5"/>
  <c r="I10" i="5"/>
  <c r="K9" i="5"/>
  <c r="I9" i="5"/>
  <c r="K8" i="5"/>
  <c r="I8" i="5"/>
  <c r="K7" i="5"/>
  <c r="I7" i="5"/>
  <c r="K6" i="5"/>
  <c r="I6" i="5"/>
  <c r="K5" i="5"/>
  <c r="I5" i="5"/>
  <c r="K4" i="5"/>
  <c r="I4" i="5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K7" i="4"/>
  <c r="I7" i="4"/>
  <c r="K6" i="4"/>
  <c r="I6" i="4"/>
  <c r="K5" i="4"/>
  <c r="I5" i="4"/>
  <c r="K4" i="4"/>
  <c r="I4" i="4"/>
  <c r="G2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I5" i="1"/>
  <c r="I6" i="1"/>
  <c r="I7" i="1"/>
  <c r="I8" i="1"/>
  <c r="I9" i="1"/>
  <c r="I10" i="1"/>
  <c r="I11" i="1"/>
  <c r="I12" i="1"/>
  <c r="I13" i="1"/>
  <c r="I14" i="1"/>
  <c r="K5" i="1"/>
  <c r="K6" i="1"/>
  <c r="K7" i="1"/>
  <c r="K8" i="1"/>
  <c r="K9" i="1"/>
  <c r="K10" i="1"/>
  <c r="K11" i="1"/>
  <c r="K12" i="1"/>
  <c r="K13" i="1"/>
  <c r="K14" i="1"/>
  <c r="K4" i="1"/>
  <c r="I4" i="1"/>
</calcChain>
</file>

<file path=xl/sharedStrings.xml><?xml version="1.0" encoding="utf-8"?>
<sst xmlns="http://schemas.openxmlformats.org/spreadsheetml/2006/main" count="103" uniqueCount="23">
  <si>
    <t>α</t>
    <phoneticPr fontId="1"/>
  </si>
  <si>
    <t>lane_0</t>
    <phoneticPr fontId="1"/>
  </si>
  <si>
    <t>lane_1</t>
    <phoneticPr fontId="1"/>
  </si>
  <si>
    <t>all</t>
    <phoneticPr fontId="1"/>
  </si>
  <si>
    <t>CAV_0とCAV_1に着目, 全範囲で平均算出</t>
    <rPh sb="12" eb="14">
      <t>チャク</t>
    </rPh>
    <rPh sb="16" eb="19">
      <t>ゼンハn</t>
    </rPh>
    <rPh sb="20" eb="24">
      <t>ヘイキn</t>
    </rPh>
    <phoneticPr fontId="1"/>
  </si>
  <si>
    <t>lane_0(CAV_0)</t>
    <phoneticPr fontId="1"/>
  </si>
  <si>
    <t>lane_1(CAV_1)</t>
    <phoneticPr fontId="1"/>
  </si>
  <si>
    <t>走行車線に着目, 合流前のみで平均算出</t>
    <rPh sb="0" eb="4">
      <t>ソウコウシャセンニチャク</t>
    </rPh>
    <rPh sb="9" eb="12">
      <t>ゴウリュウ</t>
    </rPh>
    <rPh sb="15" eb="19">
      <t>ヘイキn</t>
    </rPh>
    <phoneticPr fontId="1"/>
  </si>
  <si>
    <t>走行車線に着目, 全範囲で平均算出</t>
    <rPh sb="0" eb="4">
      <t>ソウコウシャセn</t>
    </rPh>
    <rPh sb="5" eb="6">
      <t>📲</t>
    </rPh>
    <rPh sb="9" eb="12">
      <t>ゼンハn</t>
    </rPh>
    <rPh sb="13" eb="17">
      <t>ヘイキn</t>
    </rPh>
    <phoneticPr fontId="1"/>
  </si>
  <si>
    <t>grep CAV_0</t>
    <phoneticPr fontId="1"/>
  </si>
  <si>
    <t>grep CAV_1</t>
    <phoneticPr fontId="1"/>
  </si>
  <si>
    <t>cat</t>
    <phoneticPr fontId="1"/>
  </si>
  <si>
    <t>grep main_0</t>
    <phoneticPr fontId="1"/>
  </si>
  <si>
    <t>grep main_1</t>
    <phoneticPr fontId="1"/>
  </si>
  <si>
    <t>grep main_0 + -v</t>
    <phoneticPr fontId="1"/>
  </si>
  <si>
    <t>grep main_1 + -v</t>
    <phoneticPr fontId="1"/>
  </si>
  <si>
    <t>macの0.6とPCの0.5が全く一致</t>
    <rPh sb="15" eb="16">
      <t>マッタ</t>
    </rPh>
    <phoneticPr fontId="1"/>
  </si>
  <si>
    <t>vehicle0</t>
    <phoneticPr fontId="1"/>
  </si>
  <si>
    <t>vehicle1</t>
    <phoneticPr fontId="1"/>
  </si>
  <si>
    <t>追突が起きていることを確認</t>
    <rPh sb="0" eb="2">
      <t>ツイトテゥ</t>
    </rPh>
    <rPh sb="3" eb="4">
      <t>オキ</t>
    </rPh>
    <rPh sb="11" eb="13">
      <t>カクニn</t>
    </rPh>
    <phoneticPr fontId="1"/>
  </si>
  <si>
    <t>　→進入速度が16.67で固定されていることが原因の１つ？</t>
    <rPh sb="2" eb="6">
      <t>シンニュウ</t>
    </rPh>
    <rPh sb="23" eb="25">
      <t>ゲンイn</t>
    </rPh>
    <phoneticPr fontId="1"/>
  </si>
  <si>
    <t>inflow=3000</t>
    <phoneticPr fontId="1"/>
  </si>
  <si>
    <t>inflowを増やすとcav_0の方が結果は良くなった（ただし両レーンとも詰まっている）</t>
    <rPh sb="7" eb="8">
      <t>フヤス</t>
    </rPh>
    <rPh sb="19" eb="21">
      <t>ケッカ</t>
    </rPh>
    <rPh sb="31" eb="32">
      <t>リョウ</t>
    </rPh>
    <rPh sb="37" eb="38">
      <t>ツマッテ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</si>
</sst>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seed0!$C$3</c:f>
              <c:strCache>
                <c:ptCount val="1"/>
                <c:pt idx="0">
                  <c:v>lane_0(CAV_0)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seed0!$C$4:$C$14</c:f>
              <c:numCache>
                <c:formatCode>General</c:formatCode>
                <c:ptCount val="11"/>
                <c:pt idx="0">
                  <c:v>10.4953</c:v>
                </c:pt>
                <c:pt idx="1">
                  <c:v>10.4748</c:v>
                </c:pt>
                <c:pt idx="2">
                  <c:v>9.5300499999999992</c:v>
                </c:pt>
                <c:pt idx="3">
                  <c:v>8.7259499999999992</c:v>
                </c:pt>
                <c:pt idx="4">
                  <c:v>7.3722000000000003</c:v>
                </c:pt>
                <c:pt idx="5">
                  <c:v>5.9238999999999997</c:v>
                </c:pt>
                <c:pt idx="6">
                  <c:v>5.9238999999999997</c:v>
                </c:pt>
                <c:pt idx="7">
                  <c:v>5.9238999999999997</c:v>
                </c:pt>
                <c:pt idx="8">
                  <c:v>5.9238999999999997</c:v>
                </c:pt>
                <c:pt idx="9">
                  <c:v>5.9238999999999997</c:v>
                </c:pt>
                <c:pt idx="10">
                  <c:v>5.9238999999999997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5-8C4E-879D-C6FAA7BC354C}"/>
            </c:ext>
          </c:extLst>
        </c:ser>
        <c:ser>
          <c:idx val="1"/>
          <c:order val="1"/>
          <c:tx>
            <c:strRef>
              <c:f>seed0!$D$3</c:f>
              <c:strCache>
                <c:ptCount val="1"/>
                <c:pt idx="0">
                  <c:v>lane_1(CAV_1)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seed0!$D$4:$D$14</c:f>
              <c:numCache>
                <c:formatCode>General</c:formatCode>
                <c:ptCount val="11"/>
                <c:pt idx="0">
                  <c:v>13.2158</c:v>
                </c:pt>
                <c:pt idx="1">
                  <c:v>13.2714</c:v>
                </c:pt>
                <c:pt idx="2">
                  <c:v>14.951000000000001</c:v>
                </c:pt>
                <c:pt idx="3">
                  <c:v>16.239100000000001</c:v>
                </c:pt>
                <c:pt idx="4">
                  <c:v>16.568300000000001</c:v>
                </c:pt>
                <c:pt idx="5">
                  <c:v>16.591799999999999</c:v>
                </c:pt>
                <c:pt idx="6">
                  <c:v>16.591799999999999</c:v>
                </c:pt>
                <c:pt idx="7">
                  <c:v>16.591799999999999</c:v>
                </c:pt>
                <c:pt idx="8">
                  <c:v>16.591799999999999</c:v>
                </c:pt>
                <c:pt idx="9">
                  <c:v>16.591799999999999</c:v>
                </c:pt>
                <c:pt idx="10">
                  <c:v>16.591799999999999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05-8C4E-879D-C6FAA7BC354C}"/>
            </c:ext>
          </c:extLst>
        </c:ser>
        <c:ser>
          <c:idx val="2"/>
          <c:order val="2"/>
          <c:tx>
            <c:strRef>
              <c:f>seed0!$E$3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seed0!$B$4:$B$14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seed0!$E$4:$E$14</c:f>
              <c:numCache>
                <c:formatCode>General</c:formatCode>
                <c:ptCount val="11"/>
                <c:pt idx="0">
                  <c:v>11.724</c:v>
                </c:pt>
                <c:pt idx="1">
                  <c:v>11.7378</c:v>
                </c:pt>
                <c:pt idx="2">
                  <c:v>11.9338</c:v>
                </c:pt>
                <c:pt idx="3">
                  <c:v>11.8736</c:v>
                </c:pt>
                <c:pt idx="4">
                  <c:v>11.127000000000001</c:v>
                </c:pt>
                <c:pt idx="5">
                  <c:v>9.9753000000000007</c:v>
                </c:pt>
                <c:pt idx="6">
                  <c:v>9.9753000000000007</c:v>
                </c:pt>
                <c:pt idx="7">
                  <c:v>9.9753000000000007</c:v>
                </c:pt>
                <c:pt idx="8">
                  <c:v>9.9753000000000007</c:v>
                </c:pt>
                <c:pt idx="9">
                  <c:v>9.9753000000000007</c:v>
                </c:pt>
                <c:pt idx="10">
                  <c:v>9.9753000000000007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05-8C4E-879D-C6FAA7BC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17008"/>
        <c:axId val="1425298239"/>
      </c:scatterChart>
      <c:valAx>
        <c:axId val="5942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5298239"/>
        <c:crosses val="autoZero"/>
        <c:crossBetween val="midCat"/>
      </c:valAx>
      <c:valAx>
        <c:axId val="14252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421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9973379887438"/>
          <c:y val="7.1275391161130949E-2"/>
          <c:w val="0.84245063044458657"/>
          <c:h val="0.744575069768505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seed1!$C$3</c:f>
              <c:strCache>
                <c:ptCount val="1"/>
                <c:pt idx="0">
                  <c:v>vehicle0</c:v>
                </c:pt>
              </c:strCache>
            </c:strRef>
          </c:tx>
          <c:spPr>
            <a:ln w="44450" cap="rnd">
              <a:solidFill>
                <a:srgbClr val="FF7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F00"/>
              </a:solidFill>
              <a:ln w="50800">
                <a:solidFill>
                  <a:srgbClr val="FF7F00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seed1!$C$4:$C$14</c:f>
              <c:numCache>
                <c:formatCode>General</c:formatCode>
                <c:ptCount val="11"/>
                <c:pt idx="0">
                  <c:v>10.221</c:v>
                </c:pt>
                <c:pt idx="1">
                  <c:v>9.2790599999999994</c:v>
                </c:pt>
                <c:pt idx="2">
                  <c:v>10.5298</c:v>
                </c:pt>
                <c:pt idx="3">
                  <c:v>8.5843399999999992</c:v>
                </c:pt>
                <c:pt idx="4">
                  <c:v>7.09138</c:v>
                </c:pt>
                <c:pt idx="5">
                  <c:v>5.9270500000000004</c:v>
                </c:pt>
                <c:pt idx="6">
                  <c:v>5.9270500000000004</c:v>
                </c:pt>
                <c:pt idx="7">
                  <c:v>5.9270500000000004</c:v>
                </c:pt>
                <c:pt idx="8">
                  <c:v>5.9270500000000004</c:v>
                </c:pt>
                <c:pt idx="9">
                  <c:v>5.9270500000000004</c:v>
                </c:pt>
                <c:pt idx="10">
                  <c:v>5.9270500000000004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A-EF47-9FB5-9081B5C74AEA}"/>
            </c:ext>
          </c:extLst>
        </c:ser>
        <c:ser>
          <c:idx val="1"/>
          <c:order val="1"/>
          <c:tx>
            <c:strRef>
              <c:f>seed1!$D$3</c:f>
              <c:strCache>
                <c:ptCount val="1"/>
                <c:pt idx="0">
                  <c:v>vehicle1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57150">
                <a:solidFill>
                  <a:srgbClr val="00B050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seed1!$D$4:$D$14</c:f>
              <c:numCache>
                <c:formatCode>General</c:formatCode>
                <c:ptCount val="11"/>
                <c:pt idx="0">
                  <c:v>12.0291</c:v>
                </c:pt>
                <c:pt idx="1">
                  <c:v>13.5411</c:v>
                </c:pt>
                <c:pt idx="2">
                  <c:v>13.7658</c:v>
                </c:pt>
                <c:pt idx="3">
                  <c:v>15.456099999999999</c:v>
                </c:pt>
                <c:pt idx="4">
                  <c:v>16.254899999999999</c:v>
                </c:pt>
                <c:pt idx="5">
                  <c:v>16.581</c:v>
                </c:pt>
                <c:pt idx="6">
                  <c:v>16.581</c:v>
                </c:pt>
                <c:pt idx="7">
                  <c:v>16.581</c:v>
                </c:pt>
                <c:pt idx="8">
                  <c:v>16.581</c:v>
                </c:pt>
                <c:pt idx="9">
                  <c:v>16.581</c:v>
                </c:pt>
                <c:pt idx="10">
                  <c:v>16.581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A-EF47-9FB5-9081B5C74AEA}"/>
            </c:ext>
          </c:extLst>
        </c:ser>
        <c:ser>
          <c:idx val="2"/>
          <c:order val="2"/>
          <c:tx>
            <c:strRef>
              <c:f>seed1!$E$3</c:f>
              <c:strCache>
                <c:ptCount val="1"/>
                <c:pt idx="0">
                  <c:v>all</c:v>
                </c:pt>
              </c:strCache>
            </c:strRef>
          </c:tx>
          <c:spPr>
            <a:ln w="444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seed1!$E$4:$E$14</c:f>
              <c:numCache>
                <c:formatCode>General</c:formatCode>
                <c:ptCount val="11"/>
                <c:pt idx="0">
                  <c:v>11.082100000000001</c:v>
                </c:pt>
                <c:pt idx="1">
                  <c:v>11.232100000000001</c:v>
                </c:pt>
                <c:pt idx="2">
                  <c:v>12.063700000000001</c:v>
                </c:pt>
                <c:pt idx="3">
                  <c:v>11.5923</c:v>
                </c:pt>
                <c:pt idx="4">
                  <c:v>10.945399999999999</c:v>
                </c:pt>
                <c:pt idx="5">
                  <c:v>10.194000000000001</c:v>
                </c:pt>
                <c:pt idx="6">
                  <c:v>10.194000000000001</c:v>
                </c:pt>
                <c:pt idx="7">
                  <c:v>10.194000000000001</c:v>
                </c:pt>
                <c:pt idx="8">
                  <c:v>10.194000000000001</c:v>
                </c:pt>
                <c:pt idx="9">
                  <c:v>10.194000000000001</c:v>
                </c:pt>
                <c:pt idx="10">
                  <c:v>10.194000000000001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A-EF47-9FB5-9081B5C74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6379183"/>
        <c:axId val="1425345087"/>
      </c:scatterChart>
      <c:valAx>
        <c:axId val="1036379183"/>
        <c:scaling>
          <c:orientation val="minMax"/>
          <c:max val="1.0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800"/>
                  <a:t>α</a:t>
                </a:r>
                <a:endParaRPr lang="ja-JP" altLang="en-US" sz="2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25345087"/>
        <c:crosses val="autoZero"/>
        <c:crossBetween val="midCat"/>
      </c:valAx>
      <c:valAx>
        <c:axId val="1425345087"/>
        <c:scaling>
          <c:orientation val="minMax"/>
          <c:max val="18"/>
          <c:min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400"/>
                  <a:t>average_speed [m/s]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6379183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l"/>
      <c:layout>
        <c:manualLayout>
          <c:xMode val="edge"/>
          <c:yMode val="edge"/>
          <c:x val="0.13506139154160982"/>
          <c:y val="0.62696092643231305"/>
          <c:w val="0.22679410469325714"/>
          <c:h val="0.17704049023160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2814129483814525"/>
          <c:h val="0.74871099445902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seed1!$C$3</c:f>
              <c:strCache>
                <c:ptCount val="1"/>
                <c:pt idx="0">
                  <c:v>vehicle0</c:v>
                </c:pt>
              </c:strCache>
            </c:strRef>
          </c:tx>
          <c:spPr>
            <a:ln w="19050" cap="rnd">
              <a:solidFill>
                <a:srgbClr val="FF7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F00"/>
              </a:solidFill>
              <a:ln w="9525">
                <a:solidFill>
                  <a:srgbClr val="FF7F00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seed1!$C$4:$C$14</c:f>
              <c:numCache>
                <c:formatCode>General</c:formatCode>
                <c:ptCount val="11"/>
                <c:pt idx="0">
                  <c:v>10.221</c:v>
                </c:pt>
                <c:pt idx="1">
                  <c:v>9.2790599999999994</c:v>
                </c:pt>
                <c:pt idx="2">
                  <c:v>10.5298</c:v>
                </c:pt>
                <c:pt idx="3">
                  <c:v>8.5843399999999992</c:v>
                </c:pt>
                <c:pt idx="4">
                  <c:v>7.09138</c:v>
                </c:pt>
                <c:pt idx="5">
                  <c:v>5.9270500000000004</c:v>
                </c:pt>
                <c:pt idx="6">
                  <c:v>5.9270500000000004</c:v>
                </c:pt>
                <c:pt idx="7">
                  <c:v>5.9270500000000004</c:v>
                </c:pt>
                <c:pt idx="8">
                  <c:v>5.9270500000000004</c:v>
                </c:pt>
                <c:pt idx="9">
                  <c:v>5.9270500000000004</c:v>
                </c:pt>
                <c:pt idx="10">
                  <c:v>5.9270500000000004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1-5649-842B-B7E759EBB915}"/>
            </c:ext>
          </c:extLst>
        </c:ser>
        <c:ser>
          <c:idx val="1"/>
          <c:order val="1"/>
          <c:tx>
            <c:strRef>
              <c:f>seed1!$D$3</c:f>
              <c:strCache>
                <c:ptCount val="1"/>
                <c:pt idx="0">
                  <c:v>vehicle1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seed1!$D$4:$D$14</c:f>
              <c:numCache>
                <c:formatCode>General</c:formatCode>
                <c:ptCount val="11"/>
                <c:pt idx="0">
                  <c:v>12.0291</c:v>
                </c:pt>
                <c:pt idx="1">
                  <c:v>13.5411</c:v>
                </c:pt>
                <c:pt idx="2">
                  <c:v>13.7658</c:v>
                </c:pt>
                <c:pt idx="3">
                  <c:v>15.456099999999999</c:v>
                </c:pt>
                <c:pt idx="4">
                  <c:v>16.254899999999999</c:v>
                </c:pt>
                <c:pt idx="5">
                  <c:v>16.581</c:v>
                </c:pt>
                <c:pt idx="6">
                  <c:v>16.581</c:v>
                </c:pt>
                <c:pt idx="7">
                  <c:v>16.581</c:v>
                </c:pt>
                <c:pt idx="8">
                  <c:v>16.581</c:v>
                </c:pt>
                <c:pt idx="9">
                  <c:v>16.581</c:v>
                </c:pt>
                <c:pt idx="10">
                  <c:v>16.581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1-5649-842B-B7E759EBB915}"/>
            </c:ext>
          </c:extLst>
        </c:ser>
        <c:ser>
          <c:idx val="2"/>
          <c:order val="2"/>
          <c:tx>
            <c:strRef>
              <c:f>seed1!$E$3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seed1!$B$4:$B$14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seed1!$E$4:$E$14</c:f>
              <c:numCache>
                <c:formatCode>General</c:formatCode>
                <c:ptCount val="11"/>
                <c:pt idx="0">
                  <c:v>11.082100000000001</c:v>
                </c:pt>
                <c:pt idx="1">
                  <c:v>11.232100000000001</c:v>
                </c:pt>
                <c:pt idx="2">
                  <c:v>12.063700000000001</c:v>
                </c:pt>
                <c:pt idx="3">
                  <c:v>11.5923</c:v>
                </c:pt>
                <c:pt idx="4">
                  <c:v>10.945399999999999</c:v>
                </c:pt>
                <c:pt idx="5">
                  <c:v>10.194000000000001</c:v>
                </c:pt>
                <c:pt idx="6">
                  <c:v>10.194000000000001</c:v>
                </c:pt>
                <c:pt idx="7">
                  <c:v>10.194000000000001</c:v>
                </c:pt>
                <c:pt idx="8">
                  <c:v>10.194000000000001</c:v>
                </c:pt>
                <c:pt idx="9">
                  <c:v>10.194000000000001</c:v>
                </c:pt>
                <c:pt idx="10">
                  <c:v>10.194000000000001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C1-5649-842B-B7E759EBB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142703"/>
        <c:axId val="1252782303"/>
      </c:scatterChart>
      <c:valAx>
        <c:axId val="1276142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2782303"/>
        <c:crosses val="autoZero"/>
        <c:crossBetween val="midCat"/>
      </c:valAx>
      <c:valAx>
        <c:axId val="12527823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6142703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454374453193355"/>
          <c:y val="0.6024300087489064"/>
          <c:w val="0.26702340332458441"/>
          <c:h val="0.1799773986585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3762729658792656"/>
          <c:h val="0.75797025371828508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seed1!$G$3</c:f>
              <c:strCache>
                <c:ptCount val="1"/>
                <c:pt idx="0">
                  <c:v>lane_0</c:v>
                </c:pt>
              </c:strCache>
            </c:strRef>
          </c:tx>
          <c:spPr>
            <a:ln w="19050" cap="rnd">
              <a:solidFill>
                <a:srgbClr val="FF7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F00"/>
              </a:solidFill>
              <a:ln w="9525">
                <a:solidFill>
                  <a:srgbClr val="FF7F00"/>
                </a:solidFill>
              </a:ln>
              <a:effectLst/>
            </c:spPr>
          </c:marker>
          <c:xVal>
            <c:numRef>
              <c:f>seed1!$F$4:$F$14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seed1!$G$4:$G$14</c:f>
              <c:numCache>
                <c:formatCode>General</c:formatCode>
                <c:ptCount val="11"/>
                <c:pt idx="0">
                  <c:v>8.9235600000000002</c:v>
                </c:pt>
                <c:pt idx="1">
                  <c:v>7.9113199999999999</c:v>
                </c:pt>
                <c:pt idx="2">
                  <c:v>8.8802599999999998</c:v>
                </c:pt>
                <c:pt idx="3">
                  <c:v>7.1189400000000003</c:v>
                </c:pt>
                <c:pt idx="4">
                  <c:v>5.79758</c:v>
                </c:pt>
                <c:pt idx="5">
                  <c:v>5.1187100000000001</c:v>
                </c:pt>
                <c:pt idx="6">
                  <c:v>5.1187100000000001</c:v>
                </c:pt>
                <c:pt idx="7">
                  <c:v>5.1187100000000001</c:v>
                </c:pt>
                <c:pt idx="8">
                  <c:v>5.1187100000000001</c:v>
                </c:pt>
                <c:pt idx="9">
                  <c:v>5.1187100000000001</c:v>
                </c:pt>
                <c:pt idx="10">
                  <c:v>5.1187100000000001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44-5C4E-831E-E8F6DE7FCA15}"/>
            </c:ext>
          </c:extLst>
        </c:ser>
        <c:ser>
          <c:idx val="1"/>
          <c:order val="1"/>
          <c:tx>
            <c:strRef>
              <c:f>seed1!$H$3</c:f>
              <c:strCache>
                <c:ptCount val="1"/>
                <c:pt idx="0">
                  <c:v>lane_1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seed1!$F$4:$F$14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seed1!$H$4:$H$14</c:f>
              <c:numCache>
                <c:formatCode>General</c:formatCode>
                <c:ptCount val="11"/>
                <c:pt idx="0">
                  <c:v>12.334899999999999</c:v>
                </c:pt>
                <c:pt idx="1">
                  <c:v>13.5343</c:v>
                </c:pt>
                <c:pt idx="2">
                  <c:v>13.942</c:v>
                </c:pt>
                <c:pt idx="3">
                  <c:v>15.170400000000001</c:v>
                </c:pt>
                <c:pt idx="4">
                  <c:v>16.103000000000002</c:v>
                </c:pt>
                <c:pt idx="5">
                  <c:v>16.1752</c:v>
                </c:pt>
                <c:pt idx="6">
                  <c:v>16.1752</c:v>
                </c:pt>
                <c:pt idx="7">
                  <c:v>16.1752</c:v>
                </c:pt>
                <c:pt idx="8">
                  <c:v>16.1752</c:v>
                </c:pt>
                <c:pt idx="9">
                  <c:v>16.1752</c:v>
                </c:pt>
                <c:pt idx="10">
                  <c:v>16.1752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44-5C4E-831E-E8F6DE7FCA15}"/>
            </c:ext>
          </c:extLst>
        </c:ser>
        <c:ser>
          <c:idx val="2"/>
          <c:order val="2"/>
          <c:tx>
            <c:strRef>
              <c:f>seed1!$I$3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seed1!$F$4:$F$14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seed1!$I$4:$I$14</c:f>
              <c:numCache>
                <c:formatCode>General</c:formatCode>
                <c:ptCount val="11"/>
                <c:pt idx="0">
                  <c:v>11.082100000000001</c:v>
                </c:pt>
                <c:pt idx="1">
                  <c:v>11.232100000000001</c:v>
                </c:pt>
                <c:pt idx="2">
                  <c:v>12.063700000000001</c:v>
                </c:pt>
                <c:pt idx="3">
                  <c:v>11.5923</c:v>
                </c:pt>
                <c:pt idx="4">
                  <c:v>10.945399999999999</c:v>
                </c:pt>
                <c:pt idx="5">
                  <c:v>10.194000000000001</c:v>
                </c:pt>
                <c:pt idx="6">
                  <c:v>10.194000000000001</c:v>
                </c:pt>
                <c:pt idx="7">
                  <c:v>10.194000000000001</c:v>
                </c:pt>
                <c:pt idx="8">
                  <c:v>10.194000000000001</c:v>
                </c:pt>
                <c:pt idx="9">
                  <c:v>10.194000000000001</c:v>
                </c:pt>
                <c:pt idx="10">
                  <c:v>10.194000000000001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44-5C4E-831E-E8F6DE7F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5328"/>
        <c:axId val="1036248303"/>
      </c:scatterChart>
      <c:valAx>
        <c:axId val="181353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2808202099737533"/>
              <c:y val="0.8375918635170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6248303"/>
        <c:crosses val="autoZero"/>
        <c:crossBetween val="midCat"/>
      </c:valAx>
      <c:valAx>
        <c:axId val="10362483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35328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2183070866141748E-2"/>
          <c:y val="0.57002260134149885"/>
          <c:w val="0.27396719160104988"/>
          <c:h val="0.20312554680664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3762729658792656"/>
          <c:h val="0.748710994459026"/>
        </c:manualLayout>
      </c:layout>
      <c:scatterChart>
        <c:scatterStyle val="lineMarker"/>
        <c:varyColors val="0"/>
        <c:ser>
          <c:idx val="0"/>
          <c:order val="0"/>
          <c:tx>
            <c:strRef>
              <c:f>seed1!$K$3</c:f>
              <c:strCache>
                <c:ptCount val="1"/>
                <c:pt idx="0">
                  <c:v>lane_0</c:v>
                </c:pt>
              </c:strCache>
            </c:strRef>
          </c:tx>
          <c:spPr>
            <a:ln w="19050" cap="rnd">
              <a:solidFill>
                <a:srgbClr val="FF7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7F00"/>
              </a:solidFill>
              <a:ln w="9525">
                <a:solidFill>
                  <a:srgbClr val="FF7F00"/>
                </a:solidFill>
              </a:ln>
              <a:effectLst/>
            </c:spPr>
          </c:marker>
          <c:xVal>
            <c:numRef>
              <c:f>seed1!$J$4:$J$14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seed1!$K$4:$K$14</c:f>
              <c:numCache>
                <c:formatCode>General</c:formatCode>
                <c:ptCount val="11"/>
                <c:pt idx="0">
                  <c:v>8.9235600000000002</c:v>
                </c:pt>
                <c:pt idx="1">
                  <c:v>7.9113199999999999</c:v>
                </c:pt>
                <c:pt idx="2">
                  <c:v>8.8802599999999998</c:v>
                </c:pt>
                <c:pt idx="3">
                  <c:v>7.1189400000000003</c:v>
                </c:pt>
                <c:pt idx="4">
                  <c:v>5.79758</c:v>
                </c:pt>
                <c:pt idx="5">
                  <c:v>5.1187100000000001</c:v>
                </c:pt>
                <c:pt idx="6">
                  <c:v>5.1187100000000001</c:v>
                </c:pt>
                <c:pt idx="7">
                  <c:v>5.1187100000000001</c:v>
                </c:pt>
                <c:pt idx="8">
                  <c:v>5.1187100000000001</c:v>
                </c:pt>
                <c:pt idx="9">
                  <c:v>5.1187100000000001</c:v>
                </c:pt>
                <c:pt idx="10">
                  <c:v>5.1187100000000001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8-2143-8133-DD63850852B8}"/>
            </c:ext>
          </c:extLst>
        </c:ser>
        <c:ser>
          <c:idx val="1"/>
          <c:order val="1"/>
          <c:tx>
            <c:strRef>
              <c:f>seed1!$L$3</c:f>
              <c:strCache>
                <c:ptCount val="1"/>
                <c:pt idx="0">
                  <c:v>lane_1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seed1!$J$4:$J$14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seed1!$L$4:$L$14</c:f>
              <c:numCache>
                <c:formatCode>General</c:formatCode>
                <c:ptCount val="11"/>
                <c:pt idx="0">
                  <c:v>10.7776</c:v>
                </c:pt>
                <c:pt idx="1">
                  <c:v>12.380599999999999</c:v>
                </c:pt>
                <c:pt idx="2">
                  <c:v>12.5502</c:v>
                </c:pt>
                <c:pt idx="3">
                  <c:v>14.9047</c:v>
                </c:pt>
                <c:pt idx="4">
                  <c:v>15.8727</c:v>
                </c:pt>
                <c:pt idx="5">
                  <c:v>16.340399999999999</c:v>
                </c:pt>
                <c:pt idx="6">
                  <c:v>16.340399999999999</c:v>
                </c:pt>
                <c:pt idx="7">
                  <c:v>16.340399999999999</c:v>
                </c:pt>
                <c:pt idx="8">
                  <c:v>16.340399999999999</c:v>
                </c:pt>
                <c:pt idx="9">
                  <c:v>16.340399999999999</c:v>
                </c:pt>
                <c:pt idx="10">
                  <c:v>16.340399999999999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8-2143-8133-DD63850852B8}"/>
            </c:ext>
          </c:extLst>
        </c:ser>
        <c:ser>
          <c:idx val="2"/>
          <c:order val="2"/>
          <c:tx>
            <c:strRef>
              <c:f>seed1!$M$3</c:f>
              <c:strCache>
                <c:ptCount val="1"/>
                <c:pt idx="0">
                  <c:v>all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seed1!$J$4:$J$14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seed1!$M$4:$M$14</c:f>
              <c:numCache>
                <c:formatCode>General</c:formatCode>
                <c:ptCount val="11"/>
                <c:pt idx="0">
                  <c:v>9.81386</c:v>
                </c:pt>
                <c:pt idx="1">
                  <c:v>9.8137000000000008</c:v>
                </c:pt>
                <c:pt idx="2">
                  <c:v>10.559200000000001</c:v>
                </c:pt>
                <c:pt idx="3">
                  <c:v>10.034000000000001</c:v>
                </c:pt>
                <c:pt idx="4">
                  <c:v>9.1291899999999995</c:v>
                </c:pt>
                <c:pt idx="5">
                  <c:v>8.4222599999999996</c:v>
                </c:pt>
                <c:pt idx="6">
                  <c:v>8.4222599999999996</c:v>
                </c:pt>
                <c:pt idx="7">
                  <c:v>8.4222599999999996</c:v>
                </c:pt>
                <c:pt idx="8">
                  <c:v>8.4222599999999996</c:v>
                </c:pt>
                <c:pt idx="9">
                  <c:v>8.4222599999999996</c:v>
                </c:pt>
                <c:pt idx="10">
                  <c:v>8.4222599999999996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A8-2143-8133-DD6385085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43183"/>
        <c:axId val="18088448"/>
      </c:scatterChart>
      <c:valAx>
        <c:axId val="122294318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2808202099737533"/>
              <c:y val="0.85611038203557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88448"/>
        <c:crosses val="autoZero"/>
        <c:crossBetween val="midCat"/>
      </c:valAx>
      <c:valAx>
        <c:axId val="180884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2943183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940529308836394"/>
          <c:y val="0.57002260134149896"/>
          <c:w val="0.21007830271216099"/>
          <c:h val="0.203125546806649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2A26C7-1D2F-C54B-807A-92FB1DCEA01C}">
  <sheetPr/>
  <sheetViews>
    <sheetView workbookViewId="0"/>
  </sheetViews>
  <pageMargins left="0.7" right="0.7" top="0.75" bottom="0.75" header="0.3" footer="0.3"/>
  <pageSetup paperSize="9"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</xdr:colOff>
      <xdr:row>11</xdr:row>
      <xdr:rowOff>6350</xdr:rowOff>
    </xdr:from>
    <xdr:to>
      <xdr:col>9</xdr:col>
      <xdr:colOff>1092200</xdr:colOff>
      <xdr:row>21</xdr:row>
      <xdr:rowOff>209550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456ED52-D401-9B5F-A236-8F62EE1C7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F1E4B64-31A2-C184-0885-FE6E20903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18</xdr:row>
      <xdr:rowOff>6350</xdr:rowOff>
    </xdr:from>
    <xdr:to>
      <xdr:col>5</xdr:col>
      <xdr:colOff>546100</xdr:colOff>
      <xdr:row>28</xdr:row>
      <xdr:rowOff>209550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7763BD4-EDF3-D00D-B529-37EDF065E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831850</xdr:colOff>
      <xdr:row>18</xdr:row>
      <xdr:rowOff>6350</xdr:rowOff>
    </xdr:from>
    <xdr:to>
      <xdr:col>9</xdr:col>
      <xdr:colOff>527050</xdr:colOff>
      <xdr:row>28</xdr:row>
      <xdr:rowOff>209550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C3DAAAB-C728-0E1D-F88B-7DD6DD659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1111250</xdr:colOff>
      <xdr:row>18</xdr:row>
      <xdr:rowOff>44450</xdr:rowOff>
    </xdr:from>
    <xdr:to>
      <xdr:col>13</xdr:col>
      <xdr:colOff>806450</xdr:colOff>
      <xdr:row>28</xdr:row>
      <xdr:rowOff>247650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7216FDE-71BF-56E2-6462-FA366B4CD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495D-D6F4-FB4C-B0FF-BF6CFF956B4E}">
  <dimension ref="B2:O21"/>
  <sheetViews>
    <sheetView workbookViewId="0">
      <selection activeCell="B3" sqref="B3:E14"/>
    </sheetView>
  </sheetViews>
  <sheetFormatPr baseColWidth="10" defaultRowHeight="20"/>
  <cols>
    <col min="3" max="13" width="13.28515625" customWidth="1"/>
  </cols>
  <sheetData>
    <row r="2" spans="2:15">
      <c r="C2" s="2" t="s">
        <v>4</v>
      </c>
      <c r="D2" s="2"/>
      <c r="E2" s="2"/>
      <c r="G2" s="2" t="s">
        <v>8</v>
      </c>
      <c r="H2" s="2"/>
      <c r="I2" s="2"/>
      <c r="K2" s="2" t="s">
        <v>7</v>
      </c>
      <c r="L2" s="2"/>
      <c r="M2" s="2"/>
    </row>
    <row r="3" spans="2:15">
      <c r="B3" t="s">
        <v>0</v>
      </c>
      <c r="C3" t="s">
        <v>5</v>
      </c>
      <c r="D3" t="s">
        <v>6</v>
      </c>
      <c r="E3" t="s">
        <v>3</v>
      </c>
      <c r="F3" t="s">
        <v>0</v>
      </c>
      <c r="G3" t="s">
        <v>1</v>
      </c>
      <c r="H3" t="s">
        <v>2</v>
      </c>
      <c r="I3" t="s">
        <v>3</v>
      </c>
      <c r="J3" t="s">
        <v>0</v>
      </c>
      <c r="K3" t="s">
        <v>1</v>
      </c>
      <c r="L3" t="s">
        <v>2</v>
      </c>
      <c r="M3" t="s">
        <v>3</v>
      </c>
    </row>
    <row r="4" spans="2:15">
      <c r="B4">
        <v>0</v>
      </c>
      <c r="C4">
        <v>10.4953</v>
      </c>
      <c r="D4">
        <v>13.2158</v>
      </c>
      <c r="E4">
        <v>11.724</v>
      </c>
      <c r="F4">
        <v>0</v>
      </c>
      <c r="G4">
        <v>9.2207000000000008</v>
      </c>
      <c r="H4">
        <v>13.2043</v>
      </c>
      <c r="I4">
        <f>E4</f>
        <v>11.724</v>
      </c>
      <c r="J4">
        <v>0</v>
      </c>
      <c r="K4">
        <f>G4</f>
        <v>9.2207000000000008</v>
      </c>
      <c r="L4">
        <v>12.2293</v>
      </c>
      <c r="M4">
        <v>10.5776</v>
      </c>
    </row>
    <row r="5" spans="2:15">
      <c r="B5">
        <v>0.1</v>
      </c>
      <c r="C5">
        <v>10.4748</v>
      </c>
      <c r="D5">
        <v>13.2714</v>
      </c>
      <c r="E5">
        <v>11.7378</v>
      </c>
      <c r="F5">
        <v>0.1</v>
      </c>
      <c r="G5">
        <v>9.1854099999999992</v>
      </c>
      <c r="H5">
        <v>13.2498</v>
      </c>
      <c r="I5">
        <f t="shared" ref="I5:I14" si="0">E5</f>
        <v>11.7378</v>
      </c>
      <c r="J5">
        <v>0.1</v>
      </c>
      <c r="K5">
        <f t="shared" ref="K5:K14" si="1">G5</f>
        <v>9.1854099999999992</v>
      </c>
      <c r="L5">
        <v>12.321899999999999</v>
      </c>
      <c r="M5">
        <v>10.598000000000001</v>
      </c>
    </row>
    <row r="6" spans="2:15">
      <c r="B6">
        <v>0.2</v>
      </c>
      <c r="C6">
        <v>9.5300499999999992</v>
      </c>
      <c r="D6">
        <v>14.951000000000001</v>
      </c>
      <c r="E6">
        <v>11.9338</v>
      </c>
      <c r="F6">
        <v>0.2</v>
      </c>
      <c r="G6">
        <v>8.1174099999999996</v>
      </c>
      <c r="H6">
        <v>14.6228</v>
      </c>
      <c r="I6">
        <f t="shared" si="0"/>
        <v>11.9338</v>
      </c>
      <c r="J6">
        <v>0.2</v>
      </c>
      <c r="K6">
        <f t="shared" si="1"/>
        <v>8.1174099999999996</v>
      </c>
      <c r="L6">
        <v>14.341100000000001</v>
      </c>
      <c r="M6">
        <v>10.5848</v>
      </c>
    </row>
    <row r="7" spans="2:15">
      <c r="B7">
        <v>0.3</v>
      </c>
      <c r="C7">
        <v>8.7259499999999992</v>
      </c>
      <c r="D7">
        <v>16.239100000000001</v>
      </c>
      <c r="E7">
        <v>11.8736</v>
      </c>
      <c r="F7">
        <v>0.3</v>
      </c>
      <c r="G7">
        <v>7.2339000000000002</v>
      </c>
      <c r="H7">
        <v>15.790800000000001</v>
      </c>
      <c r="I7">
        <f t="shared" si="0"/>
        <v>11.8736</v>
      </c>
      <c r="J7">
        <v>0.3</v>
      </c>
      <c r="K7">
        <f t="shared" si="1"/>
        <v>7.2339000000000002</v>
      </c>
      <c r="L7">
        <v>15.8109</v>
      </c>
      <c r="M7">
        <v>10.301</v>
      </c>
    </row>
    <row r="8" spans="2:15">
      <c r="B8">
        <v>0.4</v>
      </c>
      <c r="C8">
        <v>7.3722000000000003</v>
      </c>
      <c r="D8">
        <v>16.568300000000001</v>
      </c>
      <c r="E8">
        <v>11.127000000000001</v>
      </c>
      <c r="F8">
        <v>0.4</v>
      </c>
      <c r="G8">
        <v>6.01952</v>
      </c>
      <c r="H8">
        <v>16.3704</v>
      </c>
      <c r="I8">
        <f t="shared" si="0"/>
        <v>11.127000000000001</v>
      </c>
      <c r="J8">
        <v>0.4</v>
      </c>
      <c r="K8">
        <f t="shared" si="1"/>
        <v>6.01952</v>
      </c>
      <c r="L8">
        <v>16.405100000000001</v>
      </c>
      <c r="M8">
        <v>9.3782399999999999</v>
      </c>
    </row>
    <row r="9" spans="2:15">
      <c r="B9">
        <v>0.5</v>
      </c>
      <c r="C9">
        <v>5.9238999999999997</v>
      </c>
      <c r="D9">
        <v>16.591799999999999</v>
      </c>
      <c r="E9">
        <v>9.9753000000000007</v>
      </c>
      <c r="F9">
        <v>0.5</v>
      </c>
      <c r="G9">
        <v>4.8964499999999997</v>
      </c>
      <c r="H9">
        <v>16.257000000000001</v>
      </c>
      <c r="I9">
        <f t="shared" si="0"/>
        <v>9.9753000000000007</v>
      </c>
      <c r="J9">
        <v>0.5</v>
      </c>
      <c r="K9">
        <f t="shared" si="1"/>
        <v>4.8964499999999997</v>
      </c>
      <c r="L9">
        <v>16.192799999999998</v>
      </c>
      <c r="M9">
        <v>8.2176799999999997</v>
      </c>
      <c r="O9" t="s">
        <v>16</v>
      </c>
    </row>
    <row r="10" spans="2:15">
      <c r="B10">
        <v>0.6</v>
      </c>
      <c r="C10">
        <v>5.9238999999999997</v>
      </c>
      <c r="D10">
        <v>16.591799999999999</v>
      </c>
      <c r="E10">
        <v>9.9753000000000007</v>
      </c>
      <c r="F10">
        <v>0.6</v>
      </c>
      <c r="G10">
        <v>4.8964499999999997</v>
      </c>
      <c r="H10">
        <v>16.257000000000001</v>
      </c>
      <c r="I10">
        <f t="shared" si="0"/>
        <v>9.9753000000000007</v>
      </c>
      <c r="J10">
        <v>0.6</v>
      </c>
      <c r="K10">
        <f t="shared" si="1"/>
        <v>4.8964499999999997</v>
      </c>
      <c r="L10">
        <v>16.192799999999998</v>
      </c>
      <c r="M10">
        <v>8.2176799999999997</v>
      </c>
    </row>
    <row r="11" spans="2:15">
      <c r="B11">
        <v>0.7</v>
      </c>
      <c r="C11">
        <v>5.9238999999999997</v>
      </c>
      <c r="D11">
        <v>16.591799999999999</v>
      </c>
      <c r="E11">
        <v>9.9753000000000007</v>
      </c>
      <c r="F11">
        <v>0.7</v>
      </c>
      <c r="G11">
        <v>4.8964499999999997</v>
      </c>
      <c r="H11">
        <v>16.257000000000001</v>
      </c>
      <c r="I11">
        <f t="shared" si="0"/>
        <v>9.9753000000000007</v>
      </c>
      <c r="J11">
        <v>0.7</v>
      </c>
      <c r="K11">
        <f t="shared" si="1"/>
        <v>4.8964499999999997</v>
      </c>
      <c r="L11">
        <v>16.192799999999998</v>
      </c>
      <c r="M11">
        <v>8.2176799999999997</v>
      </c>
    </row>
    <row r="12" spans="2:15">
      <c r="B12">
        <v>0.8</v>
      </c>
      <c r="C12">
        <v>5.9238999999999997</v>
      </c>
      <c r="D12">
        <v>16.591799999999999</v>
      </c>
      <c r="E12">
        <v>9.9753000000000007</v>
      </c>
      <c r="F12">
        <v>0.8</v>
      </c>
      <c r="G12">
        <v>4.8964499999999997</v>
      </c>
      <c r="H12">
        <v>16.257000000000001</v>
      </c>
      <c r="I12">
        <f t="shared" si="0"/>
        <v>9.9753000000000007</v>
      </c>
      <c r="J12">
        <v>0.8</v>
      </c>
      <c r="K12">
        <f t="shared" si="1"/>
        <v>4.8964499999999997</v>
      </c>
      <c r="L12">
        <v>16.192799999999998</v>
      </c>
      <c r="M12">
        <v>8.2176799999999997</v>
      </c>
    </row>
    <row r="13" spans="2:15">
      <c r="B13">
        <v>0.9</v>
      </c>
      <c r="C13">
        <v>5.9238999999999997</v>
      </c>
      <c r="D13">
        <v>16.591799999999999</v>
      </c>
      <c r="E13">
        <v>9.9753000000000007</v>
      </c>
      <c r="F13">
        <v>0.9</v>
      </c>
      <c r="G13">
        <v>4.8964499999999997</v>
      </c>
      <c r="H13">
        <v>16.257000000000001</v>
      </c>
      <c r="I13">
        <f t="shared" si="0"/>
        <v>9.9753000000000007</v>
      </c>
      <c r="J13">
        <v>0.9</v>
      </c>
      <c r="K13">
        <f t="shared" si="1"/>
        <v>4.8964499999999997</v>
      </c>
      <c r="L13">
        <v>16.192799999999998</v>
      </c>
      <c r="M13">
        <v>8.2176799999999997</v>
      </c>
    </row>
    <row r="14" spans="2:15">
      <c r="B14">
        <v>1</v>
      </c>
      <c r="C14">
        <v>5.9238999999999997</v>
      </c>
      <c r="D14">
        <v>16.591799999999999</v>
      </c>
      <c r="E14">
        <v>9.9753000000000007</v>
      </c>
      <c r="F14">
        <v>1</v>
      </c>
      <c r="G14">
        <v>4.8964499999999997</v>
      </c>
      <c r="H14">
        <v>16.257000000000001</v>
      </c>
      <c r="I14">
        <f t="shared" si="0"/>
        <v>9.9753000000000007</v>
      </c>
      <c r="J14">
        <v>1</v>
      </c>
      <c r="K14">
        <f t="shared" si="1"/>
        <v>4.8964499999999997</v>
      </c>
      <c r="L14">
        <v>16.192799999999998</v>
      </c>
      <c r="M14">
        <v>8.2176799999999997</v>
      </c>
    </row>
    <row r="20" spans="3:12">
      <c r="C20" t="s">
        <v>9</v>
      </c>
      <c r="D20" t="s">
        <v>10</v>
      </c>
      <c r="E20" t="s">
        <v>11</v>
      </c>
      <c r="G20" t="s">
        <v>12</v>
      </c>
      <c r="H20" t="s">
        <v>13</v>
      </c>
      <c r="I20" t="s">
        <v>11</v>
      </c>
      <c r="K20" t="s">
        <v>14</v>
      </c>
      <c r="L20" t="s">
        <v>15</v>
      </c>
    </row>
    <row r="21" spans="3:12">
      <c r="C21">
        <v>-600</v>
      </c>
      <c r="E21">
        <v>-600</v>
      </c>
      <c r="G21">
        <v>-600</v>
      </c>
      <c r="I21">
        <v>-600</v>
      </c>
    </row>
  </sheetData>
  <mergeCells count="3">
    <mergeCell ref="C2:E2"/>
    <mergeCell ref="G2:I2"/>
    <mergeCell ref="K2:M2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153F-BB8A-AF47-AD10-72859ECF1C22}">
  <dimension ref="B2:O32"/>
  <sheetViews>
    <sheetView tabSelected="1" workbookViewId="0">
      <selection activeCell="O33" sqref="O33"/>
    </sheetView>
  </sheetViews>
  <sheetFormatPr baseColWidth="10" defaultRowHeight="20"/>
  <cols>
    <col min="3" max="13" width="13.7109375" customWidth="1"/>
  </cols>
  <sheetData>
    <row r="2" spans="2:13">
      <c r="C2" s="2" t="s">
        <v>4</v>
      </c>
      <c r="D2" s="2"/>
      <c r="E2" s="2"/>
      <c r="G2" s="2" t="s">
        <v>8</v>
      </c>
      <c r="H2" s="2"/>
      <c r="I2" s="2"/>
      <c r="K2" s="2" t="s">
        <v>7</v>
      </c>
      <c r="L2" s="2"/>
      <c r="M2" s="2"/>
    </row>
    <row r="3" spans="2:13">
      <c r="B3" t="s">
        <v>0</v>
      </c>
      <c r="C3" t="s">
        <v>17</v>
      </c>
      <c r="D3" t="s">
        <v>18</v>
      </c>
      <c r="E3" t="s">
        <v>3</v>
      </c>
      <c r="F3" t="s">
        <v>0</v>
      </c>
      <c r="G3" t="s">
        <v>1</v>
      </c>
      <c r="H3" t="s">
        <v>2</v>
      </c>
      <c r="I3" t="s">
        <v>3</v>
      </c>
      <c r="J3" t="s">
        <v>0</v>
      </c>
      <c r="K3" t="s">
        <v>1</v>
      </c>
      <c r="L3" t="s">
        <v>2</v>
      </c>
      <c r="M3" t="s">
        <v>3</v>
      </c>
    </row>
    <row r="4" spans="2:13">
      <c r="B4">
        <v>0</v>
      </c>
      <c r="C4">
        <v>10.221</v>
      </c>
      <c r="D4">
        <v>12.0291</v>
      </c>
      <c r="E4">
        <v>11.082100000000001</v>
      </c>
      <c r="F4">
        <v>0</v>
      </c>
      <c r="G4">
        <v>8.9235600000000002</v>
      </c>
      <c r="H4">
        <v>12.334899999999999</v>
      </c>
      <c r="I4">
        <f>E4</f>
        <v>11.082100000000001</v>
      </c>
      <c r="J4">
        <v>0</v>
      </c>
      <c r="K4">
        <f>G4</f>
        <v>8.9235600000000002</v>
      </c>
      <c r="L4">
        <v>10.7776</v>
      </c>
      <c r="M4">
        <v>9.81386</v>
      </c>
    </row>
    <row r="5" spans="2:13">
      <c r="B5">
        <v>0.1</v>
      </c>
      <c r="C5">
        <v>9.2790599999999994</v>
      </c>
      <c r="D5">
        <v>13.5411</v>
      </c>
      <c r="E5">
        <v>11.232100000000001</v>
      </c>
      <c r="F5">
        <v>0.1</v>
      </c>
      <c r="G5">
        <v>7.9113199999999999</v>
      </c>
      <c r="H5">
        <v>13.5343</v>
      </c>
      <c r="I5">
        <f t="shared" ref="I5:I14" si="0">E5</f>
        <v>11.232100000000001</v>
      </c>
      <c r="J5">
        <v>0.1</v>
      </c>
      <c r="K5">
        <f t="shared" ref="K5:K14" si="1">G5</f>
        <v>7.9113199999999999</v>
      </c>
      <c r="L5">
        <v>12.380599999999999</v>
      </c>
      <c r="M5">
        <v>9.8137000000000008</v>
      </c>
    </row>
    <row r="6" spans="2:13">
      <c r="B6">
        <v>0.2</v>
      </c>
      <c r="C6">
        <v>10.5298</v>
      </c>
      <c r="D6">
        <v>13.7658</v>
      </c>
      <c r="E6">
        <v>12.063700000000001</v>
      </c>
      <c r="F6">
        <v>0.2</v>
      </c>
      <c r="G6">
        <v>8.8802599999999998</v>
      </c>
      <c r="H6">
        <v>13.942</v>
      </c>
      <c r="I6">
        <f t="shared" si="0"/>
        <v>12.063700000000001</v>
      </c>
      <c r="J6">
        <v>0.2</v>
      </c>
      <c r="K6">
        <f t="shared" si="1"/>
        <v>8.8802599999999998</v>
      </c>
      <c r="L6">
        <v>12.5502</v>
      </c>
      <c r="M6">
        <v>10.559200000000001</v>
      </c>
    </row>
    <row r="7" spans="2:13">
      <c r="B7">
        <v>0.3</v>
      </c>
      <c r="C7">
        <v>8.5843399999999992</v>
      </c>
      <c r="D7">
        <v>15.456099999999999</v>
      </c>
      <c r="E7">
        <v>11.5923</v>
      </c>
      <c r="F7">
        <v>0.3</v>
      </c>
      <c r="G7">
        <v>7.1189400000000003</v>
      </c>
      <c r="H7">
        <v>15.170400000000001</v>
      </c>
      <c r="I7">
        <f t="shared" si="0"/>
        <v>11.5923</v>
      </c>
      <c r="J7">
        <v>0.3</v>
      </c>
      <c r="K7">
        <f t="shared" si="1"/>
        <v>7.1189400000000003</v>
      </c>
      <c r="L7">
        <v>14.9047</v>
      </c>
      <c r="M7">
        <v>10.034000000000001</v>
      </c>
    </row>
    <row r="8" spans="2:13">
      <c r="B8">
        <v>0.4</v>
      </c>
      <c r="C8">
        <v>7.09138</v>
      </c>
      <c r="D8">
        <v>16.254899999999999</v>
      </c>
      <c r="E8">
        <v>10.945399999999999</v>
      </c>
      <c r="F8">
        <v>0.4</v>
      </c>
      <c r="G8">
        <v>5.79758</v>
      </c>
      <c r="H8">
        <v>16.103000000000002</v>
      </c>
      <c r="I8">
        <f t="shared" si="0"/>
        <v>10.945399999999999</v>
      </c>
      <c r="J8">
        <v>0.4</v>
      </c>
      <c r="K8">
        <f t="shared" si="1"/>
        <v>5.79758</v>
      </c>
      <c r="L8">
        <v>15.8727</v>
      </c>
      <c r="M8">
        <v>9.1291899999999995</v>
      </c>
    </row>
    <row r="9" spans="2:13">
      <c r="B9">
        <v>0.5</v>
      </c>
      <c r="C9">
        <v>5.9270500000000004</v>
      </c>
      <c r="D9">
        <v>16.581</v>
      </c>
      <c r="E9">
        <v>10.194000000000001</v>
      </c>
      <c r="F9">
        <v>0.5</v>
      </c>
      <c r="G9">
        <v>5.1187100000000001</v>
      </c>
      <c r="H9">
        <v>16.1752</v>
      </c>
      <c r="I9">
        <f t="shared" si="0"/>
        <v>10.194000000000001</v>
      </c>
      <c r="J9">
        <v>0.5</v>
      </c>
      <c r="K9">
        <f t="shared" si="1"/>
        <v>5.1187100000000001</v>
      </c>
      <c r="L9">
        <v>16.340399999999999</v>
      </c>
      <c r="M9">
        <v>8.4222599999999996</v>
      </c>
    </row>
    <row r="10" spans="2:13">
      <c r="B10">
        <v>0.6</v>
      </c>
      <c r="C10">
        <v>5.9270500000000004</v>
      </c>
      <c r="D10">
        <v>16.581</v>
      </c>
      <c r="E10">
        <v>10.194000000000001</v>
      </c>
      <c r="F10">
        <v>0.6</v>
      </c>
      <c r="G10">
        <v>5.1187100000000001</v>
      </c>
      <c r="H10">
        <v>16.1752</v>
      </c>
      <c r="I10">
        <f t="shared" si="0"/>
        <v>10.194000000000001</v>
      </c>
      <c r="J10">
        <v>0.6</v>
      </c>
      <c r="K10">
        <f t="shared" si="1"/>
        <v>5.1187100000000001</v>
      </c>
      <c r="L10">
        <v>16.340399999999999</v>
      </c>
      <c r="M10">
        <v>8.4222599999999996</v>
      </c>
    </row>
    <row r="11" spans="2:13">
      <c r="B11">
        <v>0.7</v>
      </c>
      <c r="C11">
        <v>5.9270500000000004</v>
      </c>
      <c r="D11">
        <v>16.581</v>
      </c>
      <c r="E11">
        <v>10.194000000000001</v>
      </c>
      <c r="F11">
        <v>0.7</v>
      </c>
      <c r="G11">
        <v>5.1187100000000001</v>
      </c>
      <c r="H11">
        <v>16.1752</v>
      </c>
      <c r="I11">
        <f t="shared" si="0"/>
        <v>10.194000000000001</v>
      </c>
      <c r="J11">
        <v>0.7</v>
      </c>
      <c r="K11">
        <f t="shared" si="1"/>
        <v>5.1187100000000001</v>
      </c>
      <c r="L11">
        <v>16.340399999999999</v>
      </c>
      <c r="M11">
        <v>8.4222599999999996</v>
      </c>
    </row>
    <row r="12" spans="2:13">
      <c r="B12">
        <v>0.8</v>
      </c>
      <c r="C12">
        <v>5.9270500000000004</v>
      </c>
      <c r="D12">
        <v>16.581</v>
      </c>
      <c r="E12">
        <v>10.194000000000001</v>
      </c>
      <c r="F12">
        <v>0.8</v>
      </c>
      <c r="G12">
        <v>5.1187100000000001</v>
      </c>
      <c r="H12">
        <v>16.1752</v>
      </c>
      <c r="I12">
        <f t="shared" si="0"/>
        <v>10.194000000000001</v>
      </c>
      <c r="J12">
        <v>0.8</v>
      </c>
      <c r="K12">
        <f t="shared" si="1"/>
        <v>5.1187100000000001</v>
      </c>
      <c r="L12">
        <v>16.340399999999999</v>
      </c>
      <c r="M12">
        <v>8.4222599999999996</v>
      </c>
    </row>
    <row r="13" spans="2:13">
      <c r="B13">
        <v>0.9</v>
      </c>
      <c r="C13">
        <v>5.9270500000000004</v>
      </c>
      <c r="D13">
        <v>16.581</v>
      </c>
      <c r="E13">
        <v>10.194000000000001</v>
      </c>
      <c r="F13">
        <v>0.9</v>
      </c>
      <c r="G13">
        <v>5.1187100000000001</v>
      </c>
      <c r="H13">
        <v>16.1752</v>
      </c>
      <c r="I13">
        <f t="shared" si="0"/>
        <v>10.194000000000001</v>
      </c>
      <c r="J13">
        <v>0.9</v>
      </c>
      <c r="K13">
        <f t="shared" si="1"/>
        <v>5.1187100000000001</v>
      </c>
      <c r="L13">
        <v>16.340399999999999</v>
      </c>
      <c r="M13">
        <v>8.4222599999999996</v>
      </c>
    </row>
    <row r="14" spans="2:13">
      <c r="B14">
        <v>1</v>
      </c>
      <c r="C14">
        <v>5.9270500000000004</v>
      </c>
      <c r="D14">
        <v>16.581</v>
      </c>
      <c r="E14">
        <v>10.194000000000001</v>
      </c>
      <c r="F14">
        <v>1</v>
      </c>
      <c r="G14">
        <v>5.1187100000000001</v>
      </c>
      <c r="H14">
        <v>16.1752</v>
      </c>
      <c r="I14">
        <f t="shared" si="0"/>
        <v>10.194000000000001</v>
      </c>
      <c r="J14">
        <v>1</v>
      </c>
      <c r="K14">
        <f t="shared" si="1"/>
        <v>5.1187100000000001</v>
      </c>
      <c r="L14">
        <v>16.340399999999999</v>
      </c>
      <c r="M14">
        <v>8.4222599999999996</v>
      </c>
    </row>
    <row r="17" spans="2:15">
      <c r="C17" t="s">
        <v>5</v>
      </c>
      <c r="D17" t="s">
        <v>6</v>
      </c>
    </row>
    <row r="20" spans="2:15">
      <c r="C20" t="s">
        <v>9</v>
      </c>
      <c r="D20" t="s">
        <v>10</v>
      </c>
      <c r="E20" t="s">
        <v>11</v>
      </c>
      <c r="G20" t="s">
        <v>12</v>
      </c>
      <c r="H20" t="s">
        <v>13</v>
      </c>
      <c r="I20" t="s">
        <v>11</v>
      </c>
      <c r="K20" t="s">
        <v>14</v>
      </c>
      <c r="L20" t="s">
        <v>15</v>
      </c>
    </row>
    <row r="21" spans="2:15">
      <c r="C21">
        <v>-600</v>
      </c>
      <c r="E21">
        <v>-600</v>
      </c>
      <c r="G21">
        <v>-600</v>
      </c>
      <c r="I21">
        <v>-600</v>
      </c>
    </row>
    <row r="25" spans="2:15">
      <c r="G25" s="1">
        <f ca="1">45246-TODAY()</f>
        <v>-6</v>
      </c>
    </row>
    <row r="31" spans="2:15">
      <c r="B31" t="s">
        <v>21</v>
      </c>
    </row>
    <row r="32" spans="2:15">
      <c r="B32">
        <v>0</v>
      </c>
      <c r="C32">
        <v>8.6998999999999995</v>
      </c>
      <c r="D32">
        <v>6.8459599999999998</v>
      </c>
      <c r="E32">
        <v>7.6550500000000001</v>
      </c>
      <c r="G32">
        <v>6.8579600000000003</v>
      </c>
      <c r="H32">
        <v>8.0798799999999993</v>
      </c>
      <c r="I32">
        <v>7.6550500000000001</v>
      </c>
      <c r="K32">
        <v>6.8579600000000003</v>
      </c>
      <c r="L32">
        <v>6.01675</v>
      </c>
      <c r="M32">
        <v>6.3639799999999997</v>
      </c>
      <c r="O32" t="s">
        <v>22</v>
      </c>
    </row>
  </sheetData>
  <mergeCells count="3">
    <mergeCell ref="C2:E2"/>
    <mergeCell ref="G2:I2"/>
    <mergeCell ref="K2:M2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FA7E-7310-B74C-AC61-AC01492858E3}">
  <dimension ref="B2:Q21"/>
  <sheetViews>
    <sheetView topLeftCell="B1" workbookViewId="0">
      <selection activeCell="Q8" sqref="Q8"/>
    </sheetView>
  </sheetViews>
  <sheetFormatPr baseColWidth="10" defaultRowHeight="20"/>
  <cols>
    <col min="3" max="5" width="12.5703125" customWidth="1"/>
    <col min="7" max="9" width="12.5703125" customWidth="1"/>
    <col min="11" max="13" width="12.42578125" customWidth="1"/>
  </cols>
  <sheetData>
    <row r="2" spans="2:17">
      <c r="C2" s="2" t="s">
        <v>4</v>
      </c>
      <c r="D2" s="2"/>
      <c r="E2" s="2"/>
      <c r="G2" s="2" t="s">
        <v>8</v>
      </c>
      <c r="H2" s="2"/>
      <c r="I2" s="2"/>
      <c r="K2" s="2" t="s">
        <v>7</v>
      </c>
      <c r="L2" s="2"/>
      <c r="M2" s="2"/>
    </row>
    <row r="3" spans="2:17">
      <c r="B3" t="s">
        <v>0</v>
      </c>
      <c r="C3" t="s">
        <v>17</v>
      </c>
      <c r="D3" t="s">
        <v>18</v>
      </c>
      <c r="E3" t="s">
        <v>3</v>
      </c>
      <c r="F3" t="s">
        <v>0</v>
      </c>
      <c r="G3" t="s">
        <v>1</v>
      </c>
      <c r="H3" t="s">
        <v>2</v>
      </c>
      <c r="I3" t="s">
        <v>3</v>
      </c>
      <c r="J3" t="s">
        <v>0</v>
      </c>
      <c r="K3" t="s">
        <v>1</v>
      </c>
      <c r="L3" t="s">
        <v>2</v>
      </c>
      <c r="M3" t="s">
        <v>3</v>
      </c>
    </row>
    <row r="4" spans="2:17">
      <c r="B4">
        <v>0</v>
      </c>
      <c r="F4">
        <v>0</v>
      </c>
      <c r="I4">
        <f>E4</f>
        <v>0</v>
      </c>
      <c r="J4">
        <v>0</v>
      </c>
      <c r="K4">
        <f>G4</f>
        <v>0</v>
      </c>
    </row>
    <row r="5" spans="2:17">
      <c r="B5">
        <v>0.1</v>
      </c>
      <c r="F5">
        <v>0.1</v>
      </c>
      <c r="I5">
        <f t="shared" ref="I5:I14" si="0">E5</f>
        <v>0</v>
      </c>
      <c r="J5">
        <v>0.1</v>
      </c>
      <c r="K5">
        <f t="shared" ref="K5:K14" si="1">G5</f>
        <v>0</v>
      </c>
    </row>
    <row r="6" spans="2:17">
      <c r="B6">
        <v>0.2</v>
      </c>
      <c r="F6">
        <v>0.2</v>
      </c>
      <c r="I6">
        <f t="shared" si="0"/>
        <v>0</v>
      </c>
      <c r="J6">
        <v>0.2</v>
      </c>
      <c r="K6">
        <f t="shared" si="1"/>
        <v>0</v>
      </c>
    </row>
    <row r="7" spans="2:17">
      <c r="B7">
        <v>0.3</v>
      </c>
      <c r="C7">
        <v>8.3020700000000005</v>
      </c>
      <c r="D7">
        <v>16.067599999999999</v>
      </c>
      <c r="E7">
        <v>11.5063</v>
      </c>
      <c r="F7">
        <v>0.3</v>
      </c>
      <c r="G7">
        <v>6.5146300000000004</v>
      </c>
      <c r="H7">
        <v>15.988899999999999</v>
      </c>
      <c r="I7">
        <f t="shared" si="0"/>
        <v>11.5063</v>
      </c>
      <c r="J7">
        <v>0.3</v>
      </c>
      <c r="K7">
        <f t="shared" si="1"/>
        <v>6.5146300000000004</v>
      </c>
      <c r="L7">
        <v>15.7364</v>
      </c>
      <c r="M7">
        <v>9.6815899999999999</v>
      </c>
      <c r="O7" t="s">
        <v>19</v>
      </c>
      <c r="Q7" t="s">
        <v>20</v>
      </c>
    </row>
    <row r="8" spans="2:17">
      <c r="B8">
        <v>0.4</v>
      </c>
      <c r="C8">
        <v>7.9727100000000002</v>
      </c>
      <c r="D8">
        <v>15.7042</v>
      </c>
      <c r="E8">
        <v>11.213900000000001</v>
      </c>
      <c r="F8">
        <v>0.4</v>
      </c>
      <c r="G8">
        <v>6.30288</v>
      </c>
      <c r="H8">
        <v>15.5075</v>
      </c>
      <c r="I8">
        <f t="shared" si="0"/>
        <v>11.213900000000001</v>
      </c>
      <c r="J8">
        <v>0.4</v>
      </c>
      <c r="K8">
        <f t="shared" si="1"/>
        <v>6.30288</v>
      </c>
      <c r="L8">
        <v>15.232799999999999</v>
      </c>
      <c r="M8">
        <v>9.4262800000000002</v>
      </c>
    </row>
    <row r="9" spans="2:17">
      <c r="B9">
        <v>0.5</v>
      </c>
      <c r="C9">
        <v>7.9727100000000002</v>
      </c>
      <c r="D9">
        <v>15.7042</v>
      </c>
      <c r="E9">
        <v>11.213900000000001</v>
      </c>
      <c r="F9">
        <v>0.5</v>
      </c>
      <c r="G9">
        <v>6.30288</v>
      </c>
      <c r="H9">
        <v>15.5075</v>
      </c>
      <c r="I9">
        <f t="shared" si="0"/>
        <v>11.213900000000001</v>
      </c>
      <c r="J9">
        <v>0.5</v>
      </c>
      <c r="K9">
        <f t="shared" si="1"/>
        <v>6.30288</v>
      </c>
      <c r="L9">
        <v>15.232799999999999</v>
      </c>
      <c r="M9">
        <v>9.4262800000000002</v>
      </c>
    </row>
    <row r="10" spans="2:17">
      <c r="B10">
        <v>0.6</v>
      </c>
      <c r="C10">
        <v>7.0642699999999996</v>
      </c>
      <c r="D10">
        <v>16.6097</v>
      </c>
      <c r="E10">
        <v>10.855600000000001</v>
      </c>
      <c r="F10">
        <v>0.6</v>
      </c>
      <c r="G10">
        <v>5.47356</v>
      </c>
      <c r="H10">
        <v>16.4102</v>
      </c>
      <c r="I10">
        <f t="shared" si="0"/>
        <v>10.855600000000001</v>
      </c>
      <c r="J10">
        <v>0.6</v>
      </c>
      <c r="K10">
        <f t="shared" si="1"/>
        <v>5.47356</v>
      </c>
      <c r="L10">
        <v>16.440999999999999</v>
      </c>
      <c r="M10">
        <v>8.9266699999999997</v>
      </c>
    </row>
    <row r="11" spans="2:17">
      <c r="B11">
        <v>0.7</v>
      </c>
      <c r="C11">
        <v>7.0642699999999996</v>
      </c>
      <c r="D11">
        <v>16.6097</v>
      </c>
      <c r="E11">
        <v>10.855600000000001</v>
      </c>
      <c r="F11">
        <v>0.7</v>
      </c>
      <c r="G11">
        <v>5.47356</v>
      </c>
      <c r="H11">
        <v>16.4102</v>
      </c>
      <c r="I11">
        <f t="shared" si="0"/>
        <v>10.855600000000001</v>
      </c>
      <c r="J11">
        <v>0.7</v>
      </c>
      <c r="K11">
        <f t="shared" si="1"/>
        <v>5.47356</v>
      </c>
      <c r="L11">
        <v>16.440999999999999</v>
      </c>
      <c r="M11">
        <v>8.9266699999999997</v>
      </c>
    </row>
    <row r="12" spans="2:17">
      <c r="B12">
        <v>0.8</v>
      </c>
      <c r="C12">
        <v>6.1090200000000001</v>
      </c>
      <c r="D12">
        <v>16.670000000000002</v>
      </c>
      <c r="E12">
        <v>10.174300000000001</v>
      </c>
      <c r="F12">
        <v>0.8</v>
      </c>
      <c r="G12">
        <v>4.8617800000000004</v>
      </c>
      <c r="H12">
        <v>16.461300000000001</v>
      </c>
      <c r="I12">
        <f t="shared" si="0"/>
        <v>10.174300000000001</v>
      </c>
      <c r="J12">
        <v>0.8</v>
      </c>
      <c r="K12">
        <f t="shared" si="1"/>
        <v>4.8617800000000004</v>
      </c>
      <c r="L12">
        <v>16.5596</v>
      </c>
      <c r="M12">
        <v>8.2496100000000006</v>
      </c>
    </row>
    <row r="13" spans="2:17">
      <c r="B13">
        <v>0.9</v>
      </c>
      <c r="F13">
        <v>0.9</v>
      </c>
      <c r="I13">
        <f t="shared" si="0"/>
        <v>0</v>
      </c>
      <c r="J13">
        <v>0.9</v>
      </c>
      <c r="K13">
        <f t="shared" si="1"/>
        <v>0</v>
      </c>
    </row>
    <row r="14" spans="2:17">
      <c r="B14">
        <v>1</v>
      </c>
      <c r="C14">
        <v>6.1090200000000001</v>
      </c>
      <c r="D14">
        <v>16.670000000000002</v>
      </c>
      <c r="E14">
        <v>10.174300000000001</v>
      </c>
      <c r="F14">
        <v>1</v>
      </c>
      <c r="G14">
        <v>4.8617800000000004</v>
      </c>
      <c r="H14">
        <v>16.461300000000001</v>
      </c>
      <c r="I14">
        <f t="shared" si="0"/>
        <v>10.174300000000001</v>
      </c>
      <c r="J14">
        <v>1</v>
      </c>
      <c r="K14">
        <f t="shared" si="1"/>
        <v>4.8617800000000004</v>
      </c>
      <c r="L14">
        <v>16.5596</v>
      </c>
      <c r="M14">
        <v>8.2496100000000006</v>
      </c>
    </row>
    <row r="17" spans="3:12">
      <c r="C17" t="s">
        <v>5</v>
      </c>
      <c r="D17" t="s">
        <v>6</v>
      </c>
    </row>
    <row r="20" spans="3:12">
      <c r="C20" t="s">
        <v>9</v>
      </c>
      <c r="D20" t="s">
        <v>10</v>
      </c>
      <c r="E20" t="s">
        <v>11</v>
      </c>
      <c r="G20" t="s">
        <v>12</v>
      </c>
      <c r="H20" t="s">
        <v>13</v>
      </c>
      <c r="I20" t="s">
        <v>11</v>
      </c>
      <c r="K20" t="s">
        <v>14</v>
      </c>
      <c r="L20" t="s">
        <v>15</v>
      </c>
    </row>
    <row r="21" spans="3:12">
      <c r="C21">
        <v>-600</v>
      </c>
      <c r="E21">
        <v>-600</v>
      </c>
      <c r="G21">
        <v>-600</v>
      </c>
      <c r="I21">
        <v>-600</v>
      </c>
    </row>
  </sheetData>
  <mergeCells count="3">
    <mergeCell ref="C2:E2"/>
    <mergeCell ref="G2:I2"/>
    <mergeCell ref="K2:M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B358-F43D-2945-AAE0-91680F56E0F8}">
  <dimension ref="B2:M21"/>
  <sheetViews>
    <sheetView topLeftCell="B1" workbookViewId="0">
      <selection activeCell="M18" sqref="M18"/>
    </sheetView>
  </sheetViews>
  <sheetFormatPr baseColWidth="10" defaultRowHeight="20"/>
  <cols>
    <col min="3" max="5" width="12.5703125" customWidth="1"/>
    <col min="7" max="9" width="12.5703125" customWidth="1"/>
    <col min="11" max="13" width="12.28515625" customWidth="1"/>
  </cols>
  <sheetData>
    <row r="2" spans="2:13">
      <c r="C2" s="2" t="s">
        <v>4</v>
      </c>
      <c r="D2" s="2"/>
      <c r="E2" s="2"/>
      <c r="G2" s="2" t="s">
        <v>8</v>
      </c>
      <c r="H2" s="2"/>
      <c r="I2" s="2"/>
      <c r="K2" s="2" t="s">
        <v>7</v>
      </c>
      <c r="L2" s="2"/>
      <c r="M2" s="2"/>
    </row>
    <row r="3" spans="2:13">
      <c r="B3" t="s">
        <v>0</v>
      </c>
      <c r="C3" t="s">
        <v>17</v>
      </c>
      <c r="D3" t="s">
        <v>18</v>
      </c>
      <c r="E3" t="s">
        <v>3</v>
      </c>
      <c r="F3" t="s">
        <v>0</v>
      </c>
      <c r="G3" t="s">
        <v>1</v>
      </c>
      <c r="H3" t="s">
        <v>2</v>
      </c>
      <c r="I3" t="s">
        <v>3</v>
      </c>
      <c r="J3" t="s">
        <v>0</v>
      </c>
      <c r="K3" t="s">
        <v>1</v>
      </c>
      <c r="L3" t="s">
        <v>2</v>
      </c>
      <c r="M3" t="s">
        <v>3</v>
      </c>
    </row>
    <row r="4" spans="2:13">
      <c r="B4">
        <v>0</v>
      </c>
      <c r="F4">
        <v>0</v>
      </c>
      <c r="I4">
        <f>E4</f>
        <v>0</v>
      </c>
      <c r="J4">
        <v>0</v>
      </c>
      <c r="K4">
        <f>G4</f>
        <v>0</v>
      </c>
    </row>
    <row r="5" spans="2:13">
      <c r="B5">
        <v>0.1</v>
      </c>
      <c r="F5">
        <v>0.1</v>
      </c>
      <c r="I5">
        <f t="shared" ref="I5:I14" si="0">E5</f>
        <v>0</v>
      </c>
      <c r="J5">
        <v>0.1</v>
      </c>
      <c r="K5">
        <f t="shared" ref="K5:K14" si="1">G5</f>
        <v>0</v>
      </c>
    </row>
    <row r="6" spans="2:13">
      <c r="B6">
        <v>0.2</v>
      </c>
      <c r="F6">
        <v>0.2</v>
      </c>
      <c r="I6">
        <f t="shared" si="0"/>
        <v>0</v>
      </c>
      <c r="J6">
        <v>0.2</v>
      </c>
      <c r="K6">
        <f t="shared" si="1"/>
        <v>0</v>
      </c>
    </row>
    <row r="7" spans="2:13">
      <c r="B7">
        <v>0.3</v>
      </c>
      <c r="F7">
        <v>0.3</v>
      </c>
      <c r="I7">
        <f t="shared" si="0"/>
        <v>0</v>
      </c>
      <c r="J7">
        <v>0.3</v>
      </c>
      <c r="K7">
        <f t="shared" si="1"/>
        <v>0</v>
      </c>
    </row>
    <row r="8" spans="2:13">
      <c r="B8">
        <v>0.4</v>
      </c>
      <c r="C8">
        <v>8.5530600000000003</v>
      </c>
      <c r="D8">
        <v>16.0443</v>
      </c>
      <c r="E8">
        <v>11.8535</v>
      </c>
      <c r="F8">
        <v>0.4</v>
      </c>
      <c r="G8">
        <v>6.9264299999999999</v>
      </c>
      <c r="H8">
        <v>15.8843</v>
      </c>
      <c r="I8">
        <f t="shared" si="0"/>
        <v>11.8535</v>
      </c>
      <c r="J8">
        <v>0.4</v>
      </c>
      <c r="K8">
        <f t="shared" si="1"/>
        <v>6.9264299999999999</v>
      </c>
      <c r="L8">
        <v>15.5075</v>
      </c>
      <c r="M8">
        <v>10.116099999999999</v>
      </c>
    </row>
    <row r="9" spans="2:13">
      <c r="B9">
        <v>0.5</v>
      </c>
      <c r="C9">
        <v>5.1583899999999998</v>
      </c>
      <c r="D9">
        <v>16.664200000000001</v>
      </c>
      <c r="E9">
        <v>9.6294799999999992</v>
      </c>
      <c r="F9">
        <v>0.5</v>
      </c>
      <c r="G9">
        <v>4.6215299999999999</v>
      </c>
      <c r="H9">
        <v>16.211500000000001</v>
      </c>
      <c r="I9">
        <f t="shared" si="0"/>
        <v>9.6294799999999992</v>
      </c>
      <c r="J9">
        <v>0.5</v>
      </c>
      <c r="K9">
        <f t="shared" si="1"/>
        <v>4.6215299999999999</v>
      </c>
      <c r="L9">
        <v>16.488800000000001</v>
      </c>
      <c r="M9">
        <v>7.8843500000000004</v>
      </c>
    </row>
    <row r="10" spans="2:13">
      <c r="B10">
        <v>0.6</v>
      </c>
      <c r="C10">
        <v>5.1583899999999998</v>
      </c>
      <c r="D10">
        <v>16.664200000000001</v>
      </c>
      <c r="E10">
        <v>9.6294799999999992</v>
      </c>
      <c r="F10">
        <v>0.6</v>
      </c>
      <c r="G10">
        <v>4.6215299999999999</v>
      </c>
      <c r="H10">
        <v>16.211500000000001</v>
      </c>
      <c r="I10">
        <f t="shared" si="0"/>
        <v>9.6294799999999992</v>
      </c>
      <c r="J10">
        <v>0.6</v>
      </c>
      <c r="K10">
        <f t="shared" si="1"/>
        <v>4.6215299999999999</v>
      </c>
      <c r="L10">
        <v>16.488800000000001</v>
      </c>
      <c r="M10">
        <v>7.8843500000000004</v>
      </c>
    </row>
    <row r="11" spans="2:13">
      <c r="B11">
        <v>0.7</v>
      </c>
      <c r="C11">
        <v>5.1583899999999998</v>
      </c>
      <c r="D11">
        <v>16.664200000000001</v>
      </c>
      <c r="E11">
        <v>9.6294799999999992</v>
      </c>
      <c r="F11">
        <v>0.7</v>
      </c>
      <c r="G11">
        <v>4.6215299999999999</v>
      </c>
      <c r="H11">
        <v>16.211500000000001</v>
      </c>
      <c r="I11">
        <f t="shared" si="0"/>
        <v>9.6294799999999992</v>
      </c>
      <c r="J11">
        <v>0.7</v>
      </c>
      <c r="K11">
        <f t="shared" si="1"/>
        <v>4.6215299999999999</v>
      </c>
      <c r="L11">
        <v>16.488800000000001</v>
      </c>
      <c r="M11">
        <v>7.8843500000000004</v>
      </c>
    </row>
    <row r="12" spans="2:13">
      <c r="B12">
        <v>0.8</v>
      </c>
      <c r="C12">
        <v>5.1583899999999998</v>
      </c>
      <c r="D12">
        <v>16.664200000000001</v>
      </c>
      <c r="E12">
        <v>9.6294799999999992</v>
      </c>
      <c r="F12">
        <v>0.8</v>
      </c>
      <c r="G12">
        <v>4.6215299999999999</v>
      </c>
      <c r="H12">
        <v>16.211500000000001</v>
      </c>
      <c r="I12">
        <f t="shared" si="0"/>
        <v>9.6294799999999992</v>
      </c>
      <c r="J12">
        <v>0.8</v>
      </c>
      <c r="K12">
        <f t="shared" si="1"/>
        <v>4.6215299999999999</v>
      </c>
      <c r="L12">
        <v>16.488800000000001</v>
      </c>
      <c r="M12">
        <v>7.8843500000000004</v>
      </c>
    </row>
    <row r="13" spans="2:13">
      <c r="B13">
        <v>0.9</v>
      </c>
      <c r="C13">
        <v>5.1583899999999998</v>
      </c>
      <c r="D13">
        <v>16.664200000000001</v>
      </c>
      <c r="E13">
        <v>9.6294799999999992</v>
      </c>
      <c r="F13">
        <v>0.9</v>
      </c>
      <c r="G13">
        <v>4.6215299999999999</v>
      </c>
      <c r="H13">
        <v>16.211500000000001</v>
      </c>
      <c r="I13">
        <f t="shared" si="0"/>
        <v>9.6294799999999992</v>
      </c>
      <c r="J13">
        <v>0.9</v>
      </c>
      <c r="K13">
        <f t="shared" si="1"/>
        <v>4.6215299999999999</v>
      </c>
      <c r="L13">
        <v>16.488800000000001</v>
      </c>
      <c r="M13">
        <v>7.8843500000000004</v>
      </c>
    </row>
    <row r="14" spans="2:13">
      <c r="B14">
        <v>1</v>
      </c>
      <c r="C14">
        <v>5.1583899999999998</v>
      </c>
      <c r="D14">
        <v>16.664200000000001</v>
      </c>
      <c r="E14">
        <v>9.6294799999999992</v>
      </c>
      <c r="F14">
        <v>1</v>
      </c>
      <c r="G14">
        <v>4.6215299999999999</v>
      </c>
      <c r="H14">
        <v>16.211500000000001</v>
      </c>
      <c r="I14">
        <f t="shared" si="0"/>
        <v>9.6294799999999992</v>
      </c>
      <c r="J14">
        <v>1</v>
      </c>
      <c r="K14">
        <f t="shared" si="1"/>
        <v>4.6215299999999999</v>
      </c>
      <c r="L14">
        <v>16.488800000000001</v>
      </c>
      <c r="M14">
        <v>7.8843500000000004</v>
      </c>
    </row>
    <row r="17" spans="3:12">
      <c r="C17" t="s">
        <v>5</v>
      </c>
      <c r="D17" t="s">
        <v>6</v>
      </c>
    </row>
    <row r="20" spans="3:12">
      <c r="C20" t="s">
        <v>9</v>
      </c>
      <c r="D20" t="s">
        <v>10</v>
      </c>
      <c r="E20" t="s">
        <v>11</v>
      </c>
      <c r="G20" t="s">
        <v>12</v>
      </c>
      <c r="H20" t="s">
        <v>13</v>
      </c>
      <c r="I20" t="s">
        <v>11</v>
      </c>
      <c r="K20" t="s">
        <v>14</v>
      </c>
      <c r="L20" t="s">
        <v>15</v>
      </c>
    </row>
    <row r="21" spans="3:12">
      <c r="C21">
        <v>-600</v>
      </c>
      <c r="E21">
        <v>-600</v>
      </c>
      <c r="G21">
        <v>-600</v>
      </c>
      <c r="I21">
        <v>-600</v>
      </c>
    </row>
  </sheetData>
  <mergeCells count="3">
    <mergeCell ref="C2:E2"/>
    <mergeCell ref="G2:I2"/>
    <mergeCell ref="K2:M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1</vt:i4>
      </vt:variant>
    </vt:vector>
  </HeadingPairs>
  <TitlesOfParts>
    <vt:vector size="5" baseType="lpstr">
      <vt:lpstr>seed0</vt:lpstr>
      <vt:lpstr>seed1</vt:lpstr>
      <vt:lpstr>seed10</vt:lpstr>
      <vt:lpstr>seed100</vt:lpstr>
      <vt:lpstr>αに対する平均速度の変化_seed1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cp:lastPrinted>2023-11-20T00:42:02Z</cp:lastPrinted>
  <dcterms:created xsi:type="dcterms:W3CDTF">2023-11-14T05:48:55Z</dcterms:created>
  <dcterms:modified xsi:type="dcterms:W3CDTF">2023-11-22T05:43:06Z</dcterms:modified>
</cp:coreProperties>
</file>