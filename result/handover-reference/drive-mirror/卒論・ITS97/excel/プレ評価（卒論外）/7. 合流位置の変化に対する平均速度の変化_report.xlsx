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mashi/Documents/卒論/シミュレーション結果/"/>
    </mc:Choice>
  </mc:AlternateContent>
  <xr:revisionPtr revIDLastSave="0" documentId="13_ncr:1_{12297051-5BB5-FD47-B314-A18A86533CB2}" xr6:coauthVersionLast="47" xr6:coauthVersionMax="47" xr10:uidLastSave="{00000000-0000-0000-0000-000000000000}"/>
  <bookViews>
    <workbookView xWindow="0" yWindow="0" windowWidth="28800" windowHeight="18000" activeTab="5" xr2:uid="{BBED498F-13D8-CA42-AFDF-A7BDC4B5DD45}"/>
  </bookViews>
  <sheets>
    <sheet name="seed1" sheetId="1" r:id="rId1"/>
    <sheet name="seed2" sheetId="2" r:id="rId2"/>
    <sheet name="seed3" sheetId="3" r:id="rId3"/>
    <sheet name="seed4" sheetId="4" r:id="rId4"/>
    <sheet name="seed5" sheetId="5" r:id="rId5"/>
    <sheet name="average1-5" sheetId="6" r:id="rId6"/>
    <sheet name="seed6" sheetId="7" r:id="rId7"/>
    <sheet name="seed7" sheetId="8" r:id="rId8"/>
    <sheet name="seed8" sheetId="9" r:id="rId9"/>
    <sheet name="seed9" sheetId="10" r:id="rId10"/>
    <sheet name="seed10" sheetId="11" r:id="rId11"/>
    <sheet name="average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7" i="6" l="1"/>
  <c r="I37" i="6"/>
  <c r="J37" i="6"/>
  <c r="H38" i="6"/>
  <c r="I38" i="6"/>
  <c r="J38" i="6"/>
  <c r="H39" i="6"/>
  <c r="I39" i="6"/>
  <c r="J39" i="6"/>
  <c r="H40" i="6"/>
  <c r="I40" i="6"/>
  <c r="J40" i="6"/>
  <c r="H41" i="6"/>
  <c r="I41" i="6"/>
  <c r="J41" i="6"/>
  <c r="H42" i="6"/>
  <c r="I42" i="6"/>
  <c r="J42" i="6"/>
  <c r="H43" i="6"/>
  <c r="I43" i="6"/>
  <c r="J43" i="6"/>
  <c r="H44" i="6"/>
  <c r="I44" i="6"/>
  <c r="J44" i="6"/>
  <c r="H45" i="6"/>
  <c r="I45" i="6"/>
  <c r="J45" i="6"/>
  <c r="H46" i="6"/>
  <c r="I46" i="6"/>
  <c r="J46" i="6"/>
  <c r="I36" i="6"/>
  <c r="J36" i="6"/>
  <c r="H36" i="6"/>
  <c r="H21" i="12"/>
  <c r="I21" i="12"/>
  <c r="J21" i="12"/>
  <c r="P21" i="12" s="1"/>
  <c r="H22" i="12"/>
  <c r="I22" i="12"/>
  <c r="J22" i="12"/>
  <c r="O6" i="12" s="1"/>
  <c r="H23" i="12"/>
  <c r="I23" i="12"/>
  <c r="J23" i="12"/>
  <c r="O7" i="12" s="1"/>
  <c r="H24" i="12"/>
  <c r="I24" i="12"/>
  <c r="J24" i="12"/>
  <c r="O8" i="12" s="1"/>
  <c r="H25" i="12"/>
  <c r="I25" i="12"/>
  <c r="J25" i="12"/>
  <c r="P25" i="12" s="1"/>
  <c r="H26" i="12"/>
  <c r="I26" i="12"/>
  <c r="J26" i="12"/>
  <c r="O10" i="12" s="1"/>
  <c r="H27" i="12"/>
  <c r="I27" i="12"/>
  <c r="J27" i="12"/>
  <c r="O11" i="12" s="1"/>
  <c r="H28" i="12"/>
  <c r="I28" i="12"/>
  <c r="J28" i="12"/>
  <c r="O12" i="12" s="1"/>
  <c r="H29" i="12"/>
  <c r="I29" i="12"/>
  <c r="J29" i="12"/>
  <c r="P29" i="12" s="1"/>
  <c r="H30" i="12"/>
  <c r="I30" i="12"/>
  <c r="J30" i="12"/>
  <c r="O14" i="12" s="1"/>
  <c r="I20" i="12"/>
  <c r="J20" i="12"/>
  <c r="O4" i="12" s="1"/>
  <c r="H5" i="12"/>
  <c r="I5" i="12"/>
  <c r="J5" i="12"/>
  <c r="P5" i="12" s="1"/>
  <c r="H6" i="12"/>
  <c r="I6" i="12"/>
  <c r="J6" i="12"/>
  <c r="P6" i="12" s="1"/>
  <c r="H7" i="12"/>
  <c r="I7" i="12"/>
  <c r="J7" i="12"/>
  <c r="P7" i="12" s="1"/>
  <c r="H8" i="12"/>
  <c r="I8" i="12"/>
  <c r="J8" i="12"/>
  <c r="P8" i="12" s="1"/>
  <c r="H9" i="12"/>
  <c r="I9" i="12"/>
  <c r="J9" i="12"/>
  <c r="P9" i="12" s="1"/>
  <c r="H10" i="12"/>
  <c r="I10" i="12"/>
  <c r="J10" i="12"/>
  <c r="P10" i="12" s="1"/>
  <c r="H11" i="12"/>
  <c r="I11" i="12"/>
  <c r="J11" i="12"/>
  <c r="P11" i="12" s="1"/>
  <c r="H12" i="12"/>
  <c r="I12" i="12"/>
  <c r="J12" i="12"/>
  <c r="P12" i="12" s="1"/>
  <c r="H13" i="12"/>
  <c r="I13" i="12"/>
  <c r="J13" i="12"/>
  <c r="P13" i="12" s="1"/>
  <c r="H14" i="12"/>
  <c r="I14" i="12"/>
  <c r="J14" i="12"/>
  <c r="P14" i="12" s="1"/>
  <c r="I4" i="12"/>
  <c r="J4" i="12"/>
  <c r="P4" i="12" s="1"/>
  <c r="C21" i="12"/>
  <c r="D21" i="12"/>
  <c r="E21" i="12"/>
  <c r="O21" i="12" s="1"/>
  <c r="C22" i="12"/>
  <c r="D22" i="12"/>
  <c r="E22" i="12"/>
  <c r="O22" i="12" s="1"/>
  <c r="C23" i="12"/>
  <c r="D23" i="12"/>
  <c r="E23" i="12"/>
  <c r="O23" i="12" s="1"/>
  <c r="C24" i="12"/>
  <c r="D24" i="12"/>
  <c r="E24" i="12"/>
  <c r="O24" i="12" s="1"/>
  <c r="C25" i="12"/>
  <c r="D25" i="12"/>
  <c r="E25" i="12"/>
  <c r="O25" i="12" s="1"/>
  <c r="C26" i="12"/>
  <c r="D26" i="12"/>
  <c r="E26" i="12"/>
  <c r="O26" i="12" s="1"/>
  <c r="C27" i="12"/>
  <c r="D27" i="12"/>
  <c r="E27" i="12"/>
  <c r="O27" i="12" s="1"/>
  <c r="C28" i="12"/>
  <c r="D28" i="12"/>
  <c r="E28" i="12"/>
  <c r="O28" i="12" s="1"/>
  <c r="C29" i="12"/>
  <c r="D29" i="12"/>
  <c r="E29" i="12"/>
  <c r="O29" i="12" s="1"/>
  <c r="C30" i="12"/>
  <c r="D30" i="12"/>
  <c r="E30" i="12"/>
  <c r="O30" i="12" s="1"/>
  <c r="D20" i="12"/>
  <c r="E20" i="12"/>
  <c r="O20" i="12" s="1"/>
  <c r="C5" i="12"/>
  <c r="D5" i="12"/>
  <c r="E5" i="12"/>
  <c r="C6" i="12"/>
  <c r="D6" i="12"/>
  <c r="E6" i="12"/>
  <c r="C7" i="12"/>
  <c r="D7" i="12"/>
  <c r="E7" i="12"/>
  <c r="C8" i="12"/>
  <c r="D8" i="12"/>
  <c r="E8" i="12"/>
  <c r="C9" i="12"/>
  <c r="D9" i="12"/>
  <c r="E9" i="12"/>
  <c r="C10" i="12"/>
  <c r="D10" i="12"/>
  <c r="E10" i="12"/>
  <c r="C11" i="12"/>
  <c r="D11" i="12"/>
  <c r="E11" i="12"/>
  <c r="C12" i="12"/>
  <c r="D12" i="12"/>
  <c r="E12" i="12"/>
  <c r="C13" i="12"/>
  <c r="D13" i="12"/>
  <c r="E13" i="12"/>
  <c r="C14" i="12"/>
  <c r="D14" i="12"/>
  <c r="E14" i="12"/>
  <c r="D4" i="12"/>
  <c r="E4" i="12"/>
  <c r="C20" i="12"/>
  <c r="H20" i="12"/>
  <c r="H4" i="12"/>
  <c r="C4" i="12"/>
  <c r="H21" i="6"/>
  <c r="I21" i="6"/>
  <c r="J21" i="6"/>
  <c r="H22" i="6"/>
  <c r="I22" i="6"/>
  <c r="J22" i="6"/>
  <c r="H23" i="6"/>
  <c r="I23" i="6"/>
  <c r="J23" i="6"/>
  <c r="H24" i="6"/>
  <c r="I24" i="6"/>
  <c r="J24" i="6"/>
  <c r="H25" i="6"/>
  <c r="I25" i="6"/>
  <c r="J25" i="6"/>
  <c r="H26" i="6"/>
  <c r="I26" i="6"/>
  <c r="J26" i="6"/>
  <c r="H27" i="6"/>
  <c r="I27" i="6"/>
  <c r="J27" i="6"/>
  <c r="H28" i="6"/>
  <c r="I28" i="6"/>
  <c r="J28" i="6"/>
  <c r="H29" i="6"/>
  <c r="I29" i="6"/>
  <c r="J29" i="6"/>
  <c r="H30" i="6"/>
  <c r="I30" i="6"/>
  <c r="J30" i="6"/>
  <c r="I20" i="6"/>
  <c r="J20" i="6"/>
  <c r="H5" i="6"/>
  <c r="I5" i="6"/>
  <c r="J5" i="6"/>
  <c r="H6" i="6"/>
  <c r="I6" i="6"/>
  <c r="J6" i="6"/>
  <c r="H7" i="6"/>
  <c r="I7" i="6"/>
  <c r="J7" i="6"/>
  <c r="H8" i="6"/>
  <c r="I8" i="6"/>
  <c r="J8" i="6"/>
  <c r="H9" i="6"/>
  <c r="I9" i="6"/>
  <c r="J9" i="6"/>
  <c r="H10" i="6"/>
  <c r="I10" i="6"/>
  <c r="J10" i="6"/>
  <c r="H11" i="6"/>
  <c r="I11" i="6"/>
  <c r="J11" i="6"/>
  <c r="H12" i="6"/>
  <c r="I12" i="6"/>
  <c r="J12" i="6"/>
  <c r="H13" i="6"/>
  <c r="I13" i="6"/>
  <c r="J13" i="6"/>
  <c r="H14" i="6"/>
  <c r="I14" i="6"/>
  <c r="J14" i="6"/>
  <c r="I4" i="6"/>
  <c r="J4" i="6"/>
  <c r="C21" i="6"/>
  <c r="D21" i="6"/>
  <c r="E21" i="6"/>
  <c r="C22" i="6"/>
  <c r="D22" i="6"/>
  <c r="E22" i="6"/>
  <c r="C23" i="6"/>
  <c r="D23" i="6"/>
  <c r="E23" i="6"/>
  <c r="C24" i="6"/>
  <c r="D24" i="6"/>
  <c r="E24" i="6"/>
  <c r="C25" i="6"/>
  <c r="D25" i="6"/>
  <c r="E25" i="6"/>
  <c r="C26" i="6"/>
  <c r="D26" i="6"/>
  <c r="E26" i="6"/>
  <c r="C27" i="6"/>
  <c r="D27" i="6"/>
  <c r="E27" i="6"/>
  <c r="C28" i="6"/>
  <c r="D28" i="6"/>
  <c r="E28" i="6"/>
  <c r="C29" i="6"/>
  <c r="D29" i="6"/>
  <c r="E29" i="6"/>
  <c r="C30" i="6"/>
  <c r="D30" i="6"/>
  <c r="E30" i="6"/>
  <c r="D20" i="6"/>
  <c r="E20" i="6"/>
  <c r="C5" i="6"/>
  <c r="D5" i="6"/>
  <c r="E5" i="6"/>
  <c r="C6" i="6"/>
  <c r="D6" i="6"/>
  <c r="E6" i="6"/>
  <c r="C7" i="6"/>
  <c r="D7" i="6"/>
  <c r="E7" i="6"/>
  <c r="C8" i="6"/>
  <c r="D8" i="6"/>
  <c r="E8" i="6"/>
  <c r="C9" i="6"/>
  <c r="D9" i="6"/>
  <c r="E9" i="6"/>
  <c r="C10" i="6"/>
  <c r="D10" i="6"/>
  <c r="E10" i="6"/>
  <c r="C11" i="6"/>
  <c r="D11" i="6"/>
  <c r="E11" i="6"/>
  <c r="C12" i="6"/>
  <c r="D12" i="6"/>
  <c r="E12" i="6"/>
  <c r="C13" i="6"/>
  <c r="D13" i="6"/>
  <c r="E13" i="6"/>
  <c r="C14" i="6"/>
  <c r="D14" i="6"/>
  <c r="E14" i="6"/>
  <c r="D4" i="6"/>
  <c r="E4" i="6"/>
  <c r="C20" i="6"/>
  <c r="H20" i="6"/>
  <c r="H4" i="6"/>
  <c r="C4" i="6"/>
  <c r="P28" i="12" l="1"/>
  <c r="P24" i="12"/>
  <c r="O13" i="12"/>
  <c r="O9" i="12"/>
  <c r="O5" i="12"/>
  <c r="P27" i="12"/>
  <c r="P23" i="12"/>
  <c r="P20" i="12"/>
  <c r="P30" i="12"/>
  <c r="P26" i="12"/>
  <c r="P22" i="12"/>
</calcChain>
</file>

<file path=xl/sharedStrings.xml><?xml version="1.0" encoding="utf-8"?>
<sst xmlns="http://schemas.openxmlformats.org/spreadsheetml/2006/main" count="365" uniqueCount="29">
  <si>
    <t>α</t>
    <phoneticPr fontId="1"/>
  </si>
  <si>
    <t>vehicle0</t>
  </si>
  <si>
    <t>vehicle1</t>
  </si>
  <si>
    <t>all</t>
  </si>
  <si>
    <t>合流100m手前（元の関数）</t>
  </si>
  <si>
    <t>合流100m手前（元の関数）</t>
    <rPh sb="0" eb="2">
      <t>ゴウリュウ</t>
    </rPh>
    <rPh sb="6" eb="8">
      <t>テマエ</t>
    </rPh>
    <rPh sb="9" eb="10">
      <t>モトノカ</t>
    </rPh>
    <phoneticPr fontId="1"/>
  </si>
  <si>
    <t>α</t>
  </si>
  <si>
    <t>合流200m手前（元の関数）</t>
  </si>
  <si>
    <t>合流200m手前（元の関数）</t>
    <rPh sb="9" eb="10">
      <t>モトノ</t>
    </rPh>
    <phoneticPr fontId="1"/>
  </si>
  <si>
    <t>合流100m手前（新しい関数）</t>
  </si>
  <si>
    <t>合流100m手前（新しい関数）</t>
    <rPh sb="0" eb="2">
      <t>ゴウリュウ</t>
    </rPh>
    <rPh sb="6" eb="8">
      <t>テマエ</t>
    </rPh>
    <rPh sb="9" eb="10">
      <t>アタラシイ</t>
    </rPh>
    <phoneticPr fontId="1"/>
  </si>
  <si>
    <t>合流200m手前（新しい関数）</t>
  </si>
  <si>
    <t>合流200m手前（新しい関数）</t>
    <rPh sb="9" eb="10">
      <t>アタラシイ</t>
    </rPh>
    <phoneticPr fontId="1"/>
  </si>
  <si>
    <t>excel6</t>
    <phoneticPr fontId="1"/>
  </si>
  <si>
    <t>excel4</t>
    <phoneticPr fontId="1"/>
  </si>
  <si>
    <t>excel5</t>
    <phoneticPr fontId="1"/>
  </si>
  <si>
    <t>mac</t>
    <phoneticPr fontId="1"/>
  </si>
  <si>
    <t>hpc</t>
    <phoneticPr fontId="1"/>
  </si>
  <si>
    <t>0.3~0.5は譲る対象の判定に問題があるように感じる</t>
    <rPh sb="8" eb="9">
      <t>ユズル</t>
    </rPh>
    <rPh sb="13" eb="15">
      <t>ハンテイ</t>
    </rPh>
    <rPh sb="16" eb="18">
      <t>モンダイ</t>
    </rPh>
    <phoneticPr fontId="1"/>
  </si>
  <si>
    <t>結果として無駄な減速、低速での一定走行になってしまう</t>
    <rPh sb="0" eb="2">
      <t>ケッカ</t>
    </rPh>
    <rPh sb="5" eb="7">
      <t>ムダ</t>
    </rPh>
    <rPh sb="11" eb="13">
      <t>テイソク</t>
    </rPh>
    <rPh sb="15" eb="19">
      <t>イッテイ</t>
    </rPh>
    <phoneticPr fontId="1"/>
  </si>
  <si>
    <t>seed6は除外して算出</t>
    <rPh sb="6" eb="8">
      <t>ジョガ</t>
    </rPh>
    <rPh sb="10" eb="12">
      <t>サンシュテゥ</t>
    </rPh>
    <phoneticPr fontId="1"/>
  </si>
  <si>
    <t>後続考慮あり</t>
    <rPh sb="0" eb="4">
      <t>コウゾク</t>
    </rPh>
    <phoneticPr fontId="1"/>
  </si>
  <si>
    <t>後続考慮なし</t>
    <rPh sb="0" eb="4">
      <t>コウゾク</t>
    </rPh>
    <phoneticPr fontId="1"/>
  </si>
  <si>
    <t>合流200m手前</t>
    <rPh sb="0" eb="2">
      <t>ゴウリュウ</t>
    </rPh>
    <rPh sb="6" eb="8">
      <t>テマエ</t>
    </rPh>
    <phoneticPr fontId="1"/>
  </si>
  <si>
    <t>後続考慮</t>
    <rPh sb="0" eb="4">
      <t>コウゾクコウル</t>
    </rPh>
    <phoneticPr fontId="1"/>
  </si>
  <si>
    <t>100m手前</t>
    <rPh sb="4" eb="6">
      <t>テマエ</t>
    </rPh>
    <phoneticPr fontId="1"/>
  </si>
  <si>
    <t>200m手前</t>
    <rPh sb="4" eb="6">
      <t>テマエ</t>
    </rPh>
    <phoneticPr fontId="1"/>
  </si>
  <si>
    <t>merge3</t>
    <phoneticPr fontId="1"/>
  </si>
  <si>
    <t>30秒以降</t>
    <rPh sb="2" eb="3">
      <t>ビョウ</t>
    </rPh>
    <rPh sb="3" eb="5">
      <t>ビョウ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</si>
</sst>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rgb="FF000000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2"/>
      <color rgb="FFFF000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図：合流位置の変化に対する平均速度の変化</a:t>
            </a:r>
          </a:p>
        </c:rich>
      </c:tx>
      <c:layout>
        <c:manualLayout>
          <c:xMode val="edge"/>
          <c:yMode val="edge"/>
          <c:x val="0.1"/>
          <c:y val="0.8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9.991426071741033E-2"/>
          <c:y val="8.0625182268883072E-2"/>
          <c:w val="0.85371084864391955"/>
          <c:h val="0.64588692038495188"/>
        </c:manualLayout>
      </c:layout>
      <c:scatterChart>
        <c:scatterStyle val="lineMarker"/>
        <c:varyColors val="0"/>
        <c:ser>
          <c:idx val="0"/>
          <c:order val="0"/>
          <c:tx>
            <c:strRef>
              <c:f>average!$O$19</c:f>
              <c:strCache>
                <c:ptCount val="1"/>
                <c:pt idx="0">
                  <c:v>100m手前</c:v>
                </c:pt>
              </c:strCache>
            </c:strRef>
          </c:tx>
          <c:spPr>
            <a:ln w="19050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xVal>
            <c:numRef>
              <c:f>average!$N$20:$N$30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average!$O$20:$O$30</c:f>
              <c:numCache>
                <c:formatCode>General</c:formatCode>
                <c:ptCount val="11"/>
                <c:pt idx="0">
                  <c:v>13.075100000000001</c:v>
                </c:pt>
                <c:pt idx="1">
                  <c:v>13.075100000000001</c:v>
                </c:pt>
                <c:pt idx="2">
                  <c:v>13.075100000000001</c:v>
                </c:pt>
                <c:pt idx="3">
                  <c:v>13.093</c:v>
                </c:pt>
                <c:pt idx="4">
                  <c:v>13.193300000000001</c:v>
                </c:pt>
                <c:pt idx="5">
                  <c:v>13.3184</c:v>
                </c:pt>
                <c:pt idx="6">
                  <c:v>13.4468</c:v>
                </c:pt>
                <c:pt idx="7">
                  <c:v>13.2514</c:v>
                </c:pt>
                <c:pt idx="8">
                  <c:v>12.6943</c:v>
                </c:pt>
                <c:pt idx="9">
                  <c:v>11.9496</c:v>
                </c:pt>
                <c:pt idx="10">
                  <c:v>11.7797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20-3242-A9F7-AAE2A6BF5335}"/>
            </c:ext>
          </c:extLst>
        </c:ser>
        <c:ser>
          <c:idx val="1"/>
          <c:order val="1"/>
          <c:tx>
            <c:strRef>
              <c:f>average!$P$19</c:f>
              <c:strCache>
                <c:ptCount val="1"/>
                <c:pt idx="0">
                  <c:v>200m手前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average!$N$20:$N$30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average!$P$20:$P$30</c:f>
              <c:numCache>
                <c:formatCode>General</c:formatCode>
                <c:ptCount val="11"/>
                <c:pt idx="0">
                  <c:v>14.348599999999999</c:v>
                </c:pt>
                <c:pt idx="1">
                  <c:v>14.348599999999999</c:v>
                </c:pt>
                <c:pt idx="2">
                  <c:v>14.390499999999999</c:v>
                </c:pt>
                <c:pt idx="3">
                  <c:v>14.456099999999999</c:v>
                </c:pt>
                <c:pt idx="4">
                  <c:v>14.664300000000001</c:v>
                </c:pt>
                <c:pt idx="5">
                  <c:v>14.9031</c:v>
                </c:pt>
                <c:pt idx="6">
                  <c:v>14.9489</c:v>
                </c:pt>
                <c:pt idx="7">
                  <c:v>14.7089</c:v>
                </c:pt>
                <c:pt idx="8">
                  <c:v>14.245200000000001</c:v>
                </c:pt>
                <c:pt idx="9">
                  <c:v>13.9316</c:v>
                </c:pt>
                <c:pt idx="10">
                  <c:v>13.934699999999999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20-3242-A9F7-AAE2A6BF53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0681375"/>
        <c:axId val="1360683103"/>
      </c:scatterChart>
      <c:valAx>
        <c:axId val="1360681375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α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60683103"/>
        <c:crosses val="autoZero"/>
        <c:crossBetween val="midCat"/>
      </c:valAx>
      <c:valAx>
        <c:axId val="1360683103"/>
        <c:scaling>
          <c:orientation val="minMax"/>
          <c:min val="1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average_speed</a:t>
                </a:r>
                <a:r>
                  <a:rPr lang="en-US" altLang="ja-JP" baseline="0"/>
                  <a:t> [m/s]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60681375"/>
        <c:crosses val="autoZero"/>
        <c:crossBetween val="midCat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180336832895888"/>
          <c:y val="0.56076334208223977"/>
          <c:w val="0.19448797025371828"/>
          <c:h val="0.14756999125109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 sz="1200"/>
              <a:t>図：後続考慮の有無に対する平均速度の変化</a:t>
            </a:r>
            <a:endParaRPr lang="en-US" altLang="ja-JP" sz="1200"/>
          </a:p>
        </c:rich>
      </c:tx>
      <c:layout>
        <c:manualLayout>
          <c:xMode val="edge"/>
          <c:yMode val="edge"/>
          <c:x val="0.18055555555555555"/>
          <c:y val="0.86574074074074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4445603674540683"/>
          <c:y val="6.9768518518518521E-2"/>
          <c:w val="0.81865507436570428"/>
          <c:h val="0.61875729075532215"/>
        </c:manualLayout>
      </c:layout>
      <c:scatterChart>
        <c:scatterStyle val="lineMarker"/>
        <c:varyColors val="0"/>
        <c:ser>
          <c:idx val="0"/>
          <c:order val="0"/>
          <c:tx>
            <c:strRef>
              <c:f>average!$O$3</c:f>
              <c:strCache>
                <c:ptCount val="1"/>
                <c:pt idx="0">
                  <c:v>後続考慮あり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average!$N$4:$N$14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average!$O$4:$O$14</c:f>
              <c:numCache>
                <c:formatCode>General</c:formatCode>
                <c:ptCount val="11"/>
                <c:pt idx="0">
                  <c:v>14.348599999999999</c:v>
                </c:pt>
                <c:pt idx="1">
                  <c:v>14.348599999999999</c:v>
                </c:pt>
                <c:pt idx="2">
                  <c:v>14.390499999999999</c:v>
                </c:pt>
                <c:pt idx="3">
                  <c:v>14.456099999999999</c:v>
                </c:pt>
                <c:pt idx="4">
                  <c:v>14.664300000000001</c:v>
                </c:pt>
                <c:pt idx="5">
                  <c:v>14.9031</c:v>
                </c:pt>
                <c:pt idx="6">
                  <c:v>14.9489</c:v>
                </c:pt>
                <c:pt idx="7">
                  <c:v>14.7089</c:v>
                </c:pt>
                <c:pt idx="8">
                  <c:v>14.245200000000001</c:v>
                </c:pt>
                <c:pt idx="9">
                  <c:v>13.9316</c:v>
                </c:pt>
                <c:pt idx="10">
                  <c:v>13.934699999999999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6F-4544-9C41-6720168574D4}"/>
            </c:ext>
          </c:extLst>
        </c:ser>
        <c:ser>
          <c:idx val="1"/>
          <c:order val="1"/>
          <c:tx>
            <c:strRef>
              <c:f>average!$P$3</c:f>
              <c:strCache>
                <c:ptCount val="1"/>
                <c:pt idx="0">
                  <c:v>後続考慮なし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average!$N$4:$N$14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average!$P$4:$P$14</c:f>
              <c:numCache>
                <c:formatCode>General</c:formatCode>
                <c:ptCount val="11"/>
                <c:pt idx="0">
                  <c:v>14.348699999999999</c:v>
                </c:pt>
                <c:pt idx="1">
                  <c:v>14.5893</c:v>
                </c:pt>
                <c:pt idx="2">
                  <c:v>14.977</c:v>
                </c:pt>
                <c:pt idx="3">
                  <c:v>15.1038</c:v>
                </c:pt>
                <c:pt idx="4">
                  <c:v>14.639699999999999</c:v>
                </c:pt>
                <c:pt idx="5">
                  <c:v>14.050800000000001</c:v>
                </c:pt>
                <c:pt idx="6">
                  <c:v>13.943899999999999</c:v>
                </c:pt>
                <c:pt idx="7">
                  <c:v>13.933400000000001</c:v>
                </c:pt>
                <c:pt idx="8">
                  <c:v>13.934699999999999</c:v>
                </c:pt>
                <c:pt idx="9">
                  <c:v>13.934699999999999</c:v>
                </c:pt>
                <c:pt idx="10">
                  <c:v>13.934699999999999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E6F-4544-9C41-6720168574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1537648"/>
        <c:axId val="664574784"/>
      </c:scatterChart>
      <c:valAx>
        <c:axId val="94153764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α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64574784"/>
        <c:crosses val="autoZero"/>
        <c:crossBetween val="midCat"/>
      </c:valAx>
      <c:valAx>
        <c:axId val="66457478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average_speed</a:t>
                </a:r>
                <a:r>
                  <a:rPr lang="en-US" altLang="ja-JP" baseline="0"/>
                  <a:t> [m/s]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41537648"/>
        <c:crosses val="autoZero"/>
        <c:crossBetween val="midCat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5666666666666668"/>
          <c:y val="0.52835593467483233"/>
          <c:w val="0.26999999999999996"/>
          <c:h val="0.142940361621463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609600</xdr:colOff>
      <xdr:row>18</xdr:row>
      <xdr:rowOff>247650</xdr:rowOff>
    </xdr:from>
    <xdr:to>
      <xdr:col>21</xdr:col>
      <xdr:colOff>419100</xdr:colOff>
      <xdr:row>29</xdr:row>
      <xdr:rowOff>196850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84DD772E-DBCB-A4D2-DA1B-07841C2895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82550</xdr:colOff>
      <xdr:row>2</xdr:row>
      <xdr:rowOff>31750</xdr:rowOff>
    </xdr:from>
    <xdr:to>
      <xdr:col>21</xdr:col>
      <xdr:colOff>844550</xdr:colOff>
      <xdr:row>12</xdr:row>
      <xdr:rowOff>234950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E82F4E70-782A-274A-2557-25DDCBDD26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E4326-D0F0-0043-97EA-E086BA45C830}">
  <dimension ref="B2:R48"/>
  <sheetViews>
    <sheetView topLeftCell="B25" workbookViewId="0">
      <selection activeCell="P43" sqref="P43"/>
    </sheetView>
  </sheetViews>
  <sheetFormatPr baseColWidth="10" defaultRowHeight="20"/>
  <sheetData>
    <row r="2" spans="2:18">
      <c r="C2" t="s">
        <v>5</v>
      </c>
      <c r="G2" s="1"/>
      <c r="H2" s="1" t="s">
        <v>8</v>
      </c>
      <c r="I2" s="1"/>
      <c r="J2" s="1"/>
    </row>
    <row r="3" spans="2:18">
      <c r="B3" s="1" t="s">
        <v>0</v>
      </c>
      <c r="C3" s="1" t="s">
        <v>1</v>
      </c>
      <c r="D3" s="1" t="s">
        <v>2</v>
      </c>
      <c r="E3" s="1" t="s">
        <v>3</v>
      </c>
      <c r="G3" s="1" t="s">
        <v>6</v>
      </c>
      <c r="H3" s="1" t="s">
        <v>1</v>
      </c>
      <c r="I3" s="1" t="s">
        <v>2</v>
      </c>
      <c r="J3" s="1" t="s">
        <v>3</v>
      </c>
    </row>
    <row r="4" spans="2:18">
      <c r="B4" s="1">
        <v>0</v>
      </c>
      <c r="C4" s="1">
        <v>11.5436</v>
      </c>
      <c r="D4" s="1">
        <v>14.1593</v>
      </c>
      <c r="E4" s="1">
        <v>12.737</v>
      </c>
      <c r="G4" s="1">
        <v>0</v>
      </c>
      <c r="H4" s="1">
        <v>14.724299999999999</v>
      </c>
      <c r="I4" s="1">
        <v>13.223800000000001</v>
      </c>
      <c r="J4" s="1">
        <v>13.982900000000001</v>
      </c>
      <c r="P4" t="s">
        <v>28</v>
      </c>
    </row>
    <row r="5" spans="2:18">
      <c r="B5" s="2">
        <v>0.1</v>
      </c>
      <c r="C5" s="1">
        <v>11.536099999999999</v>
      </c>
      <c r="D5" s="1">
        <v>14.0358</v>
      </c>
      <c r="E5" s="1">
        <v>12.6975</v>
      </c>
      <c r="G5" s="1">
        <v>0.1</v>
      </c>
      <c r="H5" s="1">
        <v>14.7234</v>
      </c>
      <c r="I5" s="1">
        <v>13.226900000000001</v>
      </c>
      <c r="J5" s="1">
        <v>13.984</v>
      </c>
    </row>
    <row r="6" spans="2:18">
      <c r="B6" s="1">
        <v>0.2</v>
      </c>
      <c r="C6" s="1">
        <v>11.371499999999999</v>
      </c>
      <c r="D6" s="1">
        <v>15.750299999999999</v>
      </c>
      <c r="E6" s="1">
        <v>13.308199999999999</v>
      </c>
      <c r="G6" s="1">
        <v>0.2</v>
      </c>
      <c r="H6" s="1">
        <v>13.5341</v>
      </c>
      <c r="I6" s="1">
        <v>15.176</v>
      </c>
      <c r="J6" s="1">
        <v>14.313599999999999</v>
      </c>
      <c r="L6" s="1">
        <v>14.158899999999999</v>
      </c>
      <c r="M6" s="1">
        <v>15.0305</v>
      </c>
      <c r="N6">
        <v>14.585000000000001</v>
      </c>
    </row>
    <row r="7" spans="2:18">
      <c r="B7" s="1">
        <v>0.3</v>
      </c>
      <c r="C7" s="1">
        <v>10.048400000000001</v>
      </c>
      <c r="D7" s="1">
        <v>16.531500000000001</v>
      </c>
      <c r="E7" s="1">
        <v>12.825900000000001</v>
      </c>
      <c r="G7" s="1">
        <v>0.3</v>
      </c>
      <c r="H7" s="1">
        <v>13.5779</v>
      </c>
      <c r="I7" s="1">
        <v>15.8294</v>
      </c>
      <c r="J7" s="1">
        <v>14.6198</v>
      </c>
      <c r="L7" s="1">
        <v>13.853</v>
      </c>
      <c r="M7" s="1">
        <v>16.366</v>
      </c>
      <c r="N7" s="1">
        <v>15.019</v>
      </c>
      <c r="P7" s="1">
        <v>12.5762</v>
      </c>
      <c r="Q7" s="1">
        <v>16.384899999999998</v>
      </c>
      <c r="R7" s="1">
        <v>14.2963</v>
      </c>
    </row>
    <row r="8" spans="2:18">
      <c r="B8" s="1">
        <v>0.4</v>
      </c>
      <c r="C8" s="1">
        <v>10.048400000000001</v>
      </c>
      <c r="D8" s="1">
        <v>16.531500000000001</v>
      </c>
      <c r="E8" s="1">
        <v>12.825900000000001</v>
      </c>
      <c r="G8" s="1">
        <v>0.4</v>
      </c>
      <c r="H8" s="1">
        <v>12.4376</v>
      </c>
      <c r="I8" s="1">
        <v>16.476099999999999</v>
      </c>
      <c r="J8" s="1">
        <v>14.257199999999999</v>
      </c>
    </row>
    <row r="9" spans="2:18">
      <c r="B9" s="1">
        <v>0.5</v>
      </c>
      <c r="C9" s="1">
        <v>10.048400000000001</v>
      </c>
      <c r="D9" s="1">
        <v>16.531500000000001</v>
      </c>
      <c r="E9" s="1">
        <v>12.825900000000001</v>
      </c>
      <c r="G9" s="1">
        <v>0.5</v>
      </c>
      <c r="H9" s="1">
        <v>11.107900000000001</v>
      </c>
      <c r="I9" s="1">
        <v>16.581499999999998</v>
      </c>
      <c r="J9" s="1">
        <v>13.4648</v>
      </c>
    </row>
    <row r="10" spans="2:18">
      <c r="B10" s="1">
        <v>0.6</v>
      </c>
      <c r="C10" s="1">
        <v>8.8981999999999992</v>
      </c>
      <c r="D10" s="1">
        <v>16.5777</v>
      </c>
      <c r="E10" s="1">
        <v>12.0359</v>
      </c>
      <c r="G10" s="1">
        <v>0.6</v>
      </c>
      <c r="H10" s="1">
        <v>11.0855</v>
      </c>
      <c r="I10" s="1">
        <v>16.619299999999999</v>
      </c>
      <c r="J10" s="1">
        <v>13.468299999999999</v>
      </c>
    </row>
    <row r="11" spans="2:18">
      <c r="B11" s="1">
        <v>0.7</v>
      </c>
      <c r="C11" s="1">
        <v>8.8981999999999992</v>
      </c>
      <c r="D11" s="1">
        <v>16.5777</v>
      </c>
      <c r="E11" s="1">
        <v>12.0359</v>
      </c>
      <c r="G11" s="1">
        <v>0.7</v>
      </c>
      <c r="H11" s="1">
        <v>10.9337</v>
      </c>
      <c r="I11" s="1">
        <v>16.670000000000002</v>
      </c>
      <c r="J11" s="1">
        <v>13.4038</v>
      </c>
    </row>
    <row r="12" spans="2:18">
      <c r="B12" s="1">
        <v>0.8</v>
      </c>
      <c r="C12" s="1">
        <v>8.8981999999999992</v>
      </c>
      <c r="D12" s="1">
        <v>16.5777</v>
      </c>
      <c r="E12" s="1">
        <v>12.0359</v>
      </c>
      <c r="G12" s="1">
        <v>0.8</v>
      </c>
      <c r="H12" s="1">
        <v>10.9337</v>
      </c>
      <c r="I12" s="1">
        <v>16.670000000000002</v>
      </c>
      <c r="J12" s="1">
        <v>13.4038</v>
      </c>
    </row>
    <row r="13" spans="2:18">
      <c r="B13" s="1">
        <v>0.9</v>
      </c>
      <c r="C13" s="1">
        <v>8.8981999999999992</v>
      </c>
      <c r="D13" s="1">
        <v>16.5777</v>
      </c>
      <c r="E13" s="1">
        <v>12.0359</v>
      </c>
      <c r="G13" s="1">
        <v>0.9</v>
      </c>
      <c r="H13" s="1">
        <v>10.9337</v>
      </c>
      <c r="I13" s="1">
        <v>16.670000000000002</v>
      </c>
      <c r="J13" s="1">
        <v>13.4038</v>
      </c>
    </row>
    <row r="14" spans="2:18">
      <c r="B14" s="1">
        <v>1</v>
      </c>
      <c r="C14" s="1">
        <v>8.8981999999999992</v>
      </c>
      <c r="D14" s="1">
        <v>16.5777</v>
      </c>
      <c r="E14" s="1">
        <v>12.0359</v>
      </c>
      <c r="G14" s="1">
        <v>1</v>
      </c>
      <c r="H14" s="1">
        <v>10.9337</v>
      </c>
      <c r="I14" s="1">
        <v>16.670000000000002</v>
      </c>
      <c r="J14" s="1">
        <v>13.4038</v>
      </c>
    </row>
    <row r="15" spans="2:18">
      <c r="B15" s="1"/>
      <c r="C15" s="1"/>
      <c r="D15" s="1"/>
      <c r="E15" s="1"/>
      <c r="G15" s="1"/>
      <c r="H15" s="1"/>
      <c r="I15" s="1"/>
      <c r="J15" s="1"/>
    </row>
    <row r="16" spans="2:18">
      <c r="B16" s="1"/>
      <c r="C16" s="1"/>
      <c r="D16" s="1" t="s">
        <v>13</v>
      </c>
      <c r="E16" s="1"/>
      <c r="G16" s="1"/>
      <c r="H16" s="1"/>
      <c r="I16" s="1" t="s">
        <v>13</v>
      </c>
      <c r="J16" s="1"/>
    </row>
    <row r="18" spans="2:10">
      <c r="C18" t="s">
        <v>10</v>
      </c>
      <c r="G18" s="1"/>
      <c r="H18" s="1" t="s">
        <v>12</v>
      </c>
      <c r="I18" s="1"/>
      <c r="J18" s="1"/>
    </row>
    <row r="19" spans="2:10">
      <c r="B19" s="1" t="s">
        <v>0</v>
      </c>
      <c r="C19" s="1" t="s">
        <v>1</v>
      </c>
      <c r="D19" s="1" t="s">
        <v>2</v>
      </c>
      <c r="E19" s="1" t="s">
        <v>3</v>
      </c>
      <c r="G19" s="1" t="s">
        <v>6</v>
      </c>
      <c r="H19" s="1" t="s">
        <v>1</v>
      </c>
      <c r="I19" s="1" t="s">
        <v>2</v>
      </c>
      <c r="J19" s="1" t="s">
        <v>3</v>
      </c>
    </row>
    <row r="20" spans="2:10">
      <c r="B20" s="1">
        <v>0</v>
      </c>
      <c r="C20">
        <v>11.5436</v>
      </c>
      <c r="D20">
        <v>14.1593</v>
      </c>
      <c r="E20">
        <v>12.737</v>
      </c>
      <c r="G20" s="1">
        <v>0</v>
      </c>
      <c r="H20">
        <v>14.7242</v>
      </c>
      <c r="I20">
        <v>13.223699999999999</v>
      </c>
      <c r="J20">
        <v>13.982799999999999</v>
      </c>
    </row>
    <row r="21" spans="2:10">
      <c r="B21" s="2">
        <v>0.1</v>
      </c>
      <c r="C21">
        <v>11.5436</v>
      </c>
      <c r="D21">
        <v>14.1593</v>
      </c>
      <c r="E21">
        <v>12.737</v>
      </c>
      <c r="G21" s="1">
        <v>0.1</v>
      </c>
      <c r="H21">
        <v>14.7242</v>
      </c>
      <c r="I21">
        <v>13.223699999999999</v>
      </c>
      <c r="J21">
        <v>13.982799999999999</v>
      </c>
    </row>
    <row r="22" spans="2:10">
      <c r="B22" s="1">
        <v>0.2</v>
      </c>
      <c r="C22">
        <v>11.5436</v>
      </c>
      <c r="D22">
        <v>14.1593</v>
      </c>
      <c r="E22">
        <v>12.737</v>
      </c>
      <c r="G22" s="1">
        <v>0.2</v>
      </c>
      <c r="H22">
        <v>14.7242</v>
      </c>
      <c r="I22">
        <v>13.223699999999999</v>
      </c>
      <c r="J22">
        <v>13.982799999999999</v>
      </c>
    </row>
    <row r="23" spans="2:10">
      <c r="B23" s="1">
        <v>0.3</v>
      </c>
      <c r="C23">
        <v>12.153499999999999</v>
      </c>
      <c r="D23">
        <v>13.056100000000001</v>
      </c>
      <c r="E23">
        <v>12.577400000000001</v>
      </c>
      <c r="G23" s="1">
        <v>0.3</v>
      </c>
      <c r="H23">
        <v>14.7233</v>
      </c>
      <c r="I23">
        <v>13.226900000000001</v>
      </c>
      <c r="J23">
        <v>13.984</v>
      </c>
    </row>
    <row r="24" spans="2:10">
      <c r="B24" s="1">
        <v>0.4</v>
      </c>
      <c r="C24">
        <v>11.9633</v>
      </c>
      <c r="D24">
        <v>13.2994</v>
      </c>
      <c r="E24">
        <v>12.5908</v>
      </c>
      <c r="G24" s="1">
        <v>0.4</v>
      </c>
      <c r="H24">
        <v>14.7233</v>
      </c>
      <c r="I24">
        <v>13.226900000000001</v>
      </c>
      <c r="J24">
        <v>13.984</v>
      </c>
    </row>
    <row r="25" spans="2:10">
      <c r="B25" s="1">
        <v>0.5</v>
      </c>
      <c r="C25">
        <v>11.536099999999999</v>
      </c>
      <c r="D25">
        <v>14.0358</v>
      </c>
      <c r="E25">
        <v>12.6975</v>
      </c>
      <c r="G25" s="1">
        <v>0.5</v>
      </c>
      <c r="H25">
        <v>14.4061</v>
      </c>
      <c r="I25">
        <v>13.6768</v>
      </c>
      <c r="J25">
        <v>14.0458</v>
      </c>
    </row>
    <row r="26" spans="2:10">
      <c r="B26" s="1">
        <v>0.6</v>
      </c>
      <c r="C26">
        <v>10.781700000000001</v>
      </c>
      <c r="D26">
        <v>15.9795</v>
      </c>
      <c r="E26">
        <v>13.071099999999999</v>
      </c>
      <c r="G26" s="1">
        <v>0.6</v>
      </c>
      <c r="H26">
        <v>14.234999999999999</v>
      </c>
      <c r="I26">
        <v>15.173</v>
      </c>
      <c r="J26">
        <v>14.6927</v>
      </c>
    </row>
    <row r="27" spans="2:10">
      <c r="B27" s="1">
        <v>0.7</v>
      </c>
      <c r="C27">
        <v>10.048400000000001</v>
      </c>
      <c r="D27">
        <v>16.531500000000001</v>
      </c>
      <c r="E27">
        <v>12.825900000000001</v>
      </c>
      <c r="G27" s="1">
        <v>0.7</v>
      </c>
      <c r="H27">
        <v>13.384399999999999</v>
      </c>
      <c r="I27">
        <v>16.252700000000001</v>
      </c>
      <c r="J27">
        <v>14.7117</v>
      </c>
    </row>
    <row r="28" spans="2:10">
      <c r="B28" s="1">
        <v>0.8</v>
      </c>
      <c r="C28">
        <v>9.2417999999999996</v>
      </c>
      <c r="D28">
        <v>16.409700000000001</v>
      </c>
      <c r="E28">
        <v>12.170500000000001</v>
      </c>
      <c r="G28" s="1">
        <v>0.8</v>
      </c>
      <c r="H28">
        <v>10.9337</v>
      </c>
      <c r="I28">
        <v>16.670000000000002</v>
      </c>
      <c r="J28">
        <v>13.403700000000001</v>
      </c>
    </row>
    <row r="29" spans="2:10">
      <c r="B29" s="1">
        <v>0.9</v>
      </c>
      <c r="C29">
        <v>8.8981999999999992</v>
      </c>
      <c r="D29">
        <v>16.5777</v>
      </c>
      <c r="E29">
        <v>12.0359</v>
      </c>
      <c r="G29" s="1">
        <v>0.9</v>
      </c>
      <c r="H29">
        <v>10.9337</v>
      </c>
      <c r="I29">
        <v>16.670000000000002</v>
      </c>
      <c r="J29">
        <v>13.403700000000001</v>
      </c>
    </row>
    <row r="30" spans="2:10">
      <c r="B30" s="1">
        <v>1</v>
      </c>
      <c r="C30">
        <v>8.8981999999999992</v>
      </c>
      <c r="D30">
        <v>16.5777</v>
      </c>
      <c r="E30">
        <v>12.0359</v>
      </c>
      <c r="G30" s="1">
        <v>1</v>
      </c>
      <c r="H30">
        <v>10.9337</v>
      </c>
      <c r="I30">
        <v>16.670000000000002</v>
      </c>
      <c r="J30">
        <v>13.403700000000001</v>
      </c>
    </row>
    <row r="32" spans="2:10">
      <c r="D32" t="s">
        <v>15</v>
      </c>
      <c r="I32" t="s">
        <v>14</v>
      </c>
    </row>
    <row r="34" spans="7:18">
      <c r="G34" s="1"/>
      <c r="H34" s="1" t="s">
        <v>12</v>
      </c>
      <c r="I34" s="1"/>
      <c r="J34" s="1"/>
      <c r="K34" t="s">
        <v>27</v>
      </c>
    </row>
    <row r="35" spans="7:18">
      <c r="G35" s="1" t="s">
        <v>6</v>
      </c>
      <c r="H35" s="1" t="s">
        <v>1</v>
      </c>
      <c r="I35" s="1" t="s">
        <v>2</v>
      </c>
      <c r="J35" s="1" t="s">
        <v>3</v>
      </c>
    </row>
    <row r="36" spans="7:18">
      <c r="G36" s="3">
        <v>0</v>
      </c>
      <c r="H36">
        <v>14.724299999999999</v>
      </c>
      <c r="I36">
        <v>13.223699999999999</v>
      </c>
      <c r="J36">
        <v>13.982900000000001</v>
      </c>
    </row>
    <row r="37" spans="7:18">
      <c r="G37" s="1">
        <v>0.1</v>
      </c>
      <c r="H37">
        <v>14.724299999999999</v>
      </c>
      <c r="I37">
        <v>13.223699999999999</v>
      </c>
      <c r="J37">
        <v>13.982900000000001</v>
      </c>
    </row>
    <row r="38" spans="7:18">
      <c r="G38" s="1">
        <v>0.2</v>
      </c>
      <c r="H38">
        <v>14.724299999999999</v>
      </c>
      <c r="I38">
        <v>13.223699999999999</v>
      </c>
      <c r="J38">
        <v>13.982900000000001</v>
      </c>
    </row>
    <row r="39" spans="7:18">
      <c r="G39" s="1">
        <v>0.3</v>
      </c>
      <c r="H39">
        <v>14.7234</v>
      </c>
      <c r="I39">
        <v>13.226900000000001</v>
      </c>
      <c r="J39">
        <v>13.984</v>
      </c>
      <c r="P39">
        <v>13.8323</v>
      </c>
      <c r="Q39">
        <v>11.628399999999999</v>
      </c>
      <c r="R39">
        <v>12.735099999999999</v>
      </c>
    </row>
    <row r="40" spans="7:18">
      <c r="G40" s="1">
        <v>0.4</v>
      </c>
      <c r="H40">
        <v>14.7234</v>
      </c>
      <c r="I40">
        <v>13.226900000000001</v>
      </c>
      <c r="J40">
        <v>13.984</v>
      </c>
    </row>
    <row r="41" spans="7:18">
      <c r="G41" s="1">
        <v>0.5</v>
      </c>
      <c r="H41">
        <v>14.4062</v>
      </c>
      <c r="I41">
        <v>13.6768</v>
      </c>
      <c r="J41">
        <v>14.0458</v>
      </c>
    </row>
    <row r="42" spans="7:18">
      <c r="G42" s="1">
        <v>0.6</v>
      </c>
      <c r="H42">
        <v>13.900600000000001</v>
      </c>
      <c r="I42">
        <v>15.352</v>
      </c>
      <c r="J42">
        <v>14.6021</v>
      </c>
      <c r="P42">
        <v>12.5954</v>
      </c>
      <c r="Q42">
        <v>14.824299999999999</v>
      </c>
      <c r="R42">
        <v>13.6686</v>
      </c>
    </row>
    <row r="43" spans="7:18">
      <c r="G43" s="1">
        <v>0.7</v>
      </c>
      <c r="H43">
        <v>13.1904</v>
      </c>
      <c r="I43">
        <v>16.223700000000001</v>
      </c>
      <c r="J43">
        <v>14.593999999999999</v>
      </c>
    </row>
    <row r="44" spans="7:18">
      <c r="G44" s="1">
        <v>0.8</v>
      </c>
      <c r="H44">
        <v>10.9337</v>
      </c>
      <c r="I44">
        <v>16.670000000000002</v>
      </c>
      <c r="J44">
        <v>13.4038</v>
      </c>
    </row>
    <row r="45" spans="7:18">
      <c r="G45" s="3">
        <v>0.9</v>
      </c>
      <c r="H45">
        <v>10.9337</v>
      </c>
      <c r="I45">
        <v>16.670000000000002</v>
      </c>
      <c r="J45">
        <v>13.4038</v>
      </c>
    </row>
    <row r="46" spans="7:18">
      <c r="G46" s="3">
        <v>1</v>
      </c>
      <c r="H46">
        <v>10.9337</v>
      </c>
      <c r="I46">
        <v>16.670000000000002</v>
      </c>
      <c r="J46">
        <v>13.4038</v>
      </c>
    </row>
    <row r="48" spans="7:18">
      <c r="I48" t="s">
        <v>16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A9618-525F-2442-81BE-F5E93BCB73FA}">
  <dimension ref="B2:O48"/>
  <sheetViews>
    <sheetView topLeftCell="B1" workbookViewId="0">
      <selection activeCell="K44" sqref="K44"/>
    </sheetView>
  </sheetViews>
  <sheetFormatPr baseColWidth="10" defaultRowHeight="20"/>
  <sheetData>
    <row r="2" spans="2:10">
      <c r="B2" s="1"/>
      <c r="C2" s="1" t="s">
        <v>4</v>
      </c>
      <c r="D2" s="1"/>
      <c r="E2" s="1"/>
      <c r="F2" s="1"/>
      <c r="G2" s="1"/>
      <c r="H2" s="1" t="s">
        <v>7</v>
      </c>
      <c r="I2" s="1"/>
      <c r="J2" s="1"/>
    </row>
    <row r="3" spans="2:10">
      <c r="B3" s="1" t="s">
        <v>6</v>
      </c>
      <c r="C3" s="1" t="s">
        <v>1</v>
      </c>
      <c r="D3" s="1" t="s">
        <v>2</v>
      </c>
      <c r="E3" s="1" t="s">
        <v>3</v>
      </c>
      <c r="F3" s="1"/>
      <c r="G3" s="1" t="s">
        <v>6</v>
      </c>
      <c r="H3" s="1" t="s">
        <v>1</v>
      </c>
      <c r="I3" s="1" t="s">
        <v>2</v>
      </c>
      <c r="J3" s="1" t="s">
        <v>3</v>
      </c>
    </row>
    <row r="4" spans="2:10">
      <c r="B4" s="1">
        <v>0</v>
      </c>
      <c r="C4" s="1">
        <v>14.539899999999999</v>
      </c>
      <c r="D4" s="1">
        <v>11.904999999999999</v>
      </c>
      <c r="E4" s="1">
        <v>13.1371</v>
      </c>
      <c r="F4" s="1"/>
      <c r="G4" s="1">
        <v>0</v>
      </c>
      <c r="H4" s="1">
        <v>15.4712</v>
      </c>
      <c r="I4" s="1">
        <v>14.8276</v>
      </c>
      <c r="J4" s="1">
        <v>15.142099999999999</v>
      </c>
    </row>
    <row r="5" spans="2:10">
      <c r="B5" s="1">
        <v>0.1</v>
      </c>
      <c r="C5" s="1">
        <v>14.539899999999999</v>
      </c>
      <c r="D5" s="1">
        <v>11.904999999999999</v>
      </c>
      <c r="E5" s="1">
        <v>13.1371</v>
      </c>
      <c r="F5" s="1"/>
      <c r="G5" s="1">
        <v>0.1</v>
      </c>
      <c r="H5" s="1">
        <v>15.3667</v>
      </c>
      <c r="I5" s="1">
        <v>15.001899999999999</v>
      </c>
      <c r="J5" s="1">
        <v>15.180199999999999</v>
      </c>
    </row>
    <row r="6" spans="2:10">
      <c r="B6" s="1">
        <v>0.2</v>
      </c>
      <c r="C6" s="1">
        <v>13.9224</v>
      </c>
      <c r="D6" s="1">
        <v>13.515700000000001</v>
      </c>
      <c r="E6" s="1">
        <v>13.7095</v>
      </c>
      <c r="F6" s="1"/>
      <c r="G6" s="1">
        <v>0.2</v>
      </c>
      <c r="H6" s="1">
        <v>15.2775</v>
      </c>
      <c r="I6" s="1">
        <v>15.2418</v>
      </c>
      <c r="J6" s="1">
        <v>15.2592</v>
      </c>
    </row>
    <row r="7" spans="2:10">
      <c r="B7" s="1">
        <v>0.3</v>
      </c>
      <c r="C7" s="1">
        <v>11.0572</v>
      </c>
      <c r="D7" s="1">
        <v>16.619900000000001</v>
      </c>
      <c r="E7" s="1">
        <v>13.5822</v>
      </c>
      <c r="F7" s="1"/>
      <c r="G7" s="1">
        <v>0.3</v>
      </c>
      <c r="H7" s="1">
        <v>14.280799999999999</v>
      </c>
      <c r="I7" s="1">
        <v>16.375399999999999</v>
      </c>
      <c r="J7" s="1">
        <v>15.305300000000001</v>
      </c>
    </row>
    <row r="8" spans="2:10">
      <c r="B8" s="1">
        <v>0.4</v>
      </c>
      <c r="C8" s="1">
        <v>11.0572</v>
      </c>
      <c r="D8" s="1">
        <v>16.619900000000001</v>
      </c>
      <c r="E8" s="1">
        <v>13.5822</v>
      </c>
      <c r="F8" s="1"/>
      <c r="G8" s="1">
        <v>0.4</v>
      </c>
      <c r="H8" s="1">
        <v>13.366400000000001</v>
      </c>
      <c r="I8" s="1">
        <v>16.456499999999998</v>
      </c>
      <c r="J8" s="1">
        <v>14.8537</v>
      </c>
    </row>
    <row r="9" spans="2:10">
      <c r="B9" s="1">
        <v>0.5</v>
      </c>
      <c r="C9" s="1">
        <v>11.0572</v>
      </c>
      <c r="D9" s="1">
        <v>16.619900000000001</v>
      </c>
      <c r="E9" s="1">
        <v>13.5822</v>
      </c>
      <c r="F9" s="1"/>
      <c r="G9" s="1">
        <v>0.5</v>
      </c>
      <c r="H9" s="1">
        <v>13.256600000000001</v>
      </c>
      <c r="I9" s="1">
        <v>16.670000000000002</v>
      </c>
      <c r="J9" s="1">
        <v>14.879200000000001</v>
      </c>
    </row>
    <row r="10" spans="2:10">
      <c r="B10" s="1">
        <v>0.6</v>
      </c>
      <c r="C10" s="1">
        <v>11.0572</v>
      </c>
      <c r="D10" s="1">
        <v>16.619900000000001</v>
      </c>
      <c r="E10" s="1">
        <v>13.5822</v>
      </c>
      <c r="F10" s="1"/>
      <c r="G10" s="1">
        <v>0.6</v>
      </c>
      <c r="H10" s="1">
        <v>13.256600000000001</v>
      </c>
      <c r="I10" s="1">
        <v>16.670000000000002</v>
      </c>
      <c r="J10" s="1">
        <v>14.879200000000001</v>
      </c>
    </row>
    <row r="11" spans="2:10">
      <c r="B11" s="1">
        <v>0.7</v>
      </c>
      <c r="C11" s="1">
        <v>8.7639999999999993</v>
      </c>
      <c r="D11" s="1">
        <v>16.670000000000002</v>
      </c>
      <c r="E11" s="1">
        <v>12.0534</v>
      </c>
      <c r="F11" s="1"/>
      <c r="G11" s="1">
        <v>0.7</v>
      </c>
      <c r="H11" s="1">
        <v>13.256600000000001</v>
      </c>
      <c r="I11" s="1">
        <v>16.670000000000002</v>
      </c>
      <c r="J11" s="1">
        <v>14.879200000000001</v>
      </c>
    </row>
    <row r="12" spans="2:10">
      <c r="B12" s="1">
        <v>0.8</v>
      </c>
      <c r="C12" s="1">
        <v>8.7639999999999993</v>
      </c>
      <c r="D12" s="1">
        <v>16.670000000000002</v>
      </c>
      <c r="E12" s="1">
        <v>12.0534</v>
      </c>
      <c r="F12" s="1"/>
      <c r="G12" s="1">
        <v>0.8</v>
      </c>
      <c r="H12" s="1">
        <v>13.256600000000001</v>
      </c>
      <c r="I12" s="1">
        <v>16.670000000000002</v>
      </c>
      <c r="J12" s="1">
        <v>14.879200000000001</v>
      </c>
    </row>
    <row r="13" spans="2:10">
      <c r="B13" s="1">
        <v>0.9</v>
      </c>
      <c r="C13" s="1">
        <v>8.7639999999999993</v>
      </c>
      <c r="D13" s="1">
        <v>16.670000000000002</v>
      </c>
      <c r="E13" s="1">
        <v>12.0534</v>
      </c>
      <c r="F13" s="1"/>
      <c r="G13" s="1">
        <v>0.9</v>
      </c>
      <c r="H13" s="1">
        <v>13.256600000000001</v>
      </c>
      <c r="I13" s="1">
        <v>16.670000000000002</v>
      </c>
      <c r="J13" s="1">
        <v>14.879200000000001</v>
      </c>
    </row>
    <row r="14" spans="2:10">
      <c r="B14" s="1">
        <v>1</v>
      </c>
      <c r="C14" s="1">
        <v>8.7639999999999993</v>
      </c>
      <c r="D14" s="1">
        <v>16.670000000000002</v>
      </c>
      <c r="E14" s="1">
        <v>12.0534</v>
      </c>
      <c r="F14" s="1"/>
      <c r="G14" s="1">
        <v>1</v>
      </c>
      <c r="H14" s="1">
        <v>13.256600000000001</v>
      </c>
      <c r="I14" s="1">
        <v>16.670000000000002</v>
      </c>
      <c r="J14" s="1">
        <v>14.879200000000001</v>
      </c>
    </row>
    <row r="15" spans="2:10">
      <c r="B15" s="1"/>
      <c r="C15" s="1"/>
      <c r="D15" s="1"/>
      <c r="E15" s="1"/>
      <c r="F15" s="1"/>
      <c r="G15" s="1"/>
      <c r="H15" s="1"/>
      <c r="I15" s="1"/>
      <c r="J15" s="1"/>
    </row>
    <row r="16" spans="2:10">
      <c r="B16" s="1"/>
      <c r="C16" s="1"/>
      <c r="D16" s="1" t="s">
        <v>13</v>
      </c>
      <c r="E16" s="1"/>
      <c r="F16" s="1"/>
      <c r="G16" s="1"/>
      <c r="H16" s="1"/>
      <c r="I16" s="1" t="s">
        <v>13</v>
      </c>
      <c r="J16" s="1"/>
    </row>
    <row r="17" spans="2:10">
      <c r="B17" s="1"/>
      <c r="C17" s="1"/>
      <c r="D17" s="1"/>
      <c r="E17" s="1"/>
      <c r="F17" s="1"/>
      <c r="G17" s="1"/>
      <c r="H17" s="1"/>
      <c r="I17" s="1"/>
      <c r="J17" s="1"/>
    </row>
    <row r="18" spans="2:10">
      <c r="B18" s="1"/>
      <c r="C18" s="1" t="s">
        <v>9</v>
      </c>
      <c r="D18" s="1"/>
      <c r="E18" s="1"/>
      <c r="F18" s="1"/>
      <c r="G18" s="1"/>
      <c r="H18" s="1" t="s">
        <v>11</v>
      </c>
      <c r="I18" s="1"/>
      <c r="J18" s="1"/>
    </row>
    <row r="19" spans="2:10">
      <c r="B19" s="1" t="s">
        <v>6</v>
      </c>
      <c r="C19" s="1" t="s">
        <v>1</v>
      </c>
      <c r="D19" s="1" t="s">
        <v>2</v>
      </c>
      <c r="E19" s="1" t="s">
        <v>3</v>
      </c>
      <c r="F19" s="1"/>
      <c r="G19" s="1" t="s">
        <v>6</v>
      </c>
      <c r="H19" s="1" t="s">
        <v>1</v>
      </c>
      <c r="I19" s="1" t="s">
        <v>2</v>
      </c>
      <c r="J19" s="1" t="s">
        <v>3</v>
      </c>
    </row>
    <row r="20" spans="2:10">
      <c r="B20" s="1">
        <v>0</v>
      </c>
      <c r="C20">
        <v>14.539899999999999</v>
      </c>
      <c r="D20">
        <v>11.904999999999999</v>
      </c>
      <c r="E20">
        <v>13.1371</v>
      </c>
      <c r="F20" s="1"/>
      <c r="G20" s="1">
        <v>0</v>
      </c>
      <c r="H20">
        <v>15.4711</v>
      </c>
      <c r="I20">
        <v>14.8276</v>
      </c>
      <c r="J20">
        <v>15.141999999999999</v>
      </c>
    </row>
    <row r="21" spans="2:10">
      <c r="B21" s="1">
        <v>0.1</v>
      </c>
      <c r="C21">
        <v>14.539899999999999</v>
      </c>
      <c r="D21">
        <v>11.904999999999999</v>
      </c>
      <c r="E21">
        <v>13.1371</v>
      </c>
      <c r="F21" s="1"/>
      <c r="G21" s="1">
        <v>0.1</v>
      </c>
      <c r="H21">
        <v>15.4711</v>
      </c>
      <c r="I21">
        <v>14.8276</v>
      </c>
      <c r="J21">
        <v>15.141999999999999</v>
      </c>
    </row>
    <row r="22" spans="2:10">
      <c r="B22" s="1">
        <v>0.2</v>
      </c>
      <c r="C22">
        <v>14.539899999999999</v>
      </c>
      <c r="D22">
        <v>11.904999999999999</v>
      </c>
      <c r="E22">
        <v>13.1371</v>
      </c>
      <c r="F22" s="1"/>
      <c r="G22" s="1">
        <v>0.2</v>
      </c>
      <c r="H22">
        <v>15.374499999999999</v>
      </c>
      <c r="I22">
        <v>14.939299999999999</v>
      </c>
      <c r="J22">
        <v>15.151899999999999</v>
      </c>
    </row>
    <row r="23" spans="2:10">
      <c r="B23" s="1">
        <v>0.3</v>
      </c>
      <c r="C23">
        <v>13.955299999999999</v>
      </c>
      <c r="D23">
        <v>13.0045</v>
      </c>
      <c r="E23">
        <v>13.4575</v>
      </c>
      <c r="F23" s="1"/>
      <c r="G23" s="1">
        <v>0.3</v>
      </c>
      <c r="H23">
        <v>15.3003</v>
      </c>
      <c r="I23">
        <v>15.182700000000001</v>
      </c>
      <c r="J23">
        <v>15.2401</v>
      </c>
    </row>
    <row r="24" spans="2:10">
      <c r="B24" s="1">
        <v>0.4</v>
      </c>
      <c r="C24">
        <v>13.936299999999999</v>
      </c>
      <c r="D24">
        <v>13.246</v>
      </c>
      <c r="E24">
        <v>13.5749</v>
      </c>
      <c r="F24" s="1"/>
      <c r="G24" s="1">
        <v>0.4</v>
      </c>
      <c r="H24">
        <v>15.2775</v>
      </c>
      <c r="I24">
        <v>15.2417</v>
      </c>
      <c r="J24">
        <v>15.2592</v>
      </c>
    </row>
    <row r="25" spans="2:10">
      <c r="B25" s="1">
        <v>0.5</v>
      </c>
      <c r="C25">
        <v>11.795400000000001</v>
      </c>
      <c r="D25">
        <v>15.795999999999999</v>
      </c>
      <c r="E25">
        <v>13.631</v>
      </c>
      <c r="F25" s="1"/>
      <c r="G25" s="1">
        <v>0.5</v>
      </c>
      <c r="H25">
        <v>15.2775</v>
      </c>
      <c r="I25">
        <v>15.2417</v>
      </c>
      <c r="J25">
        <v>15.2592</v>
      </c>
    </row>
    <row r="26" spans="2:10">
      <c r="B26" s="1">
        <v>0.6</v>
      </c>
      <c r="C26">
        <v>11.6631</v>
      </c>
      <c r="D26">
        <v>16.2013</v>
      </c>
      <c r="E26">
        <v>13.7296</v>
      </c>
      <c r="F26" s="1"/>
      <c r="G26" s="1">
        <v>0.6</v>
      </c>
      <c r="H26">
        <v>14.256600000000001</v>
      </c>
      <c r="I26">
        <v>16.343299999999999</v>
      </c>
      <c r="J26">
        <v>15.277100000000001</v>
      </c>
    </row>
    <row r="27" spans="2:10">
      <c r="B27" s="1">
        <v>0.7</v>
      </c>
      <c r="C27">
        <v>11.4938</v>
      </c>
      <c r="D27">
        <v>16.296299999999999</v>
      </c>
      <c r="E27">
        <v>13.6807</v>
      </c>
      <c r="F27" s="1"/>
      <c r="G27" s="1">
        <v>0.7</v>
      </c>
      <c r="H27">
        <v>13.366300000000001</v>
      </c>
      <c r="I27">
        <v>16.456499999999998</v>
      </c>
      <c r="J27">
        <v>14.8537</v>
      </c>
    </row>
    <row r="28" spans="2:10">
      <c r="B28" s="1">
        <v>0.8</v>
      </c>
      <c r="C28">
        <v>11.3636</v>
      </c>
      <c r="D28">
        <v>16.5456</v>
      </c>
      <c r="E28">
        <v>13.7158</v>
      </c>
      <c r="F28" s="1"/>
      <c r="G28" s="1">
        <v>0.8</v>
      </c>
      <c r="H28">
        <v>13.256500000000001</v>
      </c>
      <c r="I28">
        <v>16.670000000000002</v>
      </c>
      <c r="J28">
        <v>14.879200000000001</v>
      </c>
    </row>
    <row r="29" spans="2:10">
      <c r="B29" s="1">
        <v>0.9</v>
      </c>
      <c r="C29">
        <v>11.0572</v>
      </c>
      <c r="D29">
        <v>16.619900000000001</v>
      </c>
      <c r="E29">
        <v>13.5822</v>
      </c>
      <c r="F29" s="1"/>
      <c r="G29" s="1">
        <v>0.9</v>
      </c>
      <c r="H29">
        <v>13.256500000000001</v>
      </c>
      <c r="I29">
        <v>16.670000000000002</v>
      </c>
      <c r="J29">
        <v>14.879200000000001</v>
      </c>
    </row>
    <row r="30" spans="2:10">
      <c r="B30" s="1">
        <v>1</v>
      </c>
      <c r="C30">
        <v>8.7639499999999995</v>
      </c>
      <c r="D30">
        <v>16.670000000000002</v>
      </c>
      <c r="E30">
        <v>12.0534</v>
      </c>
      <c r="F30" s="1"/>
      <c r="G30" s="1">
        <v>1</v>
      </c>
      <c r="H30">
        <v>13.256500000000001</v>
      </c>
      <c r="I30">
        <v>16.670000000000002</v>
      </c>
      <c r="J30">
        <v>14.879200000000001</v>
      </c>
    </row>
    <row r="32" spans="2:10">
      <c r="D32" t="s">
        <v>15</v>
      </c>
      <c r="I32" t="s">
        <v>14</v>
      </c>
    </row>
    <row r="34" spans="7:15">
      <c r="G34" s="1"/>
      <c r="H34" s="1" t="s">
        <v>12</v>
      </c>
      <c r="I34" s="1"/>
      <c r="J34" s="1"/>
      <c r="K34" t="s">
        <v>27</v>
      </c>
    </row>
    <row r="35" spans="7:15">
      <c r="G35" s="1" t="s">
        <v>6</v>
      </c>
      <c r="H35" s="1" t="s">
        <v>1</v>
      </c>
      <c r="I35" s="1" t="s">
        <v>2</v>
      </c>
      <c r="J35" s="1" t="s">
        <v>3</v>
      </c>
    </row>
    <row r="36" spans="7:15">
      <c r="G36" s="1">
        <v>0</v>
      </c>
      <c r="H36">
        <v>15.4712</v>
      </c>
      <c r="I36">
        <v>14.8276</v>
      </c>
      <c r="J36">
        <v>15.142099999999999</v>
      </c>
      <c r="M36">
        <v>15.4712</v>
      </c>
      <c r="N36">
        <v>14.8276</v>
      </c>
      <c r="O36">
        <v>15.142099999999999</v>
      </c>
    </row>
    <row r="37" spans="7:15">
      <c r="G37" s="1">
        <v>0.1</v>
      </c>
      <c r="H37">
        <v>15.4712</v>
      </c>
      <c r="I37">
        <v>14.8276</v>
      </c>
      <c r="J37">
        <v>15.142099999999999</v>
      </c>
      <c r="M37">
        <v>15.4712</v>
      </c>
      <c r="N37">
        <v>14.8276</v>
      </c>
      <c r="O37">
        <v>15.142099999999999</v>
      </c>
    </row>
    <row r="38" spans="7:15">
      <c r="G38" s="1">
        <v>0.2</v>
      </c>
      <c r="H38">
        <v>15.374599999999999</v>
      </c>
      <c r="I38">
        <v>14.939299999999999</v>
      </c>
      <c r="J38">
        <v>15.151899999999999</v>
      </c>
      <c r="M38">
        <v>15.374599999999999</v>
      </c>
      <c r="N38">
        <v>14.939299999999999</v>
      </c>
      <c r="O38">
        <v>15.151999999999999</v>
      </c>
    </row>
    <row r="39" spans="7:15">
      <c r="G39" s="1">
        <v>0.3</v>
      </c>
      <c r="H39">
        <v>15.3003</v>
      </c>
      <c r="I39">
        <v>15.182700000000001</v>
      </c>
      <c r="J39">
        <v>15.2402</v>
      </c>
      <c r="M39">
        <v>15.3003</v>
      </c>
      <c r="N39">
        <v>15.182700000000001</v>
      </c>
      <c r="O39">
        <v>15.2402</v>
      </c>
    </row>
    <row r="40" spans="7:15">
      <c r="G40" s="1">
        <v>0.4</v>
      </c>
      <c r="H40">
        <v>15.2775</v>
      </c>
      <c r="I40">
        <v>15.2418</v>
      </c>
      <c r="J40">
        <v>15.2592</v>
      </c>
      <c r="M40">
        <v>15.2775</v>
      </c>
      <c r="N40">
        <v>15.2418</v>
      </c>
      <c r="O40">
        <v>15.2592</v>
      </c>
    </row>
    <row r="41" spans="7:15">
      <c r="G41" s="1">
        <v>0.5</v>
      </c>
      <c r="H41">
        <v>14.255699999999999</v>
      </c>
      <c r="I41">
        <v>16.343</v>
      </c>
      <c r="J41">
        <v>15.2765</v>
      </c>
      <c r="M41">
        <v>14.283799999999999</v>
      </c>
      <c r="N41">
        <v>16.379100000000001</v>
      </c>
      <c r="O41">
        <v>15.3087</v>
      </c>
    </row>
    <row r="42" spans="7:15">
      <c r="G42" s="1">
        <v>0.6</v>
      </c>
      <c r="H42">
        <v>14.326000000000001</v>
      </c>
      <c r="I42">
        <v>16.409199999999998</v>
      </c>
      <c r="J42">
        <v>15.345000000000001</v>
      </c>
      <c r="M42">
        <v>14.247400000000001</v>
      </c>
      <c r="N42">
        <v>16.3505</v>
      </c>
      <c r="O42">
        <v>15.276</v>
      </c>
    </row>
    <row r="43" spans="7:15">
      <c r="G43" s="1">
        <v>0.7</v>
      </c>
      <c r="H43">
        <v>13.256600000000001</v>
      </c>
      <c r="I43">
        <v>16.670000000000002</v>
      </c>
      <c r="J43">
        <v>14.879200000000001</v>
      </c>
      <c r="M43">
        <v>13.256600000000001</v>
      </c>
      <c r="N43">
        <v>16.670000000000002</v>
      </c>
      <c r="O43">
        <v>14.879200000000001</v>
      </c>
    </row>
    <row r="44" spans="7:15">
      <c r="G44" s="1">
        <v>0.8</v>
      </c>
      <c r="H44">
        <v>13.256600000000001</v>
      </c>
      <c r="I44">
        <v>16.670000000000002</v>
      </c>
      <c r="J44">
        <v>14.879200000000001</v>
      </c>
      <c r="M44">
        <v>13.256600000000001</v>
      </c>
      <c r="N44">
        <v>16.670000000000002</v>
      </c>
      <c r="O44">
        <v>14.879200000000001</v>
      </c>
    </row>
    <row r="45" spans="7:15">
      <c r="G45" s="1">
        <v>0.9</v>
      </c>
      <c r="H45">
        <v>13.256600000000001</v>
      </c>
      <c r="I45">
        <v>16.670000000000002</v>
      </c>
      <c r="J45">
        <v>14.879200000000001</v>
      </c>
      <c r="M45">
        <v>13.256600000000001</v>
      </c>
      <c r="N45">
        <v>16.670000000000002</v>
      </c>
      <c r="O45">
        <v>14.879200000000001</v>
      </c>
    </row>
    <row r="46" spans="7:15">
      <c r="G46" s="1">
        <v>1</v>
      </c>
      <c r="H46">
        <v>13.256600000000001</v>
      </c>
      <c r="I46">
        <v>16.670000000000002</v>
      </c>
      <c r="J46">
        <v>14.879200000000001</v>
      </c>
      <c r="M46">
        <v>13.256600000000001</v>
      </c>
      <c r="N46">
        <v>16.670000000000002</v>
      </c>
      <c r="O46">
        <v>14.879200000000001</v>
      </c>
    </row>
    <row r="48" spans="7:15">
      <c r="I48" t="s">
        <v>17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8326F-775C-614E-AA51-F7DC6DF55372}">
  <dimension ref="B2:K48"/>
  <sheetViews>
    <sheetView topLeftCell="A21" workbookViewId="0">
      <selection activeCell="I49" sqref="I49"/>
    </sheetView>
  </sheetViews>
  <sheetFormatPr baseColWidth="10" defaultRowHeight="20"/>
  <sheetData>
    <row r="2" spans="2:10">
      <c r="B2" s="1"/>
      <c r="C2" s="1" t="s">
        <v>4</v>
      </c>
      <c r="D2" s="1"/>
      <c r="E2" s="1"/>
      <c r="F2" s="1"/>
      <c r="G2" s="1"/>
      <c r="H2" s="1" t="s">
        <v>7</v>
      </c>
      <c r="I2" s="1"/>
      <c r="J2" s="1"/>
    </row>
    <row r="3" spans="2:10">
      <c r="B3" s="1" t="s">
        <v>6</v>
      </c>
      <c r="C3" s="1" t="s">
        <v>1</v>
      </c>
      <c r="D3" s="1" t="s">
        <v>2</v>
      </c>
      <c r="E3" s="1" t="s">
        <v>3</v>
      </c>
      <c r="F3" s="1"/>
      <c r="G3" s="1" t="s">
        <v>6</v>
      </c>
      <c r="H3" s="1" t="s">
        <v>1</v>
      </c>
      <c r="I3" s="1" t="s">
        <v>2</v>
      </c>
      <c r="J3" s="1" t="s">
        <v>3</v>
      </c>
    </row>
    <row r="4" spans="2:10">
      <c r="B4" s="1">
        <v>0</v>
      </c>
      <c r="C4" s="1">
        <v>14.581799999999999</v>
      </c>
      <c r="D4" s="1">
        <v>15.4292</v>
      </c>
      <c r="E4" s="1">
        <v>15.0124</v>
      </c>
      <c r="F4" s="1"/>
      <c r="G4" s="1">
        <v>0</v>
      </c>
      <c r="H4" s="1">
        <v>16.215800000000002</v>
      </c>
      <c r="I4" s="1">
        <v>16.145600000000002</v>
      </c>
      <c r="J4" s="1">
        <v>16.179099999999998</v>
      </c>
    </row>
    <row r="5" spans="2:10">
      <c r="B5" s="1">
        <v>0.1</v>
      </c>
      <c r="C5" s="1">
        <v>14.581799999999999</v>
      </c>
      <c r="D5" s="1">
        <v>15.4292</v>
      </c>
      <c r="E5" s="1">
        <v>15.0124</v>
      </c>
      <c r="F5" s="1"/>
      <c r="G5" s="1">
        <v>0.1</v>
      </c>
      <c r="H5" s="1">
        <v>16.215800000000002</v>
      </c>
      <c r="I5" s="1">
        <v>16.145600000000002</v>
      </c>
      <c r="J5" s="1">
        <v>16.179099999999998</v>
      </c>
    </row>
    <row r="6" spans="2:10">
      <c r="B6" s="1">
        <v>0.2</v>
      </c>
      <c r="C6" s="1">
        <v>14.577500000000001</v>
      </c>
      <c r="D6" s="1">
        <v>15.4383</v>
      </c>
      <c r="E6" s="1">
        <v>15.014900000000001</v>
      </c>
      <c r="F6" s="1"/>
      <c r="G6" s="1">
        <v>0.2</v>
      </c>
      <c r="H6" s="1">
        <v>16.215800000000002</v>
      </c>
      <c r="I6" s="1">
        <v>16.145600000000002</v>
      </c>
      <c r="J6" s="1">
        <v>16.179099999999998</v>
      </c>
    </row>
    <row r="7" spans="2:10">
      <c r="B7" s="1">
        <v>0.3</v>
      </c>
      <c r="C7" s="1">
        <v>14.577400000000001</v>
      </c>
      <c r="D7" s="1">
        <v>15.4382</v>
      </c>
      <c r="E7" s="1">
        <v>15.0153</v>
      </c>
      <c r="F7" s="1"/>
      <c r="G7" s="1">
        <v>0.3</v>
      </c>
      <c r="H7" s="1">
        <v>16.215800000000002</v>
      </c>
      <c r="I7" s="1">
        <v>16.145600000000002</v>
      </c>
      <c r="J7" s="1">
        <v>16.179099999999998</v>
      </c>
    </row>
    <row r="8" spans="2:10">
      <c r="B8" s="1">
        <v>0.4</v>
      </c>
      <c r="C8" s="1">
        <v>14.3765</v>
      </c>
      <c r="D8" s="1">
        <v>15.8698</v>
      </c>
      <c r="E8" s="1">
        <v>15.135300000000001</v>
      </c>
      <c r="F8" s="1"/>
      <c r="G8" s="1">
        <v>0.4</v>
      </c>
      <c r="H8" s="1">
        <v>16.183399999999999</v>
      </c>
      <c r="I8" s="1">
        <v>16.2225</v>
      </c>
      <c r="J8" s="1">
        <v>16.203800000000001</v>
      </c>
    </row>
    <row r="9" spans="2:10">
      <c r="B9" s="1">
        <v>0.5</v>
      </c>
      <c r="C9" s="1">
        <v>9.8138000000000005</v>
      </c>
      <c r="D9" s="1">
        <v>16.647500000000001</v>
      </c>
      <c r="E9" s="1">
        <v>12.8902</v>
      </c>
      <c r="F9" s="1"/>
      <c r="G9" s="1">
        <v>0.5</v>
      </c>
      <c r="H9" s="1">
        <v>13.0121</v>
      </c>
      <c r="I9" s="1">
        <v>16.670000000000002</v>
      </c>
      <c r="J9" s="1">
        <v>14.7402</v>
      </c>
    </row>
    <row r="10" spans="2:10">
      <c r="B10" s="1">
        <v>0.6</v>
      </c>
      <c r="C10" s="1">
        <v>9.8138000000000005</v>
      </c>
      <c r="D10" s="1">
        <v>16.647500000000001</v>
      </c>
      <c r="E10" s="1">
        <v>12.8902</v>
      </c>
      <c r="F10" s="1"/>
      <c r="G10" s="1">
        <v>0.6</v>
      </c>
      <c r="H10" s="1">
        <v>13.0121</v>
      </c>
      <c r="I10" s="1">
        <v>16.670000000000002</v>
      </c>
      <c r="J10" s="1">
        <v>14.7402</v>
      </c>
    </row>
    <row r="11" spans="2:10">
      <c r="B11" s="1">
        <v>0.7</v>
      </c>
      <c r="C11" s="1">
        <v>9.8138000000000005</v>
      </c>
      <c r="D11" s="1">
        <v>16.647500000000001</v>
      </c>
      <c r="E11" s="1">
        <v>12.8902</v>
      </c>
      <c r="F11" s="1"/>
      <c r="G11" s="1">
        <v>0.7</v>
      </c>
      <c r="H11" s="1">
        <v>13.0121</v>
      </c>
      <c r="I11" s="1">
        <v>16.670000000000002</v>
      </c>
      <c r="J11" s="1">
        <v>14.7402</v>
      </c>
    </row>
    <row r="12" spans="2:10">
      <c r="B12" s="1">
        <v>0.8</v>
      </c>
      <c r="C12" s="1">
        <v>9.8138000000000005</v>
      </c>
      <c r="D12" s="1">
        <v>16.647500000000001</v>
      </c>
      <c r="E12" s="1">
        <v>12.8902</v>
      </c>
      <c r="F12" s="1"/>
      <c r="G12" s="1">
        <v>0.8</v>
      </c>
      <c r="H12" s="1">
        <v>13.0121</v>
      </c>
      <c r="I12" s="1">
        <v>16.670000000000002</v>
      </c>
      <c r="J12" s="1">
        <v>14.7402</v>
      </c>
    </row>
    <row r="13" spans="2:10">
      <c r="B13" s="1">
        <v>0.9</v>
      </c>
      <c r="C13" s="1">
        <v>9.8138000000000005</v>
      </c>
      <c r="D13" s="1">
        <v>16.647500000000001</v>
      </c>
      <c r="E13" s="1">
        <v>12.8902</v>
      </c>
      <c r="F13" s="1"/>
      <c r="G13" s="1">
        <v>0.9</v>
      </c>
      <c r="H13" s="1">
        <v>13.0121</v>
      </c>
      <c r="I13" s="1">
        <v>16.670000000000002</v>
      </c>
      <c r="J13" s="1">
        <v>14.7402</v>
      </c>
    </row>
    <row r="14" spans="2:10">
      <c r="B14" s="1">
        <v>1</v>
      </c>
      <c r="C14" s="1">
        <v>9.8138000000000005</v>
      </c>
      <c r="D14" s="1">
        <v>16.647500000000001</v>
      </c>
      <c r="E14" s="1">
        <v>12.8902</v>
      </c>
      <c r="F14" s="1"/>
      <c r="G14" s="1">
        <v>1</v>
      </c>
      <c r="H14" s="1">
        <v>13.0121</v>
      </c>
      <c r="I14" s="1">
        <v>16.670000000000002</v>
      </c>
      <c r="J14" s="1">
        <v>14.7402</v>
      </c>
    </row>
    <row r="15" spans="2:10">
      <c r="B15" s="1"/>
      <c r="C15" s="1"/>
      <c r="D15" s="1"/>
      <c r="E15" s="1"/>
      <c r="F15" s="1"/>
      <c r="G15" s="1"/>
      <c r="H15" s="1"/>
      <c r="I15" s="1"/>
      <c r="J15" s="1"/>
    </row>
    <row r="16" spans="2:10">
      <c r="B16" s="1"/>
      <c r="C16" s="1"/>
      <c r="D16" s="1" t="s">
        <v>13</v>
      </c>
      <c r="E16" s="1"/>
      <c r="F16" s="1"/>
      <c r="G16" s="1"/>
      <c r="H16" s="1"/>
      <c r="I16" s="1" t="s">
        <v>13</v>
      </c>
      <c r="J16" s="1"/>
    </row>
    <row r="17" spans="2:10">
      <c r="B17" s="1"/>
      <c r="C17" s="1"/>
      <c r="D17" s="1"/>
      <c r="E17" s="1"/>
      <c r="F17" s="1"/>
      <c r="G17" s="1"/>
      <c r="H17" s="1"/>
      <c r="I17" s="1"/>
      <c r="J17" s="1"/>
    </row>
    <row r="18" spans="2:10">
      <c r="B18" s="1"/>
      <c r="C18" s="1" t="s">
        <v>9</v>
      </c>
      <c r="D18" s="1"/>
      <c r="E18" s="1"/>
      <c r="F18" s="1"/>
      <c r="G18" s="1"/>
      <c r="H18" s="1" t="s">
        <v>11</v>
      </c>
      <c r="I18" s="1"/>
      <c r="J18" s="1"/>
    </row>
    <row r="19" spans="2:10">
      <c r="B19" s="1" t="s">
        <v>6</v>
      </c>
      <c r="C19" s="1" t="s">
        <v>1</v>
      </c>
      <c r="D19" s="1" t="s">
        <v>2</v>
      </c>
      <c r="E19" s="1" t="s">
        <v>3</v>
      </c>
      <c r="F19" s="1"/>
      <c r="G19" s="1" t="s">
        <v>6</v>
      </c>
      <c r="H19" s="1" t="s">
        <v>1</v>
      </c>
      <c r="I19" s="1" t="s">
        <v>2</v>
      </c>
      <c r="J19" s="1" t="s">
        <v>3</v>
      </c>
    </row>
    <row r="20" spans="2:10">
      <c r="B20" s="1">
        <v>0</v>
      </c>
      <c r="C20">
        <v>14.581799999999999</v>
      </c>
      <c r="D20">
        <v>15.4292</v>
      </c>
      <c r="E20">
        <v>15.0124</v>
      </c>
      <c r="F20" s="1"/>
      <c r="G20" s="1">
        <v>0</v>
      </c>
      <c r="H20">
        <v>16.215699999999998</v>
      </c>
      <c r="I20">
        <v>16.145600000000002</v>
      </c>
      <c r="J20">
        <v>16.179099999999998</v>
      </c>
    </row>
    <row r="21" spans="2:10">
      <c r="B21" s="1">
        <v>0.1</v>
      </c>
      <c r="C21">
        <v>14.581799999999999</v>
      </c>
      <c r="D21">
        <v>15.4292</v>
      </c>
      <c r="E21">
        <v>15.0124</v>
      </c>
      <c r="F21" s="1"/>
      <c r="G21" s="1">
        <v>0.1</v>
      </c>
      <c r="H21">
        <v>16.215699999999998</v>
      </c>
      <c r="I21">
        <v>16.145600000000002</v>
      </c>
      <c r="J21">
        <v>16.179099999999998</v>
      </c>
    </row>
    <row r="22" spans="2:10">
      <c r="B22" s="1">
        <v>0.2</v>
      </c>
      <c r="C22">
        <v>14.581799999999999</v>
      </c>
      <c r="D22">
        <v>15.4292</v>
      </c>
      <c r="E22">
        <v>15.0124</v>
      </c>
      <c r="F22" s="1"/>
      <c r="G22" s="1">
        <v>0.2</v>
      </c>
      <c r="H22">
        <v>16.215699999999998</v>
      </c>
      <c r="I22">
        <v>16.145600000000002</v>
      </c>
      <c r="J22">
        <v>16.179099999999998</v>
      </c>
    </row>
    <row r="23" spans="2:10">
      <c r="B23" s="1">
        <v>0.3</v>
      </c>
      <c r="C23">
        <v>14.581799999999999</v>
      </c>
      <c r="D23">
        <v>15.4292</v>
      </c>
      <c r="E23">
        <v>15.0124</v>
      </c>
      <c r="F23" s="1"/>
      <c r="G23" s="1">
        <v>0.3</v>
      </c>
      <c r="H23">
        <v>16.215699999999998</v>
      </c>
      <c r="I23">
        <v>16.145600000000002</v>
      </c>
      <c r="J23">
        <v>16.179099999999998</v>
      </c>
    </row>
    <row r="24" spans="2:10">
      <c r="B24" s="1">
        <v>0.4</v>
      </c>
      <c r="C24">
        <v>14.581799999999999</v>
      </c>
      <c r="D24">
        <v>15.4292</v>
      </c>
      <c r="E24">
        <v>15.0124</v>
      </c>
      <c r="F24" s="1"/>
      <c r="G24" s="1">
        <v>0.4</v>
      </c>
      <c r="H24">
        <v>16.215699999999998</v>
      </c>
      <c r="I24">
        <v>16.145600000000002</v>
      </c>
      <c r="J24">
        <v>16.179099999999998</v>
      </c>
    </row>
    <row r="25" spans="2:10">
      <c r="B25" s="1">
        <v>0.5</v>
      </c>
      <c r="C25">
        <v>14.581799999999999</v>
      </c>
      <c r="D25">
        <v>15.4292</v>
      </c>
      <c r="E25">
        <v>15.0124</v>
      </c>
      <c r="F25" s="1"/>
      <c r="G25" s="1">
        <v>0.5</v>
      </c>
      <c r="H25">
        <v>16.215699999999998</v>
      </c>
      <c r="I25">
        <v>16.145600000000002</v>
      </c>
      <c r="J25">
        <v>16.179099999999998</v>
      </c>
    </row>
    <row r="26" spans="2:10">
      <c r="B26" s="1">
        <v>0.6</v>
      </c>
      <c r="C26">
        <v>14.577500000000001</v>
      </c>
      <c r="D26">
        <v>15.4383</v>
      </c>
      <c r="E26">
        <v>15.014900000000001</v>
      </c>
      <c r="F26" s="1"/>
      <c r="G26" s="1">
        <v>0.6</v>
      </c>
      <c r="H26">
        <v>16.215699999999998</v>
      </c>
      <c r="I26">
        <v>16.145600000000002</v>
      </c>
      <c r="J26">
        <v>16.179099999999998</v>
      </c>
    </row>
    <row r="27" spans="2:10">
      <c r="B27" s="1">
        <v>0.7</v>
      </c>
      <c r="C27">
        <v>14.5357</v>
      </c>
      <c r="D27">
        <v>15.548500000000001</v>
      </c>
      <c r="E27">
        <v>15.0503</v>
      </c>
      <c r="F27" s="1"/>
      <c r="G27" s="1">
        <v>0.7</v>
      </c>
      <c r="H27">
        <v>16.020199999999999</v>
      </c>
      <c r="I27">
        <v>16.2394</v>
      </c>
      <c r="J27">
        <v>16.133600000000001</v>
      </c>
    </row>
    <row r="28" spans="2:10">
      <c r="B28" s="1">
        <v>0.8</v>
      </c>
      <c r="C28">
        <v>10.290699999999999</v>
      </c>
      <c r="D28">
        <v>16.462800000000001</v>
      </c>
      <c r="E28">
        <v>13.0693</v>
      </c>
      <c r="F28" s="1"/>
      <c r="G28" s="1">
        <v>0.8</v>
      </c>
      <c r="H28">
        <v>14.7384</v>
      </c>
      <c r="I28">
        <v>16.606999999999999</v>
      </c>
      <c r="J28">
        <v>15.667899999999999</v>
      </c>
    </row>
    <row r="29" spans="2:10">
      <c r="B29" s="1">
        <v>0.9</v>
      </c>
      <c r="C29">
        <v>9.8138000000000005</v>
      </c>
      <c r="D29">
        <v>16.647500000000001</v>
      </c>
      <c r="E29">
        <v>12.8902</v>
      </c>
      <c r="F29" s="1"/>
      <c r="G29" s="1">
        <v>0.9</v>
      </c>
      <c r="H29">
        <v>13.0121</v>
      </c>
      <c r="I29">
        <v>16.670000000000002</v>
      </c>
      <c r="J29">
        <v>14.7402</v>
      </c>
    </row>
    <row r="30" spans="2:10">
      <c r="B30" s="1">
        <v>1</v>
      </c>
      <c r="C30">
        <v>9.8138000000000005</v>
      </c>
      <c r="D30">
        <v>16.647500000000001</v>
      </c>
      <c r="E30">
        <v>12.8902</v>
      </c>
      <c r="F30" s="1"/>
      <c r="G30" s="1">
        <v>1</v>
      </c>
      <c r="H30">
        <v>13.0121</v>
      </c>
      <c r="I30">
        <v>16.670000000000002</v>
      </c>
      <c r="J30">
        <v>14.7402</v>
      </c>
    </row>
    <row r="32" spans="2:10">
      <c r="D32" t="s">
        <v>15</v>
      </c>
      <c r="I32" t="s">
        <v>14</v>
      </c>
    </row>
    <row r="34" spans="7:11">
      <c r="G34" s="1"/>
      <c r="H34" s="1" t="s">
        <v>12</v>
      </c>
      <c r="I34" s="1"/>
      <c r="J34" s="1"/>
      <c r="K34" t="s">
        <v>27</v>
      </c>
    </row>
    <row r="35" spans="7:11">
      <c r="G35" s="1" t="s">
        <v>6</v>
      </c>
      <c r="H35" s="1" t="s">
        <v>1</v>
      </c>
      <c r="I35" s="1" t="s">
        <v>2</v>
      </c>
      <c r="J35" s="1" t="s">
        <v>3</v>
      </c>
    </row>
    <row r="36" spans="7:11">
      <c r="G36" s="1">
        <v>0</v>
      </c>
      <c r="H36">
        <v>16.215800000000002</v>
      </c>
      <c r="I36">
        <v>16.145600000000002</v>
      </c>
      <c r="J36">
        <v>16.179099999999998</v>
      </c>
    </row>
    <row r="37" spans="7:11">
      <c r="G37" s="1">
        <v>0.1</v>
      </c>
      <c r="H37">
        <v>16.215800000000002</v>
      </c>
      <c r="I37">
        <v>16.145600000000002</v>
      </c>
      <c r="J37">
        <v>16.179099999999998</v>
      </c>
    </row>
    <row r="38" spans="7:11">
      <c r="G38" s="1">
        <v>0.2</v>
      </c>
      <c r="H38">
        <v>16.215800000000002</v>
      </c>
      <c r="I38">
        <v>16.145600000000002</v>
      </c>
      <c r="J38">
        <v>16.179099999999998</v>
      </c>
    </row>
    <row r="39" spans="7:11">
      <c r="G39" s="1">
        <v>0.3</v>
      </c>
      <c r="H39">
        <v>16.215800000000002</v>
      </c>
      <c r="I39">
        <v>16.145600000000002</v>
      </c>
      <c r="J39">
        <v>16.179099999999998</v>
      </c>
    </row>
    <row r="40" spans="7:11">
      <c r="G40" s="1">
        <v>0.4</v>
      </c>
      <c r="H40">
        <v>16.215800000000002</v>
      </c>
      <c r="I40">
        <v>16.145600000000002</v>
      </c>
      <c r="J40">
        <v>16.179099999999998</v>
      </c>
    </row>
    <row r="41" spans="7:11">
      <c r="G41" s="1">
        <v>0.5</v>
      </c>
      <c r="H41">
        <v>16.215800000000002</v>
      </c>
      <c r="I41">
        <v>16.145600000000002</v>
      </c>
      <c r="J41">
        <v>16.179099999999998</v>
      </c>
    </row>
    <row r="42" spans="7:11">
      <c r="G42" s="1">
        <v>0.6</v>
      </c>
      <c r="H42">
        <v>16.215800000000002</v>
      </c>
      <c r="I42">
        <v>16.145600000000002</v>
      </c>
      <c r="J42">
        <v>16.179099999999998</v>
      </c>
    </row>
    <row r="43" spans="7:11">
      <c r="G43" s="1">
        <v>0.7</v>
      </c>
      <c r="H43">
        <v>16.020299999999999</v>
      </c>
      <c r="I43">
        <v>16.2394</v>
      </c>
      <c r="J43">
        <v>16.133600000000001</v>
      </c>
    </row>
    <row r="44" spans="7:11">
      <c r="G44" s="1">
        <v>0.8</v>
      </c>
      <c r="H44">
        <v>13.0121</v>
      </c>
      <c r="I44">
        <v>16.670000000000002</v>
      </c>
      <c r="J44">
        <v>14.7402</v>
      </c>
    </row>
    <row r="45" spans="7:11">
      <c r="G45" s="1">
        <v>0.9</v>
      </c>
      <c r="H45">
        <v>13.0121</v>
      </c>
      <c r="I45">
        <v>16.670000000000002</v>
      </c>
      <c r="J45">
        <v>14.7402</v>
      </c>
    </row>
    <row r="46" spans="7:11">
      <c r="G46" s="1">
        <v>1</v>
      </c>
      <c r="H46">
        <v>13.0121</v>
      </c>
      <c r="I46">
        <v>16.670000000000002</v>
      </c>
      <c r="J46">
        <v>14.7402</v>
      </c>
    </row>
    <row r="48" spans="7:11">
      <c r="I48" t="s">
        <v>16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E39F4-FEDF-704E-849D-EABA5DEC16A1}">
  <dimension ref="B2:K48"/>
  <sheetViews>
    <sheetView topLeftCell="A18" workbookViewId="0">
      <selection activeCell="K41" sqref="K41"/>
    </sheetView>
  </sheetViews>
  <sheetFormatPr baseColWidth="10" defaultRowHeight="20"/>
  <sheetData>
    <row r="2" spans="2:10">
      <c r="B2" s="1"/>
      <c r="C2" s="1" t="s">
        <v>4</v>
      </c>
      <c r="D2" s="1"/>
      <c r="E2" s="1"/>
      <c r="F2" s="1"/>
      <c r="G2" s="1"/>
      <c r="H2" s="1" t="s">
        <v>7</v>
      </c>
      <c r="I2" s="1"/>
      <c r="J2" s="1"/>
    </row>
    <row r="3" spans="2:10">
      <c r="B3" s="1" t="s">
        <v>6</v>
      </c>
      <c r="C3" s="1" t="s">
        <v>1</v>
      </c>
      <c r="D3" s="1" t="s">
        <v>2</v>
      </c>
      <c r="E3" s="1" t="s">
        <v>3</v>
      </c>
      <c r="F3" s="1"/>
      <c r="G3" s="1" t="s">
        <v>6</v>
      </c>
      <c r="H3" s="1" t="s">
        <v>1</v>
      </c>
      <c r="I3" s="1" t="s">
        <v>2</v>
      </c>
      <c r="J3" s="1" t="s">
        <v>3</v>
      </c>
    </row>
    <row r="4" spans="2:10">
      <c r="B4" s="1">
        <v>0</v>
      </c>
      <c r="C4" s="1">
        <v>12.251799999999999</v>
      </c>
      <c r="D4" s="1">
        <v>14.623699999999999</v>
      </c>
      <c r="E4" s="1">
        <v>13.3329</v>
      </c>
      <c r="F4" s="1"/>
      <c r="G4" s="1">
        <v>0</v>
      </c>
      <c r="H4" s="1">
        <v>15.3154</v>
      </c>
      <c r="I4" s="1">
        <v>15.667400000000001</v>
      </c>
      <c r="J4" s="1">
        <v>15.4833</v>
      </c>
    </row>
    <row r="5" spans="2:10">
      <c r="B5" s="1">
        <v>0.1</v>
      </c>
      <c r="C5" s="1">
        <v>12.251799999999999</v>
      </c>
      <c r="D5" s="1">
        <v>14.623699999999999</v>
      </c>
      <c r="E5" s="1">
        <v>13.3329</v>
      </c>
      <c r="F5" s="1"/>
      <c r="G5" s="1">
        <v>0.1</v>
      </c>
      <c r="H5" s="1">
        <v>15.3154</v>
      </c>
      <c r="I5" s="1">
        <v>15.667400000000001</v>
      </c>
      <c r="J5" s="1">
        <v>15.4833</v>
      </c>
    </row>
    <row r="6" spans="2:10">
      <c r="B6" s="1">
        <v>0.2</v>
      </c>
      <c r="C6" s="1">
        <v>11.712400000000001</v>
      </c>
      <c r="D6" s="1">
        <v>16.216699999999999</v>
      </c>
      <c r="E6" s="1">
        <v>13.707100000000001</v>
      </c>
      <c r="F6" s="1"/>
      <c r="G6" s="1">
        <v>0.2</v>
      </c>
      <c r="H6" s="1">
        <v>15.3154</v>
      </c>
      <c r="I6" s="1">
        <v>15.667400000000001</v>
      </c>
      <c r="J6" s="1">
        <v>15.4833</v>
      </c>
    </row>
    <row r="7" spans="2:10">
      <c r="B7" s="1">
        <v>0.3</v>
      </c>
      <c r="C7" s="1">
        <v>12.1723</v>
      </c>
      <c r="D7" s="1">
        <v>16.008700000000001</v>
      </c>
      <c r="E7" s="1">
        <v>13.887499999999999</v>
      </c>
      <c r="F7" s="1"/>
      <c r="G7" s="1">
        <v>0.3</v>
      </c>
      <c r="H7" s="1">
        <v>14.5184</v>
      </c>
      <c r="I7" s="1">
        <v>15.634499999999999</v>
      </c>
      <c r="J7" s="1">
        <v>15.041499999999999</v>
      </c>
    </row>
    <row r="8" spans="2:10">
      <c r="B8" s="1">
        <v>0.4</v>
      </c>
      <c r="C8" s="1">
        <v>11.611000000000001</v>
      </c>
      <c r="D8" s="1">
        <v>16.136399999999998</v>
      </c>
      <c r="E8" s="1">
        <v>13.6065</v>
      </c>
      <c r="F8" s="1"/>
      <c r="G8" s="1">
        <v>0.4</v>
      </c>
      <c r="H8" s="1">
        <v>14.3003</v>
      </c>
      <c r="I8" s="1">
        <v>16.415600000000001</v>
      </c>
      <c r="J8" s="1">
        <v>15.2714</v>
      </c>
    </row>
    <row r="9" spans="2:10">
      <c r="B9" s="1">
        <v>0.5</v>
      </c>
      <c r="C9" s="1">
        <v>9.9876000000000005</v>
      </c>
      <c r="D9" s="1">
        <v>16.626300000000001</v>
      </c>
      <c r="E9" s="1">
        <v>12.757400000000001</v>
      </c>
      <c r="F9" s="1"/>
      <c r="G9" s="1">
        <v>0.5</v>
      </c>
      <c r="H9" s="1">
        <v>12.7439</v>
      </c>
      <c r="I9" s="1">
        <v>16.510899999999999</v>
      </c>
      <c r="J9" s="1">
        <v>14.3886</v>
      </c>
    </row>
    <row r="10" spans="2:10">
      <c r="B10" s="1">
        <v>0.6</v>
      </c>
      <c r="C10" s="1">
        <v>9.9876000000000005</v>
      </c>
      <c r="D10" s="1">
        <v>16.626300000000001</v>
      </c>
      <c r="E10" s="1">
        <v>12.757400000000001</v>
      </c>
      <c r="F10" s="1"/>
      <c r="G10" s="1">
        <v>0.6</v>
      </c>
      <c r="H10" s="1">
        <v>12.440899999999999</v>
      </c>
      <c r="I10" s="1">
        <v>16.670000000000002</v>
      </c>
      <c r="J10" s="1">
        <v>14.2773</v>
      </c>
    </row>
    <row r="11" spans="2:10">
      <c r="B11" s="1">
        <v>0.7</v>
      </c>
      <c r="C11" s="1">
        <v>9.9876000000000005</v>
      </c>
      <c r="D11" s="1">
        <v>16.626300000000001</v>
      </c>
      <c r="E11" s="1">
        <v>12.757400000000001</v>
      </c>
      <c r="F11" s="1"/>
      <c r="G11" s="1">
        <v>0.7</v>
      </c>
      <c r="H11" s="1">
        <v>12.440899999999999</v>
      </c>
      <c r="I11" s="1">
        <v>16.670000000000002</v>
      </c>
      <c r="J11" s="1">
        <v>14.2773</v>
      </c>
    </row>
    <row r="12" spans="2:10">
      <c r="B12" s="1">
        <v>0.8</v>
      </c>
      <c r="C12" s="1">
        <v>9.9876000000000005</v>
      </c>
      <c r="D12" s="1">
        <v>16.626300000000001</v>
      </c>
      <c r="E12" s="1">
        <v>12.757400000000001</v>
      </c>
      <c r="F12" s="1"/>
      <c r="G12" s="1">
        <v>0.8</v>
      </c>
      <c r="H12" s="1">
        <v>12.440899999999999</v>
      </c>
      <c r="I12" s="1">
        <v>16.670000000000002</v>
      </c>
      <c r="J12" s="1">
        <v>14.2773</v>
      </c>
    </row>
    <row r="13" spans="2:10">
      <c r="B13" s="1">
        <v>0.9</v>
      </c>
      <c r="C13" s="1">
        <v>9.9876000000000005</v>
      </c>
      <c r="D13" s="1">
        <v>16.626300000000001</v>
      </c>
      <c r="E13" s="1">
        <v>12.757400000000001</v>
      </c>
      <c r="F13" s="1"/>
      <c r="G13" s="1">
        <v>0.9</v>
      </c>
      <c r="H13" s="1">
        <v>12.440899999999999</v>
      </c>
      <c r="I13" s="1">
        <v>16.670000000000002</v>
      </c>
      <c r="J13" s="1">
        <v>14.2773</v>
      </c>
    </row>
    <row r="14" spans="2:10">
      <c r="B14" s="1">
        <v>1</v>
      </c>
      <c r="C14" s="1">
        <v>9.9876000000000005</v>
      </c>
      <c r="D14" s="1">
        <v>16.626300000000001</v>
      </c>
      <c r="E14" s="1">
        <v>12.757400000000001</v>
      </c>
      <c r="F14" s="1"/>
      <c r="G14" s="1">
        <v>1</v>
      </c>
      <c r="H14" s="1">
        <v>12.440899999999999</v>
      </c>
      <c r="I14" s="1">
        <v>16.670000000000002</v>
      </c>
      <c r="J14" s="1">
        <v>14.2773</v>
      </c>
    </row>
    <row r="15" spans="2:10">
      <c r="B15" s="1"/>
      <c r="C15" s="1"/>
      <c r="D15" s="1"/>
      <c r="E15" s="1"/>
      <c r="F15" s="1"/>
      <c r="G15" s="1"/>
      <c r="H15" s="1"/>
      <c r="I15" s="1"/>
      <c r="J15" s="1"/>
    </row>
    <row r="16" spans="2:10">
      <c r="B16" s="1"/>
      <c r="C16" s="1"/>
      <c r="D16" s="1" t="s">
        <v>13</v>
      </c>
      <c r="E16" s="1"/>
      <c r="F16" s="1"/>
      <c r="G16" s="1"/>
      <c r="H16" s="1"/>
      <c r="I16" s="1" t="s">
        <v>13</v>
      </c>
      <c r="J16" s="1"/>
    </row>
    <row r="17" spans="2:10">
      <c r="B17" s="1"/>
      <c r="C17" s="1"/>
      <c r="D17" s="1"/>
      <c r="E17" s="1"/>
      <c r="F17" s="1"/>
      <c r="G17" s="1"/>
      <c r="H17" s="1"/>
      <c r="I17" s="1"/>
      <c r="J17" s="1"/>
    </row>
    <row r="18" spans="2:10">
      <c r="B18" s="1"/>
      <c r="C18" s="1" t="s">
        <v>9</v>
      </c>
      <c r="D18" s="1"/>
      <c r="E18" s="1"/>
      <c r="F18" s="1"/>
      <c r="G18" s="1"/>
      <c r="H18" s="1" t="s">
        <v>11</v>
      </c>
      <c r="I18" s="1"/>
      <c r="J18" s="1"/>
    </row>
    <row r="19" spans="2:10">
      <c r="B19" s="1" t="s">
        <v>6</v>
      </c>
      <c r="C19" s="1" t="s">
        <v>1</v>
      </c>
      <c r="D19" s="1" t="s">
        <v>2</v>
      </c>
      <c r="E19" s="1" t="s">
        <v>3</v>
      </c>
      <c r="F19" s="1"/>
      <c r="G19" s="1" t="s">
        <v>6</v>
      </c>
      <c r="H19" s="1" t="s">
        <v>1</v>
      </c>
      <c r="I19" s="1" t="s">
        <v>2</v>
      </c>
      <c r="J19" s="1" t="s">
        <v>3</v>
      </c>
    </row>
    <row r="20" spans="2:10">
      <c r="B20" s="1">
        <v>0</v>
      </c>
      <c r="C20">
        <v>12.251799999999999</v>
      </c>
      <c r="D20">
        <v>14.623699999999999</v>
      </c>
      <c r="E20">
        <v>13.3329</v>
      </c>
      <c r="F20" s="1"/>
      <c r="G20" s="1">
        <v>0</v>
      </c>
      <c r="H20">
        <v>15.315300000000001</v>
      </c>
      <c r="I20">
        <v>15.6675</v>
      </c>
      <c r="J20">
        <v>15.4833</v>
      </c>
    </row>
    <row r="21" spans="2:10">
      <c r="B21" s="1">
        <v>0.1</v>
      </c>
      <c r="C21">
        <v>12.251799999999999</v>
      </c>
      <c r="D21">
        <v>14.623699999999999</v>
      </c>
      <c r="E21">
        <v>13.3329</v>
      </c>
      <c r="F21" s="1"/>
      <c r="G21" s="1">
        <v>0.1</v>
      </c>
      <c r="H21">
        <v>15.315300000000001</v>
      </c>
      <c r="I21">
        <v>15.6675</v>
      </c>
      <c r="J21">
        <v>15.4833</v>
      </c>
    </row>
    <row r="22" spans="2:10">
      <c r="B22" s="1">
        <v>0.2</v>
      </c>
      <c r="C22">
        <v>12.251799999999999</v>
      </c>
      <c r="D22">
        <v>14.623699999999999</v>
      </c>
      <c r="E22">
        <v>13.3329</v>
      </c>
      <c r="F22" s="1"/>
      <c r="G22" s="1">
        <v>0.2</v>
      </c>
      <c r="H22">
        <v>15.315300000000001</v>
      </c>
      <c r="I22">
        <v>15.6675</v>
      </c>
      <c r="J22">
        <v>15.4833</v>
      </c>
    </row>
    <row r="23" spans="2:10">
      <c r="B23" s="1">
        <v>0.3</v>
      </c>
      <c r="C23">
        <v>12.251799999999999</v>
      </c>
      <c r="D23">
        <v>14.623699999999999</v>
      </c>
      <c r="E23">
        <v>13.3329</v>
      </c>
      <c r="F23" s="1"/>
      <c r="G23" s="1">
        <v>0.3</v>
      </c>
      <c r="H23">
        <v>14.8079</v>
      </c>
      <c r="I23">
        <v>14.9924</v>
      </c>
      <c r="J23">
        <v>14.8969</v>
      </c>
    </row>
    <row r="24" spans="2:10">
      <c r="B24" s="1">
        <v>0.4</v>
      </c>
      <c r="C24">
        <v>12.251799999999999</v>
      </c>
      <c r="D24">
        <v>14.623699999999999</v>
      </c>
      <c r="E24">
        <v>13.3329</v>
      </c>
      <c r="F24" s="1"/>
      <c r="G24" s="1">
        <v>0.4</v>
      </c>
      <c r="H24">
        <v>14.8177</v>
      </c>
      <c r="I24">
        <v>15.0007</v>
      </c>
      <c r="J24">
        <v>14.906000000000001</v>
      </c>
    </row>
    <row r="25" spans="2:10">
      <c r="B25" s="1">
        <v>0.5</v>
      </c>
      <c r="C25">
        <v>12.1464</v>
      </c>
      <c r="D25">
        <v>14.8033</v>
      </c>
      <c r="E25">
        <v>13.3574</v>
      </c>
      <c r="F25" s="1"/>
      <c r="G25" s="1">
        <v>0.5</v>
      </c>
      <c r="H25">
        <v>14.859299999999999</v>
      </c>
      <c r="I25">
        <v>15.608599999999999</v>
      </c>
      <c r="J25">
        <v>15.220599999999999</v>
      </c>
    </row>
    <row r="26" spans="2:10">
      <c r="B26" s="1">
        <v>0.6</v>
      </c>
      <c r="C26">
        <v>12.2957</v>
      </c>
      <c r="D26">
        <v>15.8215</v>
      </c>
      <c r="E26">
        <v>13.8711</v>
      </c>
      <c r="F26" s="1"/>
      <c r="G26" s="1">
        <v>0.6</v>
      </c>
      <c r="H26">
        <v>14.969900000000001</v>
      </c>
      <c r="I26">
        <v>15.7224</v>
      </c>
      <c r="J26">
        <v>15.3323</v>
      </c>
    </row>
    <row r="27" spans="2:10">
      <c r="B27" s="1">
        <v>0.7</v>
      </c>
      <c r="C27">
        <v>11.712400000000001</v>
      </c>
      <c r="D27">
        <v>16.216699999999999</v>
      </c>
      <c r="E27">
        <v>13.707100000000001</v>
      </c>
      <c r="F27" s="1"/>
      <c r="G27" s="1">
        <v>0.7</v>
      </c>
      <c r="H27">
        <v>13.663500000000001</v>
      </c>
      <c r="I27">
        <v>16.327200000000001</v>
      </c>
      <c r="J27">
        <v>14.8651</v>
      </c>
    </row>
    <row r="28" spans="2:10">
      <c r="B28" s="1">
        <v>0.8</v>
      </c>
      <c r="C28">
        <v>12.071</v>
      </c>
      <c r="D28">
        <v>16.079799999999999</v>
      </c>
      <c r="E28">
        <v>13.8604</v>
      </c>
      <c r="F28" s="1"/>
      <c r="G28" s="1">
        <v>0.8</v>
      </c>
      <c r="H28">
        <v>12.440799999999999</v>
      </c>
      <c r="I28">
        <v>16.670000000000002</v>
      </c>
      <c r="J28">
        <v>14.2773</v>
      </c>
    </row>
    <row r="29" spans="2:10">
      <c r="B29" s="1">
        <v>0.9</v>
      </c>
      <c r="C29">
        <v>9.9876000000000005</v>
      </c>
      <c r="D29">
        <v>16.626300000000001</v>
      </c>
      <c r="E29">
        <v>12.757400000000001</v>
      </c>
      <c r="F29" s="1"/>
      <c r="G29" s="1">
        <v>0.9</v>
      </c>
      <c r="H29">
        <v>12.440799999999999</v>
      </c>
      <c r="I29">
        <v>16.670000000000002</v>
      </c>
      <c r="J29">
        <v>14.2773</v>
      </c>
    </row>
    <row r="30" spans="2:10">
      <c r="B30" s="1">
        <v>1</v>
      </c>
      <c r="C30">
        <v>9.9876000000000005</v>
      </c>
      <c r="D30">
        <v>16.626300000000001</v>
      </c>
      <c r="E30">
        <v>12.757400000000001</v>
      </c>
      <c r="F30" s="1"/>
      <c r="G30" s="1">
        <v>1</v>
      </c>
      <c r="H30">
        <v>12.440799999999999</v>
      </c>
      <c r="I30">
        <v>16.670000000000002</v>
      </c>
      <c r="J30">
        <v>14.2773</v>
      </c>
    </row>
    <row r="32" spans="2:10">
      <c r="D32" t="s">
        <v>15</v>
      </c>
      <c r="I32" t="s">
        <v>14</v>
      </c>
    </row>
    <row r="34" spans="7:11">
      <c r="G34" s="1"/>
      <c r="H34" s="1" t="s">
        <v>12</v>
      </c>
      <c r="I34" s="1"/>
      <c r="J34" s="1"/>
      <c r="K34" t="s">
        <v>27</v>
      </c>
    </row>
    <row r="35" spans="7:11">
      <c r="G35" s="1" t="s">
        <v>6</v>
      </c>
      <c r="H35" s="1" t="s">
        <v>1</v>
      </c>
      <c r="I35" s="1" t="s">
        <v>2</v>
      </c>
      <c r="J35" s="1" t="s">
        <v>3</v>
      </c>
    </row>
    <row r="36" spans="7:11">
      <c r="G36" s="1">
        <v>0</v>
      </c>
      <c r="H36">
        <v>15.3154</v>
      </c>
      <c r="I36">
        <v>15.667400000000001</v>
      </c>
      <c r="J36">
        <v>15.4833</v>
      </c>
    </row>
    <row r="37" spans="7:11">
      <c r="G37" s="1">
        <v>0.1</v>
      </c>
      <c r="H37">
        <v>15.3154</v>
      </c>
      <c r="I37">
        <v>15.667400000000001</v>
      </c>
      <c r="J37">
        <v>15.4833</v>
      </c>
    </row>
    <row r="38" spans="7:11">
      <c r="G38" s="1">
        <v>0.2</v>
      </c>
      <c r="H38">
        <v>15.3154</v>
      </c>
      <c r="I38">
        <v>15.667400000000001</v>
      </c>
      <c r="J38">
        <v>15.4833</v>
      </c>
    </row>
    <row r="39" spans="7:11">
      <c r="G39" s="1">
        <v>0.3</v>
      </c>
      <c r="H39">
        <v>14.8178</v>
      </c>
      <c r="I39">
        <v>15.0007</v>
      </c>
      <c r="J39">
        <v>14.906000000000001</v>
      </c>
    </row>
    <row r="40" spans="7:11">
      <c r="G40" s="1">
        <v>0.4</v>
      </c>
      <c r="H40">
        <v>14.9597</v>
      </c>
      <c r="I40">
        <v>15.461499999999999</v>
      </c>
      <c r="J40">
        <v>15.201700000000001</v>
      </c>
    </row>
    <row r="41" spans="7:11">
      <c r="G41" s="1">
        <v>0.5</v>
      </c>
      <c r="H41">
        <v>14.959199999999999</v>
      </c>
      <c r="I41">
        <v>15.6212</v>
      </c>
      <c r="J41">
        <v>15.2784</v>
      </c>
    </row>
    <row r="42" spans="7:11">
      <c r="G42" s="1">
        <v>0.6</v>
      </c>
      <c r="H42">
        <v>14.97</v>
      </c>
      <c r="I42">
        <v>15.7224</v>
      </c>
      <c r="J42">
        <v>15.3324</v>
      </c>
    </row>
    <row r="43" spans="7:11">
      <c r="G43" s="1">
        <v>0.7</v>
      </c>
      <c r="H43">
        <v>13.663600000000001</v>
      </c>
      <c r="I43">
        <v>16.327200000000001</v>
      </c>
      <c r="J43">
        <v>14.8652</v>
      </c>
    </row>
    <row r="44" spans="7:11">
      <c r="G44" s="1">
        <v>0.8</v>
      </c>
      <c r="H44">
        <v>12.440899999999999</v>
      </c>
      <c r="I44">
        <v>16.670000000000002</v>
      </c>
      <c r="J44">
        <v>14.2773</v>
      </c>
    </row>
    <row r="45" spans="7:11">
      <c r="G45" s="1">
        <v>0.9</v>
      </c>
      <c r="H45">
        <v>12.440899999999999</v>
      </c>
      <c r="I45">
        <v>16.670000000000002</v>
      </c>
      <c r="J45">
        <v>14.2773</v>
      </c>
    </row>
    <row r="46" spans="7:11">
      <c r="G46" s="1">
        <v>1</v>
      </c>
      <c r="H46">
        <v>12.440899999999999</v>
      </c>
      <c r="I46">
        <v>16.670000000000002</v>
      </c>
      <c r="J46">
        <v>14.2773</v>
      </c>
    </row>
    <row r="48" spans="7:11">
      <c r="I48" t="s">
        <v>16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DB578-9670-674E-A893-78818DA2694B}">
  <dimension ref="B2:K48"/>
  <sheetViews>
    <sheetView topLeftCell="B20" workbookViewId="0">
      <selection activeCell="I46" sqref="I46"/>
    </sheetView>
  </sheetViews>
  <sheetFormatPr baseColWidth="10" defaultRowHeight="20"/>
  <sheetData>
    <row r="2" spans="2:10">
      <c r="B2" s="1"/>
      <c r="C2" s="1" t="s">
        <v>4</v>
      </c>
      <c r="D2" s="1"/>
      <c r="E2" s="1"/>
      <c r="F2" s="1"/>
      <c r="G2" s="1"/>
      <c r="H2" s="1" t="s">
        <v>7</v>
      </c>
      <c r="I2" s="1"/>
      <c r="J2" s="1"/>
    </row>
    <row r="3" spans="2:10">
      <c r="B3" s="1" t="s">
        <v>6</v>
      </c>
      <c r="C3" s="1" t="s">
        <v>1</v>
      </c>
      <c r="D3" s="1" t="s">
        <v>2</v>
      </c>
      <c r="E3" s="1" t="s">
        <v>3</v>
      </c>
      <c r="F3" s="1"/>
      <c r="G3" s="1" t="s">
        <v>6</v>
      </c>
      <c r="H3" s="1" t="s">
        <v>1</v>
      </c>
      <c r="I3" s="1" t="s">
        <v>2</v>
      </c>
      <c r="J3" s="1" t="s">
        <v>3</v>
      </c>
    </row>
    <row r="4" spans="2:10">
      <c r="B4" s="1">
        <v>0</v>
      </c>
      <c r="C4" s="1">
        <v>12.233599999999999</v>
      </c>
      <c r="D4" s="1">
        <v>13.800700000000001</v>
      </c>
      <c r="E4" s="1">
        <v>12.936999999999999</v>
      </c>
      <c r="F4" s="1"/>
      <c r="G4" s="1">
        <v>0</v>
      </c>
      <c r="H4" s="1">
        <v>15.856199999999999</v>
      </c>
      <c r="I4" s="1">
        <v>10.365500000000001</v>
      </c>
      <c r="J4" s="1">
        <v>13.1837</v>
      </c>
    </row>
    <row r="5" spans="2:10">
      <c r="B5" s="1">
        <v>0.1</v>
      </c>
      <c r="C5" s="1">
        <v>11.9194</v>
      </c>
      <c r="D5" s="1">
        <v>15.059200000000001</v>
      </c>
      <c r="E5" s="1">
        <v>13.326599999999999</v>
      </c>
      <c r="F5" s="1"/>
      <c r="G5" s="1">
        <v>0.1</v>
      </c>
      <c r="H5" s="1">
        <v>15.1144</v>
      </c>
      <c r="I5" s="1">
        <v>13.818199999999999</v>
      </c>
      <c r="J5" s="1">
        <v>14.507999999999999</v>
      </c>
    </row>
    <row r="6" spans="2:10">
      <c r="B6" s="1">
        <v>0.2</v>
      </c>
      <c r="C6" s="1">
        <v>11.2707</v>
      </c>
      <c r="D6" s="1">
        <v>15.190300000000001</v>
      </c>
      <c r="E6" s="1">
        <v>12.992699999999999</v>
      </c>
      <c r="F6" s="1"/>
      <c r="G6" s="1">
        <v>0.2</v>
      </c>
      <c r="H6" s="1">
        <v>15.4971</v>
      </c>
      <c r="I6" s="1">
        <v>15.646000000000001</v>
      </c>
      <c r="J6" s="1">
        <v>15.565899999999999</v>
      </c>
    </row>
    <row r="7" spans="2:10">
      <c r="B7" s="1">
        <v>0.3</v>
      </c>
      <c r="C7" s="1">
        <v>10.466900000000001</v>
      </c>
      <c r="D7" s="1">
        <v>15.932600000000001</v>
      </c>
      <c r="E7" s="1">
        <v>12.789</v>
      </c>
      <c r="F7" s="1"/>
      <c r="G7" s="1">
        <v>0.3</v>
      </c>
      <c r="H7" s="1">
        <v>14.9306</v>
      </c>
      <c r="I7" s="1">
        <v>15.9321</v>
      </c>
      <c r="J7" s="1">
        <v>15.3933</v>
      </c>
    </row>
    <row r="8" spans="2:10">
      <c r="B8" s="1">
        <v>0.4</v>
      </c>
      <c r="C8" s="1">
        <v>11.1881</v>
      </c>
      <c r="D8" s="1">
        <v>16.322700000000001</v>
      </c>
      <c r="E8" s="1">
        <v>13.374000000000001</v>
      </c>
      <c r="F8" s="1"/>
      <c r="G8" s="1">
        <v>0.4</v>
      </c>
      <c r="H8" s="1">
        <v>14.3645</v>
      </c>
      <c r="I8" s="1">
        <v>16.410900000000002</v>
      </c>
      <c r="J8" s="1">
        <v>15.292999999999999</v>
      </c>
    </row>
    <row r="9" spans="2:10">
      <c r="B9" s="1">
        <v>0.5</v>
      </c>
      <c r="C9" s="1">
        <v>7.7134999999999998</v>
      </c>
      <c r="D9" s="1">
        <v>16.670000000000002</v>
      </c>
      <c r="E9" s="1">
        <v>11.101699999999999</v>
      </c>
      <c r="F9" s="1"/>
      <c r="G9" s="1">
        <v>0.5</v>
      </c>
      <c r="H9" s="1">
        <v>12.8498</v>
      </c>
      <c r="I9" s="1">
        <v>16.670000000000002</v>
      </c>
      <c r="J9" s="1">
        <v>14.510400000000001</v>
      </c>
    </row>
    <row r="10" spans="2:10">
      <c r="B10" s="1">
        <v>0.6</v>
      </c>
      <c r="C10" s="1">
        <v>7.7134999999999998</v>
      </c>
      <c r="D10" s="1">
        <v>16.670000000000002</v>
      </c>
      <c r="E10" s="1">
        <v>11.101699999999999</v>
      </c>
      <c r="F10" s="1"/>
      <c r="G10" s="1">
        <v>0.6</v>
      </c>
      <c r="H10" s="1">
        <v>11.787599999999999</v>
      </c>
      <c r="I10" s="1">
        <v>16.670000000000002</v>
      </c>
      <c r="J10" s="1">
        <v>13.855600000000001</v>
      </c>
    </row>
    <row r="11" spans="2:10">
      <c r="B11" s="1">
        <v>0.7</v>
      </c>
      <c r="C11" s="1">
        <v>7.7134999999999998</v>
      </c>
      <c r="D11" s="1">
        <v>16.670000000000002</v>
      </c>
      <c r="E11" s="1">
        <v>11.101699999999999</v>
      </c>
      <c r="F11" s="1"/>
      <c r="G11" s="1">
        <v>0.7</v>
      </c>
      <c r="H11" s="1">
        <v>11.787599999999999</v>
      </c>
      <c r="I11" s="1">
        <v>16.670000000000002</v>
      </c>
      <c r="J11" s="1">
        <v>13.855600000000001</v>
      </c>
    </row>
    <row r="12" spans="2:10">
      <c r="B12" s="1">
        <v>0.8</v>
      </c>
      <c r="C12" s="1">
        <v>7.7134999999999998</v>
      </c>
      <c r="D12" s="1">
        <v>16.670000000000002</v>
      </c>
      <c r="E12" s="1">
        <v>11.101699999999999</v>
      </c>
      <c r="F12" s="1"/>
      <c r="G12" s="1">
        <v>0.8</v>
      </c>
      <c r="H12" s="1">
        <v>11.787599999999999</v>
      </c>
      <c r="I12" s="1">
        <v>16.670000000000002</v>
      </c>
      <c r="J12" s="1">
        <v>13.855600000000001</v>
      </c>
    </row>
    <row r="13" spans="2:10">
      <c r="B13" s="1">
        <v>0.9</v>
      </c>
      <c r="C13" s="1">
        <v>7.7134999999999998</v>
      </c>
      <c r="D13" s="1">
        <v>16.670000000000002</v>
      </c>
      <c r="E13" s="1">
        <v>11.101699999999999</v>
      </c>
      <c r="F13" s="1"/>
      <c r="G13" s="1">
        <v>0.9</v>
      </c>
      <c r="H13" s="1">
        <v>11.787599999999999</v>
      </c>
      <c r="I13" s="1">
        <v>16.670000000000002</v>
      </c>
      <c r="J13" s="1">
        <v>13.855600000000001</v>
      </c>
    </row>
    <row r="14" spans="2:10">
      <c r="B14" s="1">
        <v>1</v>
      </c>
      <c r="C14" s="1">
        <v>7.7134999999999998</v>
      </c>
      <c r="D14" s="1">
        <v>16.670000000000002</v>
      </c>
      <c r="E14" s="1">
        <v>11.101699999999999</v>
      </c>
      <c r="F14" s="1"/>
      <c r="G14" s="1">
        <v>1</v>
      </c>
      <c r="H14" s="1">
        <v>11.787599999999999</v>
      </c>
      <c r="I14" s="1">
        <v>16.670000000000002</v>
      </c>
      <c r="J14" s="1">
        <v>13.855600000000001</v>
      </c>
    </row>
    <row r="15" spans="2:10">
      <c r="B15" s="1"/>
      <c r="C15" s="1"/>
      <c r="D15" s="1"/>
      <c r="E15" s="1"/>
      <c r="F15" s="1"/>
      <c r="G15" s="1"/>
      <c r="H15" s="1"/>
      <c r="I15" s="1"/>
      <c r="J15" s="1"/>
    </row>
    <row r="16" spans="2:10">
      <c r="B16" s="1"/>
      <c r="C16" s="1"/>
      <c r="D16" s="1" t="s">
        <v>13</v>
      </c>
      <c r="E16" s="1"/>
      <c r="F16" s="1"/>
      <c r="G16" s="1"/>
      <c r="H16" s="1"/>
      <c r="I16" s="1" t="s">
        <v>13</v>
      </c>
      <c r="J16" s="1"/>
    </row>
    <row r="17" spans="2:10">
      <c r="B17" s="1"/>
      <c r="C17" s="1"/>
      <c r="D17" s="1"/>
      <c r="E17" s="1"/>
      <c r="F17" s="1"/>
      <c r="G17" s="1"/>
      <c r="H17" s="1"/>
      <c r="I17" s="1"/>
      <c r="J17" s="1"/>
    </row>
    <row r="18" spans="2:10">
      <c r="B18" s="1"/>
      <c r="C18" s="1" t="s">
        <v>9</v>
      </c>
      <c r="D18" s="1"/>
      <c r="E18" s="1"/>
      <c r="F18" s="1"/>
      <c r="G18" s="1"/>
      <c r="H18" s="1" t="s">
        <v>11</v>
      </c>
      <c r="I18" s="1"/>
      <c r="J18" s="1"/>
    </row>
    <row r="19" spans="2:10">
      <c r="B19" s="1" t="s">
        <v>6</v>
      </c>
      <c r="C19" s="1" t="s">
        <v>1</v>
      </c>
      <c r="D19" s="1" t="s">
        <v>2</v>
      </c>
      <c r="E19" s="1" t="s">
        <v>3</v>
      </c>
      <c r="F19" s="1"/>
      <c r="G19" s="1" t="s">
        <v>6</v>
      </c>
      <c r="H19" s="1" t="s">
        <v>1</v>
      </c>
      <c r="I19" s="1" t="s">
        <v>2</v>
      </c>
      <c r="J19" s="1" t="s">
        <v>3</v>
      </c>
    </row>
    <row r="20" spans="2:10">
      <c r="B20" s="1">
        <v>0</v>
      </c>
      <c r="C20">
        <v>12.233599999999999</v>
      </c>
      <c r="D20">
        <v>13.800700000000001</v>
      </c>
      <c r="E20">
        <v>12.936999999999999</v>
      </c>
      <c r="F20" s="1"/>
      <c r="G20" s="1">
        <v>0</v>
      </c>
      <c r="H20">
        <v>15.8561</v>
      </c>
      <c r="I20">
        <v>10.365500000000001</v>
      </c>
      <c r="J20">
        <v>13.1836</v>
      </c>
    </row>
    <row r="21" spans="2:10">
      <c r="B21" s="1">
        <v>0.1</v>
      </c>
      <c r="C21">
        <v>12.233599999999999</v>
      </c>
      <c r="D21">
        <v>13.800700000000001</v>
      </c>
      <c r="E21">
        <v>12.936999999999999</v>
      </c>
      <c r="F21" s="1"/>
      <c r="G21" s="1">
        <v>0.1</v>
      </c>
      <c r="H21">
        <v>15.8561</v>
      </c>
      <c r="I21">
        <v>10.365500000000001</v>
      </c>
      <c r="J21">
        <v>13.1836</v>
      </c>
    </row>
    <row r="22" spans="2:10">
      <c r="B22" s="1">
        <v>0.2</v>
      </c>
      <c r="C22">
        <v>12.233599999999999</v>
      </c>
      <c r="D22">
        <v>13.800700000000001</v>
      </c>
      <c r="E22">
        <v>12.936999999999999</v>
      </c>
      <c r="F22" s="1"/>
      <c r="G22" s="1">
        <v>0.2</v>
      </c>
      <c r="H22">
        <v>15.3171</v>
      </c>
      <c r="I22">
        <v>12.4634</v>
      </c>
      <c r="J22">
        <v>13.962899999999999</v>
      </c>
    </row>
    <row r="23" spans="2:10">
      <c r="B23" s="1">
        <v>0.3</v>
      </c>
      <c r="C23">
        <v>12.233599999999999</v>
      </c>
      <c r="D23">
        <v>13.800700000000001</v>
      </c>
      <c r="E23">
        <v>12.936999999999999</v>
      </c>
      <c r="F23" s="1"/>
      <c r="G23" s="1">
        <v>0.3</v>
      </c>
      <c r="H23">
        <v>15.209099999999999</v>
      </c>
      <c r="I23">
        <v>13.568</v>
      </c>
      <c r="J23">
        <v>14.4412</v>
      </c>
    </row>
    <row r="24" spans="2:10">
      <c r="B24" s="1">
        <v>0.4</v>
      </c>
      <c r="C24">
        <v>12.144</v>
      </c>
      <c r="D24">
        <v>13.671900000000001</v>
      </c>
      <c r="E24">
        <v>12.829800000000001</v>
      </c>
      <c r="F24" s="1"/>
      <c r="G24" s="1">
        <v>0.4</v>
      </c>
      <c r="H24">
        <v>14.3834</v>
      </c>
      <c r="I24">
        <v>14.6792</v>
      </c>
      <c r="J24">
        <v>14.5192</v>
      </c>
    </row>
    <row r="25" spans="2:10">
      <c r="B25" s="1">
        <v>0.5</v>
      </c>
      <c r="C25">
        <v>11.987</v>
      </c>
      <c r="D25">
        <v>14.9016</v>
      </c>
      <c r="E25">
        <v>13.2933</v>
      </c>
      <c r="F25" s="1"/>
      <c r="G25" s="1">
        <v>0.5</v>
      </c>
      <c r="H25">
        <v>15.3392</v>
      </c>
      <c r="I25">
        <v>14.959099999999999</v>
      </c>
      <c r="J25">
        <v>15.163600000000001</v>
      </c>
    </row>
    <row r="26" spans="2:10">
      <c r="B26" s="1">
        <v>0.6</v>
      </c>
      <c r="C26">
        <v>11.2926</v>
      </c>
      <c r="D26">
        <v>15.1549</v>
      </c>
      <c r="E26">
        <v>12.9894</v>
      </c>
      <c r="F26" s="1"/>
      <c r="G26" s="1">
        <v>0.6</v>
      </c>
      <c r="H26">
        <v>14.9305</v>
      </c>
      <c r="I26">
        <v>15.9321</v>
      </c>
      <c r="J26">
        <v>15.3933</v>
      </c>
    </row>
    <row r="27" spans="2:10">
      <c r="B27" s="1">
        <v>0.7</v>
      </c>
      <c r="C27">
        <v>11.235300000000001</v>
      </c>
      <c r="D27">
        <v>16.2392</v>
      </c>
      <c r="E27">
        <v>13.365600000000001</v>
      </c>
      <c r="F27" s="1"/>
      <c r="G27" s="1">
        <v>0.7</v>
      </c>
      <c r="H27">
        <v>14.842599999999999</v>
      </c>
      <c r="I27">
        <v>16.212700000000002</v>
      </c>
      <c r="J27">
        <v>15.4756</v>
      </c>
    </row>
    <row r="28" spans="2:10">
      <c r="B28" s="1">
        <v>0.8</v>
      </c>
      <c r="C28">
        <v>7.7226999999999997</v>
      </c>
      <c r="D28">
        <v>16.669899999999998</v>
      </c>
      <c r="E28">
        <v>11.1074</v>
      </c>
      <c r="F28" s="1"/>
      <c r="G28" s="1">
        <v>0.8</v>
      </c>
      <c r="H28">
        <v>14.160600000000001</v>
      </c>
      <c r="I28">
        <v>16.497299999999999</v>
      </c>
      <c r="J28">
        <v>15.2209</v>
      </c>
    </row>
    <row r="29" spans="2:10">
      <c r="B29" s="1">
        <v>0.9</v>
      </c>
      <c r="C29">
        <v>7.7134999999999998</v>
      </c>
      <c r="D29">
        <v>16.670000000000002</v>
      </c>
      <c r="E29">
        <v>11.101699999999999</v>
      </c>
      <c r="F29" s="1"/>
      <c r="G29" s="1">
        <v>0.9</v>
      </c>
      <c r="H29">
        <v>11.787599999999999</v>
      </c>
      <c r="I29">
        <v>16.670000000000002</v>
      </c>
      <c r="J29">
        <v>13.855600000000001</v>
      </c>
    </row>
    <row r="30" spans="2:10">
      <c r="B30" s="1">
        <v>1</v>
      </c>
      <c r="C30">
        <v>7.7134999999999998</v>
      </c>
      <c r="D30">
        <v>16.670000000000002</v>
      </c>
      <c r="E30">
        <v>11.101699999999999</v>
      </c>
      <c r="F30" s="1"/>
      <c r="G30" s="1">
        <v>1</v>
      </c>
      <c r="H30">
        <v>11.787599999999999</v>
      </c>
      <c r="I30">
        <v>16.670000000000002</v>
      </c>
      <c r="J30">
        <v>13.855600000000001</v>
      </c>
    </row>
    <row r="32" spans="2:10">
      <c r="D32" t="s">
        <v>15</v>
      </c>
      <c r="I32" t="s">
        <v>14</v>
      </c>
    </row>
    <row r="34" spans="7:11">
      <c r="G34" s="1"/>
      <c r="H34" s="1" t="s">
        <v>12</v>
      </c>
      <c r="I34" s="1"/>
      <c r="J34" s="1"/>
      <c r="K34" t="s">
        <v>27</v>
      </c>
    </row>
    <row r="35" spans="7:11">
      <c r="G35" s="1" t="s">
        <v>6</v>
      </c>
      <c r="H35" s="1" t="s">
        <v>1</v>
      </c>
      <c r="I35" s="1" t="s">
        <v>2</v>
      </c>
      <c r="J35" s="1" t="s">
        <v>3</v>
      </c>
    </row>
    <row r="36" spans="7:11">
      <c r="G36" s="3">
        <v>0</v>
      </c>
      <c r="H36">
        <v>15.856199999999999</v>
      </c>
      <c r="I36">
        <v>10.365500000000001</v>
      </c>
      <c r="J36">
        <v>13.1837</v>
      </c>
    </row>
    <row r="37" spans="7:11">
      <c r="G37" s="1">
        <v>0.1</v>
      </c>
      <c r="H37">
        <v>15.856199999999999</v>
      </c>
      <c r="I37">
        <v>10.365500000000001</v>
      </c>
      <c r="J37">
        <v>13.1837</v>
      </c>
    </row>
    <row r="38" spans="7:11">
      <c r="G38" s="1">
        <v>0.2</v>
      </c>
      <c r="H38">
        <v>15.3172</v>
      </c>
      <c r="I38">
        <v>12.4635</v>
      </c>
      <c r="J38">
        <v>13.962999999999999</v>
      </c>
    </row>
    <row r="39" spans="7:11">
      <c r="G39" s="1">
        <v>0.3</v>
      </c>
      <c r="H39">
        <v>15.209099999999999</v>
      </c>
      <c r="I39">
        <v>13.568099999999999</v>
      </c>
      <c r="J39">
        <v>14.4413</v>
      </c>
    </row>
    <row r="40" spans="7:11">
      <c r="G40" s="1">
        <v>0.4</v>
      </c>
      <c r="H40">
        <v>15.164300000000001</v>
      </c>
      <c r="I40">
        <v>12.9628</v>
      </c>
      <c r="J40">
        <v>14.120100000000001</v>
      </c>
    </row>
    <row r="41" spans="7:11">
      <c r="G41" s="1">
        <v>0.5</v>
      </c>
      <c r="H41">
        <v>15.3392</v>
      </c>
      <c r="I41">
        <v>14.959099999999999</v>
      </c>
      <c r="J41">
        <v>15.163600000000001</v>
      </c>
    </row>
    <row r="42" spans="7:11">
      <c r="G42" s="1">
        <v>0.6</v>
      </c>
      <c r="H42">
        <v>14.9306</v>
      </c>
      <c r="I42">
        <v>15.9321</v>
      </c>
      <c r="J42">
        <v>15.3933</v>
      </c>
    </row>
    <row r="43" spans="7:11">
      <c r="G43" s="1">
        <v>0.7</v>
      </c>
      <c r="H43">
        <v>14.842599999999999</v>
      </c>
      <c r="I43">
        <v>16.212700000000002</v>
      </c>
      <c r="J43">
        <v>15.4756</v>
      </c>
    </row>
    <row r="44" spans="7:11">
      <c r="G44" s="1">
        <v>0.8</v>
      </c>
      <c r="H44">
        <v>13.029400000000001</v>
      </c>
      <c r="I44">
        <v>16.551600000000001</v>
      </c>
      <c r="J44">
        <v>14.560499999999999</v>
      </c>
    </row>
    <row r="45" spans="7:11">
      <c r="G45" s="1">
        <v>0.9</v>
      </c>
      <c r="H45">
        <v>11.787599999999999</v>
      </c>
      <c r="I45">
        <v>16.670000000000002</v>
      </c>
      <c r="J45">
        <v>13.855600000000001</v>
      </c>
    </row>
    <row r="46" spans="7:11">
      <c r="G46" s="1">
        <v>1</v>
      </c>
    </row>
    <row r="48" spans="7:11">
      <c r="I48" t="s">
        <v>16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A7D59-0C76-ED49-971D-E9A21A946422}">
  <dimension ref="B2:K46"/>
  <sheetViews>
    <sheetView tabSelected="1" topLeftCell="A20" workbookViewId="0">
      <selection activeCell="K45" sqref="K45"/>
    </sheetView>
  </sheetViews>
  <sheetFormatPr baseColWidth="10" defaultRowHeight="20"/>
  <sheetData>
    <row r="2" spans="2:10">
      <c r="B2" s="1"/>
      <c r="C2" s="1" t="s">
        <v>4</v>
      </c>
      <c r="D2" s="1"/>
      <c r="E2" s="1"/>
      <c r="F2" s="1"/>
      <c r="G2" s="1"/>
      <c r="H2" s="1" t="s">
        <v>7</v>
      </c>
      <c r="I2" s="1"/>
      <c r="J2" s="1"/>
    </row>
    <row r="3" spans="2:10">
      <c r="B3" s="1" t="s">
        <v>6</v>
      </c>
      <c r="C3" s="1" t="s">
        <v>1</v>
      </c>
      <c r="D3" s="1" t="s">
        <v>2</v>
      </c>
      <c r="E3" s="1" t="s">
        <v>3</v>
      </c>
      <c r="F3" s="1"/>
      <c r="G3" s="1" t="s">
        <v>6</v>
      </c>
      <c r="H3" s="1" t="s">
        <v>1</v>
      </c>
      <c r="I3" s="1" t="s">
        <v>2</v>
      </c>
      <c r="J3" s="1" t="s">
        <v>3</v>
      </c>
    </row>
    <row r="4" spans="2:10">
      <c r="B4" s="1">
        <v>0</v>
      </c>
      <c r="C4" s="1">
        <f>ROUND(AVERAGE(seed1!C4,seed2!C4,seed3!C4,seed4!C4,seed5!C4),4)</f>
        <v>13.030099999999999</v>
      </c>
      <c r="D4" s="1">
        <f>ROUND(AVERAGE(seed1!D4,seed2!D4,seed3!D4,seed4!D4,seed5!D4),4)</f>
        <v>13.983599999999999</v>
      </c>
      <c r="E4" s="1">
        <f>ROUND(AVERAGE(seed1!E4,seed2!E4,seed3!E4,seed4!E4,seed5!E4),4)</f>
        <v>13.4313</v>
      </c>
      <c r="F4" s="1"/>
      <c r="G4" s="1">
        <v>0</v>
      </c>
      <c r="H4" s="1">
        <f>ROUND(AVERAGE(seed1!H4,seed2!H4,seed3!H4,seed4!H4,seed5!H4),4)</f>
        <v>15.5166</v>
      </c>
      <c r="I4" s="1">
        <f>ROUND(AVERAGE(seed1!I4,seed2!I4,seed3!I4,seed4!I4,seed5!I4),4)</f>
        <v>14.045999999999999</v>
      </c>
      <c r="J4" s="1">
        <f>ROUND(AVERAGE(seed1!J4,seed2!J4,seed3!J4,seed4!J4,seed5!J4),4)</f>
        <v>14.7942</v>
      </c>
    </row>
    <row r="5" spans="2:10">
      <c r="B5" s="1">
        <v>0.1</v>
      </c>
      <c r="C5" s="1">
        <f>ROUND(AVERAGE(seed1!C5,seed2!C5,seed3!C5,seed4!C5,seed5!C5),4)</f>
        <v>12.9658</v>
      </c>
      <c r="D5" s="1">
        <f>ROUND(AVERAGE(seed1!D5,seed2!D5,seed3!D5,seed4!D5,seed5!D5),4)</f>
        <v>14.210599999999999</v>
      </c>
      <c r="E5" s="1">
        <f>ROUND(AVERAGE(seed1!E5,seed2!E5,seed3!E5,seed4!E5,seed5!E5),4)</f>
        <v>13.501300000000001</v>
      </c>
      <c r="F5" s="1"/>
      <c r="G5" s="1">
        <v>0.1</v>
      </c>
      <c r="H5" s="1">
        <f>ROUND(AVERAGE(seed1!H5,seed2!H5,seed3!H5,seed4!H5,seed5!H5),4)</f>
        <v>15.347099999999999</v>
      </c>
      <c r="I5" s="1">
        <f>ROUND(AVERAGE(seed1!I5,seed2!I5,seed3!I5,seed4!I5,seed5!I5),4)</f>
        <v>14.772</v>
      </c>
      <c r="J5" s="1">
        <f>ROUND(AVERAGE(seed1!J5,seed2!J5,seed3!J5,seed4!J5,seed5!J5),4)</f>
        <v>15.0669</v>
      </c>
    </row>
    <row r="6" spans="2:10">
      <c r="B6" s="1">
        <v>0.2</v>
      </c>
      <c r="C6" s="1">
        <f>ROUND(AVERAGE(seed1!C6,seed2!C6,seed3!C6,seed4!C6,seed5!C6),4)</f>
        <v>12.5709</v>
      </c>
      <c r="D6" s="1">
        <f>ROUND(AVERAGE(seed1!D6,seed2!D6,seed3!D6,seed4!D6,seed5!D6),4)</f>
        <v>15.222300000000001</v>
      </c>
      <c r="E6" s="1">
        <f>ROUND(AVERAGE(seed1!E6,seed2!E6,seed3!E6,seed4!E6,seed5!E6),4)</f>
        <v>13.746499999999999</v>
      </c>
      <c r="F6" s="1"/>
      <c r="G6" s="1">
        <v>0.2</v>
      </c>
      <c r="H6" s="1">
        <f>ROUND(AVERAGE(seed1!H6,seed2!H6,seed3!H6,seed4!H6,seed5!H6),4)</f>
        <v>15.167999999999999</v>
      </c>
      <c r="I6" s="1">
        <f>ROUND(AVERAGE(seed1!I6,seed2!I6,seed3!I6,seed4!I6,seed5!I6),4)</f>
        <v>15.5754</v>
      </c>
      <c r="J6" s="1">
        <f>ROUND(AVERAGE(seed1!J6,seed2!J6,seed3!J6,seed4!J6,seed5!J6),4)</f>
        <v>15.360200000000001</v>
      </c>
    </row>
    <row r="7" spans="2:10">
      <c r="B7" s="1">
        <v>0.3</v>
      </c>
      <c r="C7" s="1">
        <f>ROUND(AVERAGE(seed1!C7,seed2!C7,seed3!C7,seed4!C7,seed5!C7),4)</f>
        <v>11.664400000000001</v>
      </c>
      <c r="D7" s="1">
        <f>ROUND(AVERAGE(seed1!D7,seed2!D7,seed3!D7,seed4!D7,seed5!D7),4)</f>
        <v>16.106200000000001</v>
      </c>
      <c r="E7" s="1">
        <f>ROUND(AVERAGE(seed1!E7,seed2!E7,seed3!E7,seed4!E7,seed5!E7),4)</f>
        <v>13.62</v>
      </c>
      <c r="F7" s="1"/>
      <c r="G7" s="1">
        <v>0.3</v>
      </c>
      <c r="H7" s="1">
        <f>ROUND(AVERAGE(seed1!H7,seed2!H7,seed3!H7,seed4!H7,seed5!H7),4)</f>
        <v>14.704700000000001</v>
      </c>
      <c r="I7" s="1">
        <f>ROUND(AVERAGE(seed1!I7,seed2!I7,seed3!I7,seed4!I7,seed5!I7),4)</f>
        <v>15.9834</v>
      </c>
      <c r="J7" s="1">
        <f>ROUND(AVERAGE(seed1!J7,seed2!J7,seed3!J7,seed4!J7,seed5!J7),4)</f>
        <v>15.3078</v>
      </c>
    </row>
    <row r="8" spans="2:10">
      <c r="B8" s="1">
        <v>0.4</v>
      </c>
      <c r="C8" s="1">
        <f>ROUND(AVERAGE(seed1!C8,seed2!C8,seed3!C8,seed4!C8,seed5!C8),4)</f>
        <v>11.6562</v>
      </c>
      <c r="D8" s="1">
        <f>ROUND(AVERAGE(seed1!D8,seed2!D8,seed3!D8,seed4!D8,seed5!D8),4)</f>
        <v>16.296099999999999</v>
      </c>
      <c r="E8" s="1">
        <f>ROUND(AVERAGE(seed1!E8,seed2!E8,seed3!E8,seed4!E8,seed5!E8),4)</f>
        <v>13.704800000000001</v>
      </c>
      <c r="F8" s="1"/>
      <c r="G8" s="1">
        <v>0.4</v>
      </c>
      <c r="H8" s="1">
        <f>ROUND(AVERAGE(seed1!H8,seed2!H8,seed3!H8,seed4!H8,seed5!H8),4)</f>
        <v>14.1304</v>
      </c>
      <c r="I8" s="1">
        <f>ROUND(AVERAGE(seed1!I8,seed2!I8,seed3!I8,seed4!I8,seed5!I8),4)</f>
        <v>16.3963</v>
      </c>
      <c r="J8" s="1">
        <f>ROUND(AVERAGE(seed1!J8,seed2!J8,seed3!J8,seed4!J8,seed5!J8),4)</f>
        <v>15.175800000000001</v>
      </c>
    </row>
    <row r="9" spans="2:10">
      <c r="B9" s="1">
        <v>0.5</v>
      </c>
      <c r="C9" s="1">
        <f>ROUND(AVERAGE(seed1!C9,seed2!C9,seed3!C9,seed4!C9,seed5!C9),4)</f>
        <v>9.7241</v>
      </c>
      <c r="D9" s="1">
        <f>ROUND(AVERAGE(seed1!D9,seed2!D9,seed3!D9,seed4!D9,seed5!D9),4)</f>
        <v>16.619</v>
      </c>
      <c r="E9" s="1">
        <f>ROUND(AVERAGE(seed1!E9,seed2!E9,seed3!E9,seed4!E9,seed5!E9),4)</f>
        <v>12.631500000000001</v>
      </c>
      <c r="F9" s="1"/>
      <c r="G9" s="1">
        <v>0.5</v>
      </c>
      <c r="H9" s="1">
        <f>ROUND(AVERAGE(seed1!H9,seed2!H9,seed3!H9,seed4!H9,seed5!H9),4)</f>
        <v>12.594099999999999</v>
      </c>
      <c r="I9" s="1">
        <f>ROUND(AVERAGE(seed1!I9,seed2!I9,seed3!I9,seed4!I9,seed5!I9),4)</f>
        <v>16.6205</v>
      </c>
      <c r="J9" s="1">
        <f>ROUND(AVERAGE(seed1!J9,seed2!J9,seed3!J9,seed4!J9,seed5!J9),4)</f>
        <v>14.396599999999999</v>
      </c>
    </row>
    <row r="10" spans="2:10">
      <c r="B10" s="1">
        <v>0.6</v>
      </c>
      <c r="C10" s="1">
        <f>ROUND(AVERAGE(seed1!C10,seed2!C10,seed3!C10,seed4!C10,seed5!C10),4)</f>
        <v>9.4940999999999995</v>
      </c>
      <c r="D10" s="1">
        <f>ROUND(AVERAGE(seed1!D10,seed2!D10,seed3!D10,seed4!D10,seed5!D10),4)</f>
        <v>16.628299999999999</v>
      </c>
      <c r="E10" s="1">
        <f>ROUND(AVERAGE(seed1!E10,seed2!E10,seed3!E10,seed4!E10,seed5!E10),4)</f>
        <v>12.4735</v>
      </c>
      <c r="F10" s="1"/>
      <c r="G10" s="1">
        <v>0.6</v>
      </c>
      <c r="H10" s="1">
        <f>ROUND(AVERAGE(seed1!H10,seed2!H10,seed3!H10,seed4!H10,seed5!H10),4)</f>
        <v>12.3165</v>
      </c>
      <c r="I10" s="1">
        <f>ROUND(AVERAGE(seed1!I10,seed2!I10,seed3!I10,seed4!I10,seed5!I10),4)</f>
        <v>16.6599</v>
      </c>
      <c r="J10" s="1">
        <f>ROUND(AVERAGE(seed1!J10,seed2!J10,seed3!J10,seed4!J10,seed5!J10),4)</f>
        <v>14.2441</v>
      </c>
    </row>
    <row r="11" spans="2:10">
      <c r="B11" s="1">
        <v>0.7</v>
      </c>
      <c r="C11" s="1">
        <f>ROUND(AVERAGE(seed1!C11,seed2!C11,seed3!C11,seed4!C11,seed5!C11),4)</f>
        <v>9.0353999999999992</v>
      </c>
      <c r="D11" s="1">
        <f>ROUND(AVERAGE(seed1!D11,seed2!D11,seed3!D11,seed4!D11,seed5!D11),4)</f>
        <v>16.638300000000001</v>
      </c>
      <c r="E11" s="1">
        <f>ROUND(AVERAGE(seed1!E11,seed2!E11,seed3!E11,seed4!E11,seed5!E11),4)</f>
        <v>12.1677</v>
      </c>
      <c r="F11" s="1"/>
      <c r="G11" s="1">
        <v>0.7</v>
      </c>
      <c r="H11" s="1">
        <f>ROUND(AVERAGE(seed1!H11,seed2!H11,seed3!H11,seed4!H11,seed5!H11),4)</f>
        <v>12.286199999999999</v>
      </c>
      <c r="I11" s="1">
        <f>ROUND(AVERAGE(seed1!I11,seed2!I11,seed3!I11,seed4!I11,seed5!I11),4)</f>
        <v>16.670000000000002</v>
      </c>
      <c r="J11" s="1">
        <f>ROUND(AVERAGE(seed1!J11,seed2!J11,seed3!J11,seed4!J11,seed5!J11),4)</f>
        <v>14.231199999999999</v>
      </c>
    </row>
    <row r="12" spans="2:10">
      <c r="B12" s="1">
        <v>0.8</v>
      </c>
      <c r="C12" s="1">
        <f>ROUND(AVERAGE(seed1!C12,seed2!C12,seed3!C12,seed4!C12,seed5!C12),4)</f>
        <v>9.0353999999999992</v>
      </c>
      <c r="D12" s="1">
        <f>ROUND(AVERAGE(seed1!D12,seed2!D12,seed3!D12,seed4!D12,seed5!D12),4)</f>
        <v>16.638300000000001</v>
      </c>
      <c r="E12" s="1">
        <f>ROUND(AVERAGE(seed1!E12,seed2!E12,seed3!E12,seed4!E12,seed5!E12),4)</f>
        <v>12.1677</v>
      </c>
      <c r="F12" s="1"/>
      <c r="G12" s="1">
        <v>0.8</v>
      </c>
      <c r="H12" s="1">
        <f>ROUND(AVERAGE(seed1!H12,seed2!H12,seed3!H12,seed4!H12,seed5!H12),4)</f>
        <v>12.286199999999999</v>
      </c>
      <c r="I12" s="1">
        <f>ROUND(AVERAGE(seed1!I12,seed2!I12,seed3!I12,seed4!I12,seed5!I12),4)</f>
        <v>16.670000000000002</v>
      </c>
      <c r="J12" s="1">
        <f>ROUND(AVERAGE(seed1!J12,seed2!J12,seed3!J12,seed4!J12,seed5!J12),4)</f>
        <v>14.231199999999999</v>
      </c>
    </row>
    <row r="13" spans="2:10">
      <c r="B13" s="1">
        <v>0.9</v>
      </c>
      <c r="C13" s="1">
        <f>ROUND(AVERAGE(seed1!C13,seed2!C13,seed3!C13,seed4!C13,seed5!C13),4)</f>
        <v>9.0353999999999992</v>
      </c>
      <c r="D13" s="1">
        <f>ROUND(AVERAGE(seed1!D13,seed2!D13,seed3!D13,seed4!D13,seed5!D13),4)</f>
        <v>16.638300000000001</v>
      </c>
      <c r="E13" s="1">
        <f>ROUND(AVERAGE(seed1!E13,seed2!E13,seed3!E13,seed4!E13,seed5!E13),4)</f>
        <v>12.1677</v>
      </c>
      <c r="F13" s="1"/>
      <c r="G13" s="1">
        <v>0.9</v>
      </c>
      <c r="H13" s="1">
        <f>ROUND(AVERAGE(seed1!H13,seed2!H13,seed3!H13,seed4!H13,seed5!H13),4)</f>
        <v>12.286199999999999</v>
      </c>
      <c r="I13" s="1">
        <f>ROUND(AVERAGE(seed1!I13,seed2!I13,seed3!I13,seed4!I13,seed5!I13),4)</f>
        <v>16.670000000000002</v>
      </c>
      <c r="J13" s="1">
        <f>ROUND(AVERAGE(seed1!J13,seed2!J13,seed3!J13,seed4!J13,seed5!J13),4)</f>
        <v>14.231199999999999</v>
      </c>
    </row>
    <row r="14" spans="2:10">
      <c r="B14" s="1">
        <v>1</v>
      </c>
      <c r="C14" s="1">
        <f>ROUND(AVERAGE(seed1!C14,seed2!C14,seed3!C14,seed4!C14,seed5!C14),4)</f>
        <v>9.0353999999999992</v>
      </c>
      <c r="D14" s="1">
        <f>ROUND(AVERAGE(seed1!D14,seed2!D14,seed3!D14,seed4!D14,seed5!D14),4)</f>
        <v>16.638300000000001</v>
      </c>
      <c r="E14" s="1">
        <f>ROUND(AVERAGE(seed1!E14,seed2!E14,seed3!E14,seed4!E14,seed5!E14),4)</f>
        <v>12.1677</v>
      </c>
      <c r="F14" s="1"/>
      <c r="G14" s="1">
        <v>1</v>
      </c>
      <c r="H14" s="1">
        <f>ROUND(AVERAGE(seed1!H14,seed2!H14,seed3!H14,seed4!H14,seed5!H14),4)</f>
        <v>12.286199999999999</v>
      </c>
      <c r="I14" s="1">
        <f>ROUND(AVERAGE(seed1!I14,seed2!I14,seed3!I14,seed4!I14,seed5!I14),4)</f>
        <v>16.670000000000002</v>
      </c>
      <c r="J14" s="1">
        <f>ROUND(AVERAGE(seed1!J14,seed2!J14,seed3!J14,seed4!J14,seed5!J14),4)</f>
        <v>14.231199999999999</v>
      </c>
    </row>
    <row r="15" spans="2:10">
      <c r="B15" s="1"/>
      <c r="C15" s="1"/>
      <c r="D15" s="1"/>
      <c r="E15" s="1"/>
      <c r="F15" s="1"/>
      <c r="G15" s="1"/>
      <c r="H15" s="1"/>
      <c r="I15" s="1"/>
      <c r="J15" s="1"/>
    </row>
    <row r="16" spans="2:10">
      <c r="B16" s="1"/>
      <c r="C16" s="1"/>
      <c r="D16" s="1"/>
      <c r="E16" s="1"/>
      <c r="F16" s="1"/>
      <c r="G16" s="1"/>
      <c r="H16" s="1"/>
      <c r="I16" s="1"/>
      <c r="J16" s="1"/>
    </row>
    <row r="17" spans="2:10">
      <c r="B17" s="1"/>
      <c r="C17" s="1"/>
      <c r="D17" s="1"/>
      <c r="E17" s="1"/>
      <c r="F17" s="1"/>
      <c r="G17" s="1"/>
      <c r="H17" s="1"/>
      <c r="I17" s="1"/>
      <c r="J17" s="1"/>
    </row>
    <row r="18" spans="2:10">
      <c r="B18" s="1"/>
      <c r="C18" s="1" t="s">
        <v>9</v>
      </c>
      <c r="D18" s="1"/>
      <c r="E18" s="1"/>
      <c r="F18" s="1"/>
      <c r="G18" s="1"/>
      <c r="H18" s="1" t="s">
        <v>11</v>
      </c>
      <c r="I18" s="1"/>
      <c r="J18" s="1"/>
    </row>
    <row r="19" spans="2:10">
      <c r="B19" s="1" t="s">
        <v>6</v>
      </c>
      <c r="C19" s="1" t="s">
        <v>1</v>
      </c>
      <c r="D19" s="1" t="s">
        <v>2</v>
      </c>
      <c r="E19" s="1" t="s">
        <v>3</v>
      </c>
      <c r="F19" s="1"/>
      <c r="G19" s="1" t="s">
        <v>6</v>
      </c>
      <c r="H19" s="1" t="s">
        <v>1</v>
      </c>
      <c r="I19" s="1" t="s">
        <v>2</v>
      </c>
      <c r="J19" s="1" t="s">
        <v>3</v>
      </c>
    </row>
    <row r="20" spans="2:10">
      <c r="B20" s="1">
        <v>0</v>
      </c>
      <c r="C20" s="1">
        <f>ROUND(AVERAGE(seed1!C20,seed2!C20,seed3!C20,seed4!C20,seed5!C20),4)</f>
        <v>13.030099999999999</v>
      </c>
      <c r="D20" s="1">
        <f>ROUND(AVERAGE(seed1!D20,seed2!D20,seed3!D20,seed4!D20,seed5!D20),4)</f>
        <v>13.983599999999999</v>
      </c>
      <c r="E20" s="1">
        <f>ROUND(AVERAGE(seed1!E20,seed2!E20,seed3!E20,seed4!E20,seed5!E20),4)</f>
        <v>13.4313</v>
      </c>
      <c r="F20" s="1"/>
      <c r="G20" s="1">
        <v>0</v>
      </c>
      <c r="H20" s="1">
        <f>ROUND(AVERAGE(seed1!H20,seed2!H20,seed3!H20,seed4!H20,seed5!H20),4)</f>
        <v>15.516500000000001</v>
      </c>
      <c r="I20" s="1">
        <f>ROUND(AVERAGE(seed1!I20,seed2!I20,seed3!I20,seed4!I20,seed5!I20),4)</f>
        <v>14.045999999999999</v>
      </c>
      <c r="J20" s="1">
        <f>ROUND(AVERAGE(seed1!J20,seed2!J20,seed3!J20,seed4!J20,seed5!J20),4)</f>
        <v>14.7942</v>
      </c>
    </row>
    <row r="21" spans="2:10">
      <c r="B21" s="1">
        <v>0.1</v>
      </c>
      <c r="C21" s="1">
        <f>ROUND(AVERAGE(seed1!C21,seed2!C21,seed3!C21,seed4!C21,seed5!C21),4)</f>
        <v>13.030099999999999</v>
      </c>
      <c r="D21" s="1">
        <f>ROUND(AVERAGE(seed1!D21,seed2!D21,seed3!D21,seed4!D21,seed5!D21),4)</f>
        <v>13.983599999999999</v>
      </c>
      <c r="E21" s="1">
        <f>ROUND(AVERAGE(seed1!E21,seed2!E21,seed3!E21,seed4!E21,seed5!E21),4)</f>
        <v>13.4313</v>
      </c>
      <c r="F21" s="1"/>
      <c r="G21" s="1">
        <v>0.1</v>
      </c>
      <c r="H21" s="1">
        <f>ROUND(AVERAGE(seed1!H21,seed2!H21,seed3!H21,seed4!H21,seed5!H21),4)</f>
        <v>15.516500000000001</v>
      </c>
      <c r="I21" s="1">
        <f>ROUND(AVERAGE(seed1!I21,seed2!I21,seed3!I21,seed4!I21,seed5!I21),4)</f>
        <v>14.045999999999999</v>
      </c>
      <c r="J21" s="1">
        <f>ROUND(AVERAGE(seed1!J21,seed2!J21,seed3!J21,seed4!J21,seed5!J21),4)</f>
        <v>14.7942</v>
      </c>
    </row>
    <row r="22" spans="2:10">
      <c r="B22" s="1">
        <v>0.2</v>
      </c>
      <c r="C22" s="1">
        <f>ROUND(AVERAGE(seed1!C22,seed2!C22,seed3!C22,seed4!C22,seed5!C22),4)</f>
        <v>13.030099999999999</v>
      </c>
      <c r="D22" s="1">
        <f>ROUND(AVERAGE(seed1!D22,seed2!D22,seed3!D22,seed4!D22,seed5!D22),4)</f>
        <v>13.983599999999999</v>
      </c>
      <c r="E22" s="1">
        <f>ROUND(AVERAGE(seed1!E22,seed2!E22,seed3!E22,seed4!E22,seed5!E22),4)</f>
        <v>13.4313</v>
      </c>
      <c r="F22" s="1"/>
      <c r="G22" s="1">
        <v>0.2</v>
      </c>
      <c r="H22" s="1">
        <f>ROUND(AVERAGE(seed1!H22,seed2!H22,seed3!H22,seed4!H22,seed5!H22),4)</f>
        <v>15.3894</v>
      </c>
      <c r="I22" s="1">
        <f>ROUND(AVERAGE(seed1!I22,seed2!I22,seed3!I22,seed4!I22,seed5!I22),4)</f>
        <v>14.4879</v>
      </c>
      <c r="J22" s="1">
        <f>ROUND(AVERAGE(seed1!J22,seed2!J22,seed3!J22,seed4!J22,seed5!J22),4)</f>
        <v>14.952</v>
      </c>
    </row>
    <row r="23" spans="2:10">
      <c r="B23" s="1">
        <v>0.3</v>
      </c>
      <c r="C23" s="1">
        <f>ROUND(AVERAGE(seed1!C23,seed2!C23,seed3!C23,seed4!C23,seed5!C23),4)</f>
        <v>13.0352</v>
      </c>
      <c r="D23" s="1">
        <f>ROUND(AVERAGE(seed1!D23,seed2!D23,seed3!D23,seed4!D23,seed5!D23),4)</f>
        <v>13.982799999999999</v>
      </c>
      <c r="E23" s="1">
        <f>ROUND(AVERAGE(seed1!E23,seed2!E23,seed3!E23,seed4!E23,seed5!E23),4)</f>
        <v>13.4634</v>
      </c>
      <c r="F23" s="1"/>
      <c r="G23" s="1">
        <v>0.3</v>
      </c>
      <c r="H23" s="1">
        <f>ROUND(AVERAGE(seed1!H23,seed2!H23,seed3!H23,seed4!H23,seed5!H23),4)</f>
        <v>15.251300000000001</v>
      </c>
      <c r="I23" s="1">
        <f>ROUND(AVERAGE(seed1!I23,seed2!I23,seed3!I23,seed4!I23,seed5!I23),4)</f>
        <v>14.623100000000001</v>
      </c>
      <c r="J23" s="1">
        <f>ROUND(AVERAGE(seed1!J23,seed2!J23,seed3!J23,seed4!J23,seed5!J23),4)</f>
        <v>14.9483</v>
      </c>
    </row>
    <row r="24" spans="2:10">
      <c r="B24" s="1">
        <v>0.4</v>
      </c>
      <c r="C24" s="1">
        <f>ROUND(AVERAGE(seed1!C24,seed2!C24,seed3!C24,seed4!C24,seed5!C24),4)</f>
        <v>12.9754</v>
      </c>
      <c r="D24" s="1">
        <f>ROUND(AVERAGE(seed1!D24,seed2!D24,seed3!D24,seed4!D24,seed5!D24),4)</f>
        <v>14.054</v>
      </c>
      <c r="E24" s="1">
        <f>ROUND(AVERAGE(seed1!E24,seed2!E24,seed3!E24,seed4!E24,seed5!E24),4)</f>
        <v>13.4682</v>
      </c>
      <c r="F24" s="1"/>
      <c r="G24" s="1">
        <v>0.4</v>
      </c>
      <c r="H24" s="1">
        <f>ROUND(AVERAGE(seed1!H24,seed2!H24,seed3!H24,seed4!H24,seed5!H24),4)</f>
        <v>15.083500000000001</v>
      </c>
      <c r="I24" s="1">
        <f>ROUND(AVERAGE(seed1!I24,seed2!I24,seed3!I24,seed4!I24,seed5!I24),4)</f>
        <v>14.8588</v>
      </c>
      <c r="J24" s="1">
        <f>ROUND(AVERAGE(seed1!J24,seed2!J24,seed3!J24,seed4!J24,seed5!J24),4)</f>
        <v>14.9695</v>
      </c>
    </row>
    <row r="25" spans="2:10">
      <c r="B25" s="1">
        <v>0.5</v>
      </c>
      <c r="C25" s="1">
        <f>ROUND(AVERAGE(seed1!C25,seed2!C25,seed3!C25,seed4!C25,seed5!C25),4)</f>
        <v>12.4093</v>
      </c>
      <c r="D25" s="1">
        <f>ROUND(AVERAGE(seed1!D25,seed2!D25,seed3!D25,seed4!D25,seed5!D25),4)</f>
        <v>14.9932</v>
      </c>
      <c r="E25" s="1">
        <f>ROUND(AVERAGE(seed1!E25,seed2!E25,seed3!E25,seed4!E25,seed5!E25),4)</f>
        <v>13.5983</v>
      </c>
      <c r="F25" s="1"/>
      <c r="G25" s="1">
        <v>0.5</v>
      </c>
      <c r="H25" s="1">
        <f>ROUND(AVERAGE(seed1!H25,seed2!H25,seed3!H25,seed4!H25,seed5!H25),4)</f>
        <v>15.2196</v>
      </c>
      <c r="I25" s="1">
        <f>ROUND(AVERAGE(seed1!I25,seed2!I25,seed3!I25,seed4!I25,seed5!I25),4)</f>
        <v>15.1264</v>
      </c>
      <c r="J25" s="1">
        <f>ROUND(AVERAGE(seed1!J25,seed2!J25,seed3!J25,seed4!J25,seed5!J25),4)</f>
        <v>15.1737</v>
      </c>
    </row>
    <row r="26" spans="2:10">
      <c r="B26" s="1">
        <v>0.6</v>
      </c>
      <c r="C26" s="1">
        <f>ROUND(AVERAGE(seed1!C26,seed2!C26,seed3!C26,seed4!C26,seed5!C26),4)</f>
        <v>12.1221</v>
      </c>
      <c r="D26" s="1">
        <f>ROUND(AVERAGE(seed1!D26,seed2!D26,seed3!D26,seed4!D26,seed5!D26),4)</f>
        <v>15.719099999999999</v>
      </c>
      <c r="E26" s="1">
        <f>ROUND(AVERAGE(seed1!E26,seed2!E26,seed3!E26,seed4!E26,seed5!E26),4)</f>
        <v>13.735200000000001</v>
      </c>
      <c r="F26" s="1"/>
      <c r="G26" s="1">
        <v>0.6</v>
      </c>
      <c r="H26" s="1">
        <f>ROUND(AVERAGE(seed1!H26,seed2!H26,seed3!H26,seed4!H26,seed5!H26),4)</f>
        <v>14.9215</v>
      </c>
      <c r="I26" s="1">
        <f>ROUND(AVERAGE(seed1!I26,seed2!I26,seed3!I26,seed4!I26,seed5!I26),4)</f>
        <v>15.863300000000001</v>
      </c>
      <c r="J26" s="1">
        <f>ROUND(AVERAGE(seed1!J26,seed2!J26,seed3!J26,seed4!J26,seed5!J26),4)</f>
        <v>15.3749</v>
      </c>
    </row>
    <row r="27" spans="2:10">
      <c r="B27" s="1">
        <v>0.7</v>
      </c>
      <c r="C27" s="1">
        <f>ROUND(AVERAGE(seed1!C27,seed2!C27,seed3!C27,seed4!C27,seed5!C27),4)</f>
        <v>11.805099999999999</v>
      </c>
      <c r="D27" s="1">
        <f>ROUND(AVERAGE(seed1!D27,seed2!D27,seed3!D27,seed4!D27,seed5!D27),4)</f>
        <v>16.166399999999999</v>
      </c>
      <c r="E27" s="1">
        <f>ROUND(AVERAGE(seed1!E27,seed2!E27,seed3!E27,seed4!E27,seed5!E27),4)</f>
        <v>13.725899999999999</v>
      </c>
      <c r="F27" s="1"/>
      <c r="G27" s="1">
        <v>0.7</v>
      </c>
      <c r="H27" s="1">
        <f>ROUND(AVERAGE(seed1!H27,seed2!H27,seed3!H27,seed4!H27,seed5!H27),4)</f>
        <v>14.2554</v>
      </c>
      <c r="I27" s="1">
        <f>ROUND(AVERAGE(seed1!I27,seed2!I27,seed3!I27,seed4!I27,seed5!I27),4)</f>
        <v>16.297699999999999</v>
      </c>
      <c r="J27" s="1">
        <f>ROUND(AVERAGE(seed1!J27,seed2!J27,seed3!J27,seed4!J27,seed5!J27),4)</f>
        <v>15.2079</v>
      </c>
    </row>
    <row r="28" spans="2:10">
      <c r="B28" s="1">
        <v>0.8</v>
      </c>
      <c r="C28" s="1">
        <f>ROUND(AVERAGE(seed1!C28,seed2!C28,seed3!C28,seed4!C28,seed5!C28),4)</f>
        <v>10.138</v>
      </c>
      <c r="D28" s="1">
        <f>ROUND(AVERAGE(seed1!D28,seed2!D28,seed3!D28,seed4!D28,seed5!D28),4)</f>
        <v>16.433599999999998</v>
      </c>
      <c r="E28" s="1">
        <f>ROUND(AVERAGE(seed1!E28,seed2!E28,seed3!E28,seed4!E28,seed5!E28),4)</f>
        <v>12.784700000000001</v>
      </c>
      <c r="F28" s="1"/>
      <c r="G28" s="1">
        <v>0.8</v>
      </c>
      <c r="H28" s="1">
        <f>ROUND(AVERAGE(seed1!H28,seed2!H28,seed3!H28,seed4!H28,seed5!H28),4)</f>
        <v>13.106</v>
      </c>
      <c r="I28" s="1">
        <f>ROUND(AVERAGE(seed1!I28,seed2!I28,seed3!I28,seed4!I28,seed5!I28),4)</f>
        <v>16.622900000000001</v>
      </c>
      <c r="J28" s="1">
        <f>ROUND(AVERAGE(seed1!J28,seed2!J28,seed3!J28,seed4!J28,seed5!J28),4)</f>
        <v>14.6898</v>
      </c>
    </row>
    <row r="29" spans="2:10">
      <c r="B29" s="1">
        <v>0.9</v>
      </c>
      <c r="C29" s="1">
        <f>ROUND(AVERAGE(seed1!C29,seed2!C29,seed3!C29,seed4!C29,seed5!C29),4)</f>
        <v>9.4940999999999995</v>
      </c>
      <c r="D29" s="1">
        <f>ROUND(AVERAGE(seed1!D29,seed2!D29,seed3!D29,seed4!D29,seed5!D29),4)</f>
        <v>16.628299999999999</v>
      </c>
      <c r="E29" s="1">
        <f>ROUND(AVERAGE(seed1!E29,seed2!E29,seed3!E29,seed4!E29,seed5!E29),4)</f>
        <v>12.4735</v>
      </c>
      <c r="F29" s="1"/>
      <c r="G29" s="1">
        <v>0.9</v>
      </c>
      <c r="H29" s="1">
        <f>ROUND(AVERAGE(seed1!H29,seed2!H29,seed3!H29,seed4!H29,seed5!H29),4)</f>
        <v>12.286099999999999</v>
      </c>
      <c r="I29" s="1">
        <f>ROUND(AVERAGE(seed1!I29,seed2!I29,seed3!I29,seed4!I29,seed5!I29),4)</f>
        <v>16.670000000000002</v>
      </c>
      <c r="J29" s="1">
        <f>ROUND(AVERAGE(seed1!J29,seed2!J29,seed3!J29,seed4!J29,seed5!J29),4)</f>
        <v>14.231199999999999</v>
      </c>
    </row>
    <row r="30" spans="2:10">
      <c r="B30" s="1">
        <v>1</v>
      </c>
      <c r="C30" s="1">
        <f>ROUND(AVERAGE(seed1!C30,seed2!C30,seed3!C30,seed4!C30,seed5!C30),4)</f>
        <v>9.0353999999999992</v>
      </c>
      <c r="D30" s="1">
        <f>ROUND(AVERAGE(seed1!D30,seed2!D30,seed3!D30,seed4!D30,seed5!D30),4)</f>
        <v>16.638300000000001</v>
      </c>
      <c r="E30" s="1">
        <f>ROUND(AVERAGE(seed1!E30,seed2!E30,seed3!E30,seed4!E30,seed5!E30),4)</f>
        <v>12.1677</v>
      </c>
      <c r="F30" s="1"/>
      <c r="G30" s="1">
        <v>1</v>
      </c>
      <c r="H30" s="1">
        <f>ROUND(AVERAGE(seed1!H30,seed2!H30,seed3!H30,seed4!H30,seed5!H30),4)</f>
        <v>12.286099999999999</v>
      </c>
      <c r="I30" s="1">
        <f>ROUND(AVERAGE(seed1!I30,seed2!I30,seed3!I30,seed4!I30,seed5!I30),4)</f>
        <v>16.670000000000002</v>
      </c>
      <c r="J30" s="1">
        <f>ROUND(AVERAGE(seed1!J30,seed2!J30,seed3!J30,seed4!J30,seed5!J30),4)</f>
        <v>14.231199999999999</v>
      </c>
    </row>
    <row r="34" spans="7:11">
      <c r="G34" s="1"/>
      <c r="H34" s="1" t="s">
        <v>12</v>
      </c>
      <c r="I34" s="1"/>
      <c r="J34" s="1"/>
      <c r="K34" t="s">
        <v>27</v>
      </c>
    </row>
    <row r="35" spans="7:11">
      <c r="G35" s="1" t="s">
        <v>6</v>
      </c>
      <c r="H35" s="1" t="s">
        <v>1</v>
      </c>
      <c r="I35" s="1" t="s">
        <v>2</v>
      </c>
      <c r="J35" s="1" t="s">
        <v>3</v>
      </c>
    </row>
    <row r="36" spans="7:11">
      <c r="G36" s="1">
        <v>0</v>
      </c>
      <c r="H36" s="1">
        <f>ROUND(AVERAGE(seed1!H36,seed2!H36,seed3!H36,seed4!H36,seed5!H36),4)</f>
        <v>15.5166</v>
      </c>
      <c r="I36" s="1">
        <f>ROUND(AVERAGE(seed1!I36,seed2!I36,seed3!I36,seed4!I36,seed5!I36),4)</f>
        <v>14.045999999999999</v>
      </c>
      <c r="J36" s="1">
        <f>ROUND(AVERAGE(seed1!J36,seed2!J36,seed3!J36,seed4!J36,seed5!J36),4)</f>
        <v>14.7942</v>
      </c>
    </row>
    <row r="37" spans="7:11">
      <c r="G37" s="1">
        <v>0.1</v>
      </c>
      <c r="H37" s="1">
        <f>ROUND(AVERAGE(seed1!H37,seed2!H37,seed3!H37,seed4!H37,seed5!H37),4)</f>
        <v>15.5166</v>
      </c>
      <c r="I37" s="1">
        <f>ROUND(AVERAGE(seed1!I37,seed2!I37,seed3!I37,seed4!I37,seed5!I37),4)</f>
        <v>14.045999999999999</v>
      </c>
      <c r="J37" s="1">
        <f>ROUND(AVERAGE(seed1!J37,seed2!J37,seed3!J37,seed4!J37,seed5!J37),4)</f>
        <v>14.7942</v>
      </c>
    </row>
    <row r="38" spans="7:11">
      <c r="G38" s="1">
        <v>0.2</v>
      </c>
      <c r="H38" s="1">
        <f>ROUND(AVERAGE(seed1!H38,seed2!H38,seed3!H38,seed4!H38,seed5!H38),4)</f>
        <v>15.3895</v>
      </c>
      <c r="I38" s="1">
        <f>ROUND(AVERAGE(seed1!I38,seed2!I38,seed3!I38,seed4!I38,seed5!I38),4)</f>
        <v>14.4879</v>
      </c>
      <c r="J38" s="1">
        <f>ROUND(AVERAGE(seed1!J38,seed2!J38,seed3!J38,seed4!J38,seed5!J38),4)</f>
        <v>14.952</v>
      </c>
    </row>
    <row r="39" spans="7:11">
      <c r="G39" s="1">
        <v>0.3</v>
      </c>
      <c r="H39" s="1">
        <f>ROUND(AVERAGE(seed1!H39,seed2!H39,seed3!H39,seed4!H39,seed5!H39),4)</f>
        <v>15.253299999999999</v>
      </c>
      <c r="I39" s="1">
        <f>ROUND(AVERAGE(seed1!I39,seed2!I39,seed3!I39,seed4!I39,seed5!I39),4)</f>
        <v>14.6248</v>
      </c>
      <c r="J39" s="1">
        <f>ROUND(AVERAGE(seed1!J39,seed2!J39,seed3!J39,seed4!J39,seed5!J39),4)</f>
        <v>14.950100000000001</v>
      </c>
    </row>
    <row r="40" spans="7:11">
      <c r="G40" s="1">
        <v>0.4</v>
      </c>
      <c r="H40" s="1">
        <f>ROUND(AVERAGE(seed1!H40,seed2!H40,seed3!H40,seed4!H40,seed5!H40),4)</f>
        <v>15.2681</v>
      </c>
      <c r="I40" s="1">
        <f>ROUND(AVERAGE(seed1!I40,seed2!I40,seed3!I40,seed4!I40,seed5!I40),4)</f>
        <v>14.607699999999999</v>
      </c>
      <c r="J40" s="1">
        <f>ROUND(AVERAGE(seed1!J40,seed2!J40,seed3!J40,seed4!J40,seed5!J40),4)</f>
        <v>14.9488</v>
      </c>
    </row>
    <row r="41" spans="7:11">
      <c r="G41" s="1">
        <v>0.5</v>
      </c>
      <c r="H41" s="1">
        <f>ROUND(AVERAGE(seed1!H41,seed2!H41,seed3!H41,seed4!H41,seed5!H41),4)</f>
        <v>15.0352</v>
      </c>
      <c r="I41" s="1">
        <f>ROUND(AVERAGE(seed1!I41,seed2!I41,seed3!I41,seed4!I41,seed5!I41),4)</f>
        <v>15.3491</v>
      </c>
      <c r="J41" s="1">
        <f>ROUND(AVERAGE(seed1!J41,seed2!J41,seed3!J41,seed4!J41,seed5!J41),4)</f>
        <v>15.188700000000001</v>
      </c>
    </row>
    <row r="42" spans="7:11">
      <c r="G42" s="1">
        <v>0.6</v>
      </c>
      <c r="H42" s="1">
        <f>ROUND(AVERAGE(seed1!H42,seed2!H42,seed3!H42,seed4!H42,seed5!H42),4)</f>
        <v>14.868600000000001</v>
      </c>
      <c r="I42" s="1">
        <f>ROUND(AVERAGE(seed1!I42,seed2!I42,seed3!I42,seed4!I42,seed5!I42),4)</f>
        <v>15.9123</v>
      </c>
      <c r="J42" s="1">
        <f>ROUND(AVERAGE(seed1!J42,seed2!J42,seed3!J42,seed4!J42,seed5!J42),4)</f>
        <v>15.3704</v>
      </c>
    </row>
    <row r="43" spans="7:11">
      <c r="G43" s="1">
        <v>0.7</v>
      </c>
      <c r="H43" s="1">
        <f>ROUND(AVERAGE(seed1!H43,seed2!H43,seed3!H43,seed4!H43,seed5!H43),4)</f>
        <v>14.194699999999999</v>
      </c>
      <c r="I43" s="1">
        <f>ROUND(AVERAGE(seed1!I43,seed2!I43,seed3!I43,seed4!I43,seed5!I43),4)</f>
        <v>16.334599999999998</v>
      </c>
      <c r="J43" s="1">
        <f>ROUND(AVERAGE(seed1!J43,seed2!J43,seed3!J43,seed4!J43,seed5!J43),4)</f>
        <v>15.189500000000001</v>
      </c>
    </row>
    <row r="44" spans="7:11">
      <c r="G44" s="1">
        <v>0.8</v>
      </c>
      <c r="H44" s="1">
        <f>ROUND(AVERAGE(seed1!H44,seed2!H44,seed3!H44,seed4!H44,seed5!H44),4)</f>
        <v>12.5345</v>
      </c>
      <c r="I44" s="1">
        <f>ROUND(AVERAGE(seed1!I44,seed2!I44,seed3!I44,seed4!I44,seed5!I44),4)</f>
        <v>16.6463</v>
      </c>
      <c r="J44" s="1">
        <f>ROUND(AVERAGE(seed1!J44,seed2!J44,seed3!J44,seed4!J44,seed5!J44),4)</f>
        <v>14.372199999999999</v>
      </c>
    </row>
    <row r="45" spans="7:11">
      <c r="G45" s="1">
        <v>0.9</v>
      </c>
      <c r="H45" s="1">
        <f>ROUND(AVERAGE(seed1!H45,seed2!H45,seed3!H45,seed4!H45,seed5!H45),4)</f>
        <v>12.286199999999999</v>
      </c>
      <c r="I45" s="1">
        <f>ROUND(AVERAGE(seed1!I45,seed2!I45,seed3!I45,seed4!I45,seed5!I45),4)</f>
        <v>16.670000000000002</v>
      </c>
      <c r="J45" s="1">
        <f>ROUND(AVERAGE(seed1!J45,seed2!J45,seed3!J45,seed4!J45,seed5!J45),4)</f>
        <v>14.231199999999999</v>
      </c>
    </row>
    <row r="46" spans="7:11">
      <c r="G46" s="1">
        <v>1</v>
      </c>
      <c r="H46" s="1">
        <f>ROUND(AVERAGE(seed1!H46,seed2!H46,seed3!H46,seed4!H46,seed5!H46),4)</f>
        <v>12.4108</v>
      </c>
      <c r="I46" s="1">
        <f>ROUND(AVERAGE(seed1!I46,seed2!I46,seed3!I46,seed4!I46,seed5!I46),4)</f>
        <v>16.670000000000002</v>
      </c>
      <c r="J46" s="1">
        <f>ROUND(AVERAGE(seed1!J46,seed2!J46,seed3!J46,seed4!J46,seed5!J46),4)</f>
        <v>14.325100000000001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58BF2-2821-B842-8854-296D9AF5A078}">
  <dimension ref="B2:P32"/>
  <sheetViews>
    <sheetView topLeftCell="A6" workbookViewId="0">
      <selection activeCell="K18" sqref="K18"/>
    </sheetView>
  </sheetViews>
  <sheetFormatPr baseColWidth="10" defaultRowHeight="20"/>
  <sheetData>
    <row r="2" spans="2:10">
      <c r="B2" s="1"/>
      <c r="C2" s="1" t="s">
        <v>4</v>
      </c>
      <c r="D2" s="1"/>
      <c r="E2" s="1"/>
      <c r="F2" s="1"/>
      <c r="G2" s="1"/>
      <c r="H2" s="1" t="s">
        <v>7</v>
      </c>
      <c r="I2" s="1"/>
      <c r="J2" s="1"/>
    </row>
    <row r="3" spans="2:10">
      <c r="B3" s="1" t="s">
        <v>6</v>
      </c>
      <c r="C3" s="1" t="s">
        <v>1</v>
      </c>
      <c r="D3" s="1" t="s">
        <v>2</v>
      </c>
      <c r="E3" s="1" t="s">
        <v>3</v>
      </c>
      <c r="F3" s="1"/>
      <c r="G3" s="1" t="s">
        <v>6</v>
      </c>
      <c r="H3" s="1" t="s">
        <v>1</v>
      </c>
      <c r="I3" s="1" t="s">
        <v>2</v>
      </c>
      <c r="J3" s="1" t="s">
        <v>3</v>
      </c>
    </row>
    <row r="4" spans="2:10">
      <c r="B4" s="1">
        <v>0</v>
      </c>
      <c r="C4" s="1">
        <v>12.0746</v>
      </c>
      <c r="D4" s="1">
        <v>12.8567</v>
      </c>
      <c r="E4" s="1">
        <v>12.436299999999999</v>
      </c>
      <c r="F4" s="1"/>
      <c r="G4" s="1">
        <v>0</v>
      </c>
      <c r="H4" s="1">
        <v>11.594799999999999</v>
      </c>
      <c r="I4" s="1">
        <v>11.8484</v>
      </c>
      <c r="J4" s="1">
        <v>11.7096</v>
      </c>
    </row>
    <row r="5" spans="2:10">
      <c r="B5" s="1">
        <v>0.1</v>
      </c>
      <c r="C5" s="1">
        <v>11.983000000000001</v>
      </c>
      <c r="D5" s="1">
        <v>13.043200000000001</v>
      </c>
      <c r="E5" s="1">
        <v>12.4734</v>
      </c>
      <c r="F5" s="1"/>
      <c r="G5" s="1">
        <v>0.1</v>
      </c>
      <c r="H5" s="1">
        <v>11.441700000000001</v>
      </c>
      <c r="I5" s="1">
        <v>13.4132</v>
      </c>
      <c r="J5" s="1">
        <v>12.3215</v>
      </c>
    </row>
    <row r="6" spans="2:10">
      <c r="B6" s="1">
        <v>0.2</v>
      </c>
      <c r="C6" s="1">
        <v>9.8214000000000006</v>
      </c>
      <c r="D6" s="1">
        <v>15.0769</v>
      </c>
      <c r="E6" s="1">
        <v>12.0663</v>
      </c>
      <c r="F6" s="1"/>
      <c r="G6" s="1">
        <v>0.2</v>
      </c>
      <c r="H6" s="1">
        <v>11.651</v>
      </c>
      <c r="I6" s="1">
        <v>14.7829</v>
      </c>
      <c r="J6" s="1">
        <v>12.9796</v>
      </c>
    </row>
    <row r="7" spans="2:10">
      <c r="B7" s="1">
        <v>0.3</v>
      </c>
      <c r="C7" s="1">
        <v>10.4717</v>
      </c>
      <c r="D7" s="1">
        <v>15.375</v>
      </c>
      <c r="E7" s="1">
        <v>12.574199999999999</v>
      </c>
      <c r="F7" s="1"/>
      <c r="G7" s="1">
        <v>0.3</v>
      </c>
      <c r="H7" s="1">
        <v>11.748799999999999</v>
      </c>
      <c r="I7" s="1">
        <v>15.923999999999999</v>
      </c>
      <c r="J7" s="1">
        <v>13.513500000000001</v>
      </c>
    </row>
    <row r="8" spans="2:10">
      <c r="B8" s="1">
        <v>0.4</v>
      </c>
      <c r="C8" s="1">
        <v>10.989800000000001</v>
      </c>
      <c r="D8" s="1">
        <v>16.4374</v>
      </c>
      <c r="E8" s="1">
        <v>13.243399999999999</v>
      </c>
      <c r="F8" s="1"/>
      <c r="G8" s="1">
        <v>0.4</v>
      </c>
      <c r="H8" s="1">
        <v>10.9223</v>
      </c>
      <c r="I8" s="1">
        <v>16.4209</v>
      </c>
      <c r="J8" s="1">
        <v>13.141500000000001</v>
      </c>
    </row>
    <row r="9" spans="2:10">
      <c r="B9" s="1">
        <v>0.5</v>
      </c>
      <c r="C9" s="1">
        <v>7.9196999999999997</v>
      </c>
      <c r="D9" s="1">
        <v>16.664899999999999</v>
      </c>
      <c r="E9" s="1">
        <v>11.2295</v>
      </c>
      <c r="F9" s="1"/>
      <c r="G9" s="1">
        <v>0.5</v>
      </c>
      <c r="H9" s="1">
        <v>10.847099999999999</v>
      </c>
      <c r="I9" s="1">
        <v>16.595300000000002</v>
      </c>
      <c r="J9" s="1">
        <v>13.1426</v>
      </c>
    </row>
    <row r="10" spans="2:10">
      <c r="B10" s="1">
        <v>0.6</v>
      </c>
      <c r="C10" s="1">
        <v>7.9196999999999997</v>
      </c>
      <c r="D10" s="1">
        <v>16.664899999999999</v>
      </c>
      <c r="E10" s="1">
        <v>11.2295</v>
      </c>
      <c r="F10" s="1"/>
      <c r="G10" s="1">
        <v>0.6</v>
      </c>
      <c r="H10" s="1">
        <v>10.824299999999999</v>
      </c>
      <c r="I10" s="1">
        <v>16.581800000000001</v>
      </c>
      <c r="J10" s="1">
        <v>13.1236</v>
      </c>
    </row>
    <row r="11" spans="2:10">
      <c r="B11" s="1">
        <v>0.7</v>
      </c>
      <c r="C11" s="1">
        <v>7.9196999999999997</v>
      </c>
      <c r="D11" s="1">
        <v>16.664899999999999</v>
      </c>
      <c r="E11" s="1">
        <v>11.2295</v>
      </c>
      <c r="F11" s="1"/>
      <c r="G11" s="1">
        <v>0.7</v>
      </c>
      <c r="H11" s="1">
        <v>10.824299999999999</v>
      </c>
      <c r="I11" s="1">
        <v>16.581800000000001</v>
      </c>
      <c r="J11" s="1">
        <v>13.1236</v>
      </c>
    </row>
    <row r="12" spans="2:10">
      <c r="B12" s="1">
        <v>0.8</v>
      </c>
      <c r="C12" s="1">
        <v>7.9196999999999997</v>
      </c>
      <c r="D12" s="1">
        <v>16.664899999999999</v>
      </c>
      <c r="E12" s="1">
        <v>11.2295</v>
      </c>
      <c r="F12" s="1"/>
      <c r="G12" s="1">
        <v>0.8</v>
      </c>
      <c r="H12" s="1">
        <v>10.6152</v>
      </c>
      <c r="I12" s="1">
        <v>16.670000000000002</v>
      </c>
      <c r="J12" s="1">
        <v>13.033200000000001</v>
      </c>
    </row>
    <row r="13" spans="2:10">
      <c r="B13" s="1">
        <v>0.9</v>
      </c>
      <c r="C13" s="1">
        <v>7.9196999999999997</v>
      </c>
      <c r="D13" s="1">
        <v>16.664899999999999</v>
      </c>
      <c r="E13" s="1">
        <v>11.2295</v>
      </c>
      <c r="F13" s="1"/>
      <c r="G13" s="1">
        <v>0.9</v>
      </c>
      <c r="H13" s="1">
        <v>10.6152</v>
      </c>
      <c r="I13" s="1">
        <v>16.670000000000002</v>
      </c>
      <c r="J13" s="1">
        <v>13.033200000000001</v>
      </c>
    </row>
    <row r="14" spans="2:10">
      <c r="B14" s="1">
        <v>1</v>
      </c>
      <c r="C14" s="1">
        <v>7.9196999999999997</v>
      </c>
      <c r="D14" s="1">
        <v>16.664899999999999</v>
      </c>
      <c r="E14" s="1">
        <v>11.2295</v>
      </c>
      <c r="F14" s="1"/>
      <c r="G14" s="1">
        <v>1</v>
      </c>
      <c r="H14" s="1">
        <v>10.6152</v>
      </c>
      <c r="I14" s="1">
        <v>16.670000000000002</v>
      </c>
      <c r="J14" s="1">
        <v>13.033200000000001</v>
      </c>
    </row>
    <row r="15" spans="2:10">
      <c r="B15" s="1"/>
      <c r="C15" s="1"/>
      <c r="D15" s="1"/>
      <c r="E15" s="1"/>
      <c r="F15" s="1"/>
      <c r="G15" s="1"/>
      <c r="H15" s="1"/>
      <c r="I15" s="1"/>
      <c r="J15" s="1"/>
    </row>
    <row r="16" spans="2:10">
      <c r="B16" s="1"/>
      <c r="C16" s="1"/>
      <c r="D16" s="1" t="s">
        <v>13</v>
      </c>
      <c r="E16" s="1"/>
      <c r="F16" s="1"/>
      <c r="G16" s="1"/>
      <c r="H16" s="1"/>
      <c r="I16" s="1" t="s">
        <v>13</v>
      </c>
      <c r="J16" s="1"/>
    </row>
    <row r="17" spans="2:16">
      <c r="B17" s="1"/>
      <c r="C17" s="1"/>
      <c r="D17" s="1"/>
      <c r="E17" s="1"/>
      <c r="F17" s="1"/>
      <c r="G17" s="1"/>
      <c r="H17" s="1"/>
      <c r="I17" s="1"/>
      <c r="J17" s="1"/>
    </row>
    <row r="18" spans="2:16">
      <c r="B18" s="1"/>
      <c r="C18" s="1" t="s">
        <v>9</v>
      </c>
      <c r="D18" s="1"/>
      <c r="E18" s="1"/>
      <c r="F18" s="1"/>
      <c r="G18" s="1"/>
      <c r="H18" s="1" t="s">
        <v>11</v>
      </c>
      <c r="I18" s="1"/>
      <c r="J18" s="1"/>
    </row>
    <row r="19" spans="2:16">
      <c r="B19" s="1" t="s">
        <v>6</v>
      </c>
      <c r="C19" s="1" t="s">
        <v>1</v>
      </c>
      <c r="D19" s="1" t="s">
        <v>2</v>
      </c>
      <c r="E19" s="1" t="s">
        <v>3</v>
      </c>
      <c r="F19" s="1"/>
      <c r="G19" s="1" t="s">
        <v>6</v>
      </c>
      <c r="H19" s="1" t="s">
        <v>1</v>
      </c>
      <c r="I19" s="1" t="s">
        <v>2</v>
      </c>
      <c r="J19" s="1" t="s">
        <v>3</v>
      </c>
    </row>
    <row r="20" spans="2:16">
      <c r="B20" s="1">
        <v>0</v>
      </c>
      <c r="C20" s="1">
        <v>12.0746</v>
      </c>
      <c r="D20" s="1">
        <v>12.8567</v>
      </c>
      <c r="E20" s="1">
        <v>12.436299999999999</v>
      </c>
      <c r="F20" s="1"/>
      <c r="G20" s="1">
        <v>0</v>
      </c>
      <c r="H20" s="1">
        <v>11.594799999999999</v>
      </c>
      <c r="I20" s="1">
        <v>11.8484</v>
      </c>
      <c r="J20" s="1">
        <v>11.7096</v>
      </c>
      <c r="L20">
        <v>11.594799999999999</v>
      </c>
      <c r="M20">
        <v>11.848599999999999</v>
      </c>
      <c r="N20">
        <v>11.7097</v>
      </c>
    </row>
    <row r="21" spans="2:16">
      <c r="B21" s="1">
        <v>0.1</v>
      </c>
      <c r="C21" s="1">
        <v>12.0746</v>
      </c>
      <c r="D21" s="1">
        <v>12.8567</v>
      </c>
      <c r="E21" s="1">
        <v>12.436299999999999</v>
      </c>
      <c r="F21" s="1"/>
      <c r="G21" s="1">
        <v>0.1</v>
      </c>
      <c r="H21" s="1">
        <v>11.594799999999999</v>
      </c>
      <c r="I21" s="1">
        <v>11.8484</v>
      </c>
      <c r="J21" s="1">
        <v>11.7096</v>
      </c>
      <c r="L21">
        <v>11.594799999999999</v>
      </c>
      <c r="M21">
        <v>11.848599999999999</v>
      </c>
      <c r="N21">
        <v>11.7097</v>
      </c>
    </row>
    <row r="22" spans="2:16">
      <c r="B22" s="1">
        <v>0.2</v>
      </c>
      <c r="C22" s="1">
        <v>12.0746</v>
      </c>
      <c r="D22" s="1">
        <v>12.8567</v>
      </c>
      <c r="E22" s="1">
        <v>12.436299999999999</v>
      </c>
      <c r="F22" s="1"/>
      <c r="G22" s="1">
        <v>0.2</v>
      </c>
      <c r="H22" s="1">
        <v>11.594799999999999</v>
      </c>
      <c r="I22" s="1">
        <v>11.8484</v>
      </c>
      <c r="J22" s="1">
        <v>11.7096</v>
      </c>
      <c r="L22">
        <v>11.594799999999999</v>
      </c>
      <c r="M22">
        <v>11.848599999999999</v>
      </c>
      <c r="N22">
        <v>11.7097</v>
      </c>
    </row>
    <row r="23" spans="2:16">
      <c r="B23" s="1">
        <v>0.3</v>
      </c>
      <c r="C23" s="1">
        <v>12.0746</v>
      </c>
      <c r="D23" s="1">
        <v>12.8567</v>
      </c>
      <c r="E23" s="1">
        <v>12.436299999999999</v>
      </c>
      <c r="F23" s="1"/>
      <c r="G23" s="1">
        <v>0.3</v>
      </c>
      <c r="H23" s="1"/>
      <c r="I23" s="1"/>
      <c r="J23" s="1"/>
      <c r="L23">
        <v>10.99</v>
      </c>
      <c r="M23">
        <v>10.9109</v>
      </c>
      <c r="N23">
        <v>10.9537</v>
      </c>
      <c r="P23" t="s">
        <v>18</v>
      </c>
    </row>
    <row r="24" spans="2:16">
      <c r="B24" s="1">
        <v>0.4</v>
      </c>
      <c r="C24" s="1">
        <v>11.6</v>
      </c>
      <c r="D24" s="1">
        <v>13.151199999999999</v>
      </c>
      <c r="E24" s="1">
        <v>12.3156</v>
      </c>
      <c r="F24" s="1"/>
      <c r="G24" s="1">
        <v>0.4</v>
      </c>
      <c r="H24" s="1"/>
      <c r="I24" s="1"/>
      <c r="J24" s="1"/>
      <c r="L24">
        <v>8.7221100000000007</v>
      </c>
      <c r="M24">
        <v>11.2911</v>
      </c>
      <c r="N24">
        <v>9.8684200000000004</v>
      </c>
      <c r="P24" t="s">
        <v>19</v>
      </c>
    </row>
    <row r="25" spans="2:16">
      <c r="B25" s="1">
        <v>0.5</v>
      </c>
      <c r="C25" s="1">
        <v>10.6928</v>
      </c>
      <c r="D25" s="1">
        <v>14.593400000000001</v>
      </c>
      <c r="E25" s="1">
        <v>12.3514</v>
      </c>
      <c r="F25" s="1"/>
      <c r="G25" s="1">
        <v>0.5</v>
      </c>
      <c r="H25" s="1"/>
      <c r="I25" s="1"/>
      <c r="J25" s="1"/>
      <c r="L25">
        <v>11.3283</v>
      </c>
      <c r="M25">
        <v>12.206899999999999</v>
      </c>
      <c r="N25">
        <v>11.704800000000001</v>
      </c>
    </row>
    <row r="26" spans="2:16">
      <c r="B26" s="1">
        <v>0.6</v>
      </c>
      <c r="C26" s="1">
        <v>11.1424</v>
      </c>
      <c r="D26" s="1">
        <v>14.840999999999999</v>
      </c>
      <c r="E26" s="1">
        <v>12.726599999999999</v>
      </c>
      <c r="F26" s="1"/>
      <c r="G26" s="1">
        <v>0.6</v>
      </c>
      <c r="H26" s="1">
        <v>11.675000000000001</v>
      </c>
      <c r="I26" s="1">
        <v>14.608700000000001</v>
      </c>
      <c r="J26" s="1">
        <v>12.943</v>
      </c>
      <c r="L26">
        <v>11.674899999999999</v>
      </c>
      <c r="M26">
        <v>14.608700000000001</v>
      </c>
      <c r="N26">
        <v>12.9429</v>
      </c>
    </row>
    <row r="27" spans="2:16">
      <c r="B27" s="1">
        <v>0.7</v>
      </c>
      <c r="C27" s="1">
        <v>9.8330000000000002</v>
      </c>
      <c r="D27" s="1">
        <v>15.0678</v>
      </c>
      <c r="E27" s="1">
        <v>12.069100000000001</v>
      </c>
      <c r="F27" s="1"/>
      <c r="G27" s="1">
        <v>0.7</v>
      </c>
      <c r="H27" s="1">
        <v>13.123200000000001</v>
      </c>
      <c r="I27" s="1">
        <v>16.198499999999999</v>
      </c>
      <c r="J27" s="1">
        <v>14.452199999999999</v>
      </c>
      <c r="L27">
        <v>13.123100000000001</v>
      </c>
      <c r="M27">
        <v>16.198499999999999</v>
      </c>
      <c r="N27">
        <v>14.452199999999999</v>
      </c>
    </row>
    <row r="28" spans="2:16">
      <c r="B28" s="1">
        <v>0.8</v>
      </c>
      <c r="C28" s="1">
        <v>8.5851000000000006</v>
      </c>
      <c r="D28" s="1">
        <v>16.358699999999999</v>
      </c>
      <c r="E28" s="1">
        <v>11.6083</v>
      </c>
      <c r="F28" s="1"/>
      <c r="G28" s="1">
        <v>0.8</v>
      </c>
      <c r="H28" s="1">
        <v>10.802899999999999</v>
      </c>
      <c r="I28" s="1">
        <v>16.3202</v>
      </c>
      <c r="J28" s="1">
        <v>13.0303</v>
      </c>
      <c r="L28">
        <v>10.802899999999999</v>
      </c>
      <c r="M28">
        <v>16.3202</v>
      </c>
      <c r="N28">
        <v>13.0303</v>
      </c>
    </row>
    <row r="29" spans="2:16">
      <c r="B29" s="1">
        <v>0.9</v>
      </c>
      <c r="C29" s="1">
        <v>7.9196999999999997</v>
      </c>
      <c r="D29" s="1">
        <v>16.664899999999999</v>
      </c>
      <c r="E29" s="1">
        <v>11.2295</v>
      </c>
      <c r="F29" s="1"/>
      <c r="G29" s="1">
        <v>0.9</v>
      </c>
      <c r="H29" s="1">
        <v>10.6152</v>
      </c>
      <c r="I29" s="1">
        <v>16.670000000000002</v>
      </c>
      <c r="J29" s="1">
        <v>13.033200000000001</v>
      </c>
      <c r="L29">
        <v>10.6152</v>
      </c>
      <c r="M29">
        <v>16.670000000000002</v>
      </c>
      <c r="N29">
        <v>13.033200000000001</v>
      </c>
    </row>
    <row r="30" spans="2:16">
      <c r="B30" s="1">
        <v>1</v>
      </c>
      <c r="C30" s="1">
        <v>7.9196999999999997</v>
      </c>
      <c r="D30" s="1">
        <v>16.664899999999999</v>
      </c>
      <c r="E30" s="1">
        <v>11.2295</v>
      </c>
      <c r="F30" s="1"/>
      <c r="G30" s="1">
        <v>1</v>
      </c>
      <c r="H30" s="1">
        <v>10.6152</v>
      </c>
      <c r="I30" s="1">
        <v>16.670000000000002</v>
      </c>
      <c r="J30" s="1">
        <v>13.033200000000001</v>
      </c>
      <c r="L30">
        <v>10.6152</v>
      </c>
      <c r="M30">
        <v>16.670000000000002</v>
      </c>
      <c r="N30">
        <v>13.033200000000001</v>
      </c>
    </row>
    <row r="32" spans="2:16">
      <c r="D32" t="s">
        <v>17</v>
      </c>
      <c r="I32" t="s">
        <v>16</v>
      </c>
      <c r="M32" t="s">
        <v>14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263A-1F80-AB41-BEF6-94C891CE1067}">
  <dimension ref="B2:K48"/>
  <sheetViews>
    <sheetView workbookViewId="0">
      <selection activeCell="M41" sqref="M41"/>
    </sheetView>
  </sheetViews>
  <sheetFormatPr baseColWidth="10" defaultRowHeight="20"/>
  <sheetData>
    <row r="2" spans="2:10">
      <c r="B2" s="1"/>
      <c r="C2" s="1" t="s">
        <v>4</v>
      </c>
      <c r="D2" s="1"/>
      <c r="E2" s="1"/>
      <c r="F2" s="1"/>
      <c r="G2" s="1"/>
      <c r="H2" s="1" t="s">
        <v>7</v>
      </c>
      <c r="I2" s="1"/>
      <c r="J2" s="1"/>
    </row>
    <row r="3" spans="2:10">
      <c r="B3" s="1" t="s">
        <v>6</v>
      </c>
      <c r="C3" s="1" t="s">
        <v>1</v>
      </c>
      <c r="D3" s="1" t="s">
        <v>2</v>
      </c>
      <c r="E3" s="1" t="s">
        <v>3</v>
      </c>
      <c r="F3" s="1"/>
      <c r="G3" s="1" t="s">
        <v>6</v>
      </c>
      <c r="H3" s="1" t="s">
        <v>1</v>
      </c>
      <c r="I3" s="1" t="s">
        <v>2</v>
      </c>
      <c r="J3" s="1" t="s">
        <v>3</v>
      </c>
    </row>
    <row r="4" spans="2:10">
      <c r="B4" s="1">
        <v>0</v>
      </c>
      <c r="C4" s="1">
        <v>12.9194</v>
      </c>
      <c r="D4" s="1">
        <v>11.3866</v>
      </c>
      <c r="E4" s="1">
        <v>12.1189</v>
      </c>
      <c r="F4" s="1"/>
      <c r="G4" s="1">
        <v>0</v>
      </c>
      <c r="H4" s="1">
        <v>13.608700000000001</v>
      </c>
      <c r="I4" s="1">
        <v>13.573</v>
      </c>
      <c r="J4" s="1">
        <v>13.5901</v>
      </c>
    </row>
    <row r="5" spans="2:10">
      <c r="B5" s="1">
        <v>0.1</v>
      </c>
      <c r="C5" s="1">
        <v>12.1211</v>
      </c>
      <c r="D5" s="1">
        <v>12.327500000000001</v>
      </c>
      <c r="E5" s="1">
        <v>12.228199999999999</v>
      </c>
      <c r="F5" s="1"/>
      <c r="G5" s="1">
        <v>0.1</v>
      </c>
      <c r="H5" s="1">
        <v>13.470499999999999</v>
      </c>
      <c r="I5" s="1">
        <v>13.1496</v>
      </c>
      <c r="J5" s="1">
        <v>13.305300000000001</v>
      </c>
    </row>
    <row r="6" spans="2:10">
      <c r="B6" s="1">
        <v>0.2</v>
      </c>
      <c r="C6" s="1">
        <v>10.837199999999999</v>
      </c>
      <c r="D6" s="1">
        <v>14.664400000000001</v>
      </c>
      <c r="E6" s="1">
        <v>12.7202</v>
      </c>
      <c r="F6" s="1"/>
      <c r="G6" s="1">
        <v>0.2</v>
      </c>
      <c r="H6" s="1">
        <v>13.136699999999999</v>
      </c>
      <c r="I6" s="1">
        <v>15.8948</v>
      </c>
      <c r="J6" s="1">
        <v>14.4383</v>
      </c>
    </row>
    <row r="7" spans="2:10">
      <c r="B7" s="1">
        <v>0.3</v>
      </c>
      <c r="C7" s="1">
        <v>9.3766999999999996</v>
      </c>
      <c r="D7" s="1">
        <v>15.9131</v>
      </c>
      <c r="E7" s="1">
        <v>12.289400000000001</v>
      </c>
      <c r="F7" s="1"/>
      <c r="G7" s="1">
        <v>0.3</v>
      </c>
      <c r="H7" s="1">
        <v>12.4991</v>
      </c>
      <c r="I7" s="1">
        <v>16.064900000000002</v>
      </c>
      <c r="J7" s="1">
        <v>14.1683</v>
      </c>
    </row>
    <row r="8" spans="2:10">
      <c r="B8" s="1">
        <v>0.4</v>
      </c>
      <c r="C8" s="1">
        <v>7.7123999999999997</v>
      </c>
      <c r="D8" s="1">
        <v>16.6401</v>
      </c>
      <c r="E8" s="1">
        <v>11.3916</v>
      </c>
      <c r="F8" s="1"/>
      <c r="G8" s="1">
        <v>0.4</v>
      </c>
      <c r="H8" s="1">
        <v>10.717000000000001</v>
      </c>
      <c r="I8" s="1">
        <v>16.349399999999999</v>
      </c>
      <c r="J8" s="1">
        <v>13.206899999999999</v>
      </c>
    </row>
    <row r="9" spans="2:10">
      <c r="B9" s="1">
        <v>0.5</v>
      </c>
      <c r="C9" s="1">
        <v>7.7123999999999997</v>
      </c>
      <c r="D9" s="1">
        <v>16.6401</v>
      </c>
      <c r="E9" s="1">
        <v>11.3916</v>
      </c>
      <c r="F9" s="1"/>
      <c r="G9" s="1">
        <v>0.5</v>
      </c>
      <c r="H9" s="1">
        <v>10.6632</v>
      </c>
      <c r="I9" s="1">
        <v>16.531199999999998</v>
      </c>
      <c r="J9" s="1">
        <v>13.257300000000001</v>
      </c>
    </row>
    <row r="10" spans="2:10">
      <c r="B10" s="1">
        <v>0.6</v>
      </c>
      <c r="C10" s="1">
        <v>7.7123999999999997</v>
      </c>
      <c r="D10" s="1">
        <v>16.6401</v>
      </c>
      <c r="E10" s="1">
        <v>11.3916</v>
      </c>
      <c r="F10" s="1"/>
      <c r="G10" s="1">
        <v>0.6</v>
      </c>
      <c r="H10" s="1">
        <v>10.1142</v>
      </c>
      <c r="I10" s="1">
        <v>16.4953</v>
      </c>
      <c r="J10" s="1">
        <v>12.8833</v>
      </c>
    </row>
    <row r="11" spans="2:10">
      <c r="B11" s="1">
        <v>0.7</v>
      </c>
      <c r="C11" s="1">
        <v>7.7123999999999997</v>
      </c>
      <c r="D11" s="1">
        <v>16.6401</v>
      </c>
      <c r="E11" s="1">
        <v>11.3916</v>
      </c>
      <c r="F11" s="1"/>
      <c r="G11" s="1">
        <v>0.7</v>
      </c>
      <c r="H11" s="1">
        <v>9.8782999999999994</v>
      </c>
      <c r="I11" s="1">
        <v>16.670000000000002</v>
      </c>
      <c r="J11" s="1">
        <v>12.8256</v>
      </c>
    </row>
    <row r="12" spans="2:10">
      <c r="B12" s="1">
        <v>0.8</v>
      </c>
      <c r="C12" s="1">
        <v>7.7123999999999997</v>
      </c>
      <c r="D12" s="1">
        <v>16.6401</v>
      </c>
      <c r="E12" s="1">
        <v>11.3916</v>
      </c>
      <c r="F12" s="1"/>
      <c r="G12" s="1">
        <v>0.8</v>
      </c>
      <c r="H12" s="1">
        <v>9.8782999999999994</v>
      </c>
      <c r="I12" s="1">
        <v>16.670000000000002</v>
      </c>
      <c r="J12" s="1">
        <v>12.8256</v>
      </c>
    </row>
    <row r="13" spans="2:10">
      <c r="B13" s="1">
        <v>0.9</v>
      </c>
      <c r="C13" s="1">
        <v>7.7123999999999997</v>
      </c>
      <c r="D13" s="1">
        <v>16.6401</v>
      </c>
      <c r="E13" s="1">
        <v>11.3916</v>
      </c>
      <c r="F13" s="1"/>
      <c r="G13" s="1">
        <v>0.9</v>
      </c>
      <c r="H13" s="1">
        <v>9.8782999999999994</v>
      </c>
      <c r="I13" s="1">
        <v>16.670000000000002</v>
      </c>
      <c r="J13" s="1">
        <v>12.8256</v>
      </c>
    </row>
    <row r="14" spans="2:10">
      <c r="B14" s="1">
        <v>1</v>
      </c>
      <c r="C14" s="1">
        <v>7.7123999999999997</v>
      </c>
      <c r="D14" s="1">
        <v>16.6401</v>
      </c>
      <c r="E14" s="1">
        <v>11.3916</v>
      </c>
      <c r="F14" s="1"/>
      <c r="G14" s="1">
        <v>1</v>
      </c>
      <c r="H14" s="1">
        <v>9.8782999999999994</v>
      </c>
      <c r="I14" s="1">
        <v>16.670000000000002</v>
      </c>
      <c r="J14" s="1">
        <v>12.8256</v>
      </c>
    </row>
    <row r="15" spans="2:10">
      <c r="B15" s="1"/>
      <c r="C15" s="1"/>
      <c r="D15" s="1"/>
      <c r="E15" s="1"/>
      <c r="F15" s="1"/>
      <c r="G15" s="1"/>
      <c r="H15" s="1"/>
      <c r="I15" s="1"/>
      <c r="J15" s="1"/>
    </row>
    <row r="16" spans="2:10">
      <c r="B16" s="1"/>
      <c r="C16" s="1"/>
      <c r="D16" s="1" t="s">
        <v>13</v>
      </c>
      <c r="E16" s="1"/>
      <c r="F16" s="1"/>
      <c r="G16" s="1"/>
      <c r="H16" s="1"/>
      <c r="I16" s="1" t="s">
        <v>13</v>
      </c>
      <c r="J16" s="1"/>
    </row>
    <row r="17" spans="2:10">
      <c r="B17" s="1"/>
      <c r="C17" s="1"/>
      <c r="D17" s="1"/>
      <c r="E17" s="1"/>
      <c r="F17" s="1"/>
      <c r="G17" s="1"/>
      <c r="H17" s="1"/>
      <c r="I17" s="1"/>
      <c r="J17" s="1"/>
    </row>
    <row r="18" spans="2:10">
      <c r="B18" s="1"/>
      <c r="C18" s="1" t="s">
        <v>9</v>
      </c>
      <c r="D18" s="1"/>
      <c r="E18" s="1"/>
      <c r="F18" s="1"/>
      <c r="G18" s="1"/>
      <c r="H18" s="1" t="s">
        <v>11</v>
      </c>
      <c r="I18" s="1"/>
      <c r="J18" s="1"/>
    </row>
    <row r="19" spans="2:10">
      <c r="B19" s="1" t="s">
        <v>6</v>
      </c>
      <c r="C19" s="1" t="s">
        <v>1</v>
      </c>
      <c r="D19" s="1" t="s">
        <v>2</v>
      </c>
      <c r="E19" s="1" t="s">
        <v>3</v>
      </c>
      <c r="F19" s="1"/>
      <c r="G19" s="1" t="s">
        <v>6</v>
      </c>
      <c r="H19" s="1" t="s">
        <v>1</v>
      </c>
      <c r="I19" s="1" t="s">
        <v>2</v>
      </c>
      <c r="J19" s="1" t="s">
        <v>3</v>
      </c>
    </row>
    <row r="20" spans="2:10">
      <c r="B20" s="1">
        <v>0</v>
      </c>
      <c r="C20" s="1">
        <v>12.9194</v>
      </c>
      <c r="D20" s="1">
        <v>11.3866</v>
      </c>
      <c r="E20" s="1">
        <v>12.1189</v>
      </c>
      <c r="F20" s="1"/>
      <c r="G20" s="1">
        <v>0</v>
      </c>
      <c r="H20">
        <v>13.608700000000001</v>
      </c>
      <c r="I20">
        <v>13.573</v>
      </c>
      <c r="J20">
        <v>13.5901</v>
      </c>
    </row>
    <row r="21" spans="2:10">
      <c r="B21" s="1">
        <v>0.1</v>
      </c>
      <c r="C21" s="1">
        <v>12.9194</v>
      </c>
      <c r="D21" s="1">
        <v>11.3866</v>
      </c>
      <c r="E21" s="1">
        <v>12.1189</v>
      </c>
      <c r="F21" s="1"/>
      <c r="G21" s="1">
        <v>0.1</v>
      </c>
      <c r="H21">
        <v>13.608700000000001</v>
      </c>
      <c r="I21">
        <v>13.573</v>
      </c>
      <c r="J21">
        <v>13.5901</v>
      </c>
    </row>
    <row r="22" spans="2:10">
      <c r="B22" s="1">
        <v>0.2</v>
      </c>
      <c r="C22" s="1">
        <v>12.9194</v>
      </c>
      <c r="D22" s="1">
        <v>11.3866</v>
      </c>
      <c r="E22" s="1">
        <v>12.1189</v>
      </c>
      <c r="F22" s="1"/>
      <c r="G22" s="1">
        <v>0.2</v>
      </c>
      <c r="H22">
        <v>13.608700000000001</v>
      </c>
      <c r="I22">
        <v>13.573</v>
      </c>
      <c r="J22">
        <v>13.5901</v>
      </c>
    </row>
    <row r="23" spans="2:10">
      <c r="B23" s="1">
        <v>0.3</v>
      </c>
      <c r="C23" s="1">
        <v>12.9194</v>
      </c>
      <c r="D23" s="1">
        <v>11.3866</v>
      </c>
      <c r="E23" s="1">
        <v>12.1189</v>
      </c>
      <c r="F23" s="1"/>
      <c r="G23" s="1">
        <v>0.3</v>
      </c>
      <c r="H23">
        <v>13.608700000000001</v>
      </c>
      <c r="I23">
        <v>13.573</v>
      </c>
      <c r="J23">
        <v>13.5901</v>
      </c>
    </row>
    <row r="24" spans="2:10">
      <c r="B24" s="1">
        <v>0.4</v>
      </c>
      <c r="C24" s="1">
        <v>12.5998</v>
      </c>
      <c r="D24" s="1">
        <v>11.5677</v>
      </c>
      <c r="E24" s="1">
        <v>12.063800000000001</v>
      </c>
      <c r="F24" s="1"/>
      <c r="G24" s="1">
        <v>0.4</v>
      </c>
      <c r="H24">
        <v>12.8835</v>
      </c>
      <c r="I24">
        <v>14.7014</v>
      </c>
      <c r="J24">
        <v>13.7529</v>
      </c>
    </row>
    <row r="25" spans="2:10">
      <c r="B25" s="1">
        <v>0.5</v>
      </c>
      <c r="C25" s="1">
        <v>11.8324</v>
      </c>
      <c r="D25" s="1">
        <v>13.4163</v>
      </c>
      <c r="E25" s="1">
        <v>12.619300000000001</v>
      </c>
      <c r="F25" s="1"/>
      <c r="G25" s="1">
        <v>0.5</v>
      </c>
      <c r="H25">
        <v>12.7537</v>
      </c>
      <c r="I25">
        <v>15.5823</v>
      </c>
      <c r="J25">
        <v>14.091900000000001</v>
      </c>
    </row>
    <row r="26" spans="2:10">
      <c r="B26" s="1">
        <v>0.6</v>
      </c>
      <c r="C26" s="1">
        <v>11.116099999999999</v>
      </c>
      <c r="D26" s="1">
        <v>14.8119</v>
      </c>
      <c r="E26" s="1">
        <v>12.811199999999999</v>
      </c>
      <c r="F26" s="1"/>
      <c r="G26" s="1">
        <v>0.6</v>
      </c>
      <c r="H26">
        <v>12.727499999999999</v>
      </c>
      <c r="I26">
        <v>15.6912</v>
      </c>
      <c r="J26">
        <v>14.129</v>
      </c>
    </row>
    <row r="27" spans="2:10">
      <c r="B27" s="1">
        <v>0.7</v>
      </c>
      <c r="C27" s="1">
        <v>8.1983999999999995</v>
      </c>
      <c r="D27" s="1">
        <v>16.251899999999999</v>
      </c>
      <c r="E27" s="1">
        <v>11.593500000000001</v>
      </c>
      <c r="F27" s="1"/>
      <c r="G27" s="1">
        <v>0.7</v>
      </c>
      <c r="H27">
        <v>10.321999999999999</v>
      </c>
      <c r="I27">
        <v>16.370699999999999</v>
      </c>
      <c r="J27">
        <v>12.9557</v>
      </c>
    </row>
    <row r="28" spans="2:10">
      <c r="B28" s="1">
        <v>0.8</v>
      </c>
      <c r="C28" s="1">
        <v>7.7123999999999997</v>
      </c>
      <c r="D28" s="1">
        <v>16.6401</v>
      </c>
      <c r="E28" s="1">
        <v>11.3916</v>
      </c>
      <c r="F28" s="1"/>
      <c r="G28" s="1">
        <v>0.8</v>
      </c>
      <c r="H28">
        <v>10.1142</v>
      </c>
      <c r="I28">
        <v>16.4953</v>
      </c>
      <c r="J28">
        <v>12.8833</v>
      </c>
    </row>
    <row r="29" spans="2:10">
      <c r="B29" s="1">
        <v>0.9</v>
      </c>
      <c r="C29" s="1">
        <v>7.7123999999999997</v>
      </c>
      <c r="D29" s="1">
        <v>16.6401</v>
      </c>
      <c r="E29" s="1">
        <v>11.3916</v>
      </c>
      <c r="F29" s="1"/>
      <c r="G29" s="1">
        <v>0.9</v>
      </c>
      <c r="H29">
        <v>9.8783399999999997</v>
      </c>
      <c r="I29">
        <v>16.670000000000002</v>
      </c>
      <c r="J29">
        <v>12.8256</v>
      </c>
    </row>
    <row r="30" spans="2:10">
      <c r="B30" s="1">
        <v>1</v>
      </c>
      <c r="C30" s="1">
        <v>7.7123999999999997</v>
      </c>
      <c r="D30" s="1">
        <v>16.6401</v>
      </c>
      <c r="E30" s="1">
        <v>11.3916</v>
      </c>
      <c r="F30" s="1"/>
      <c r="G30" s="1">
        <v>1</v>
      </c>
      <c r="H30">
        <v>9.8783399999999997</v>
      </c>
      <c r="I30">
        <v>16.670000000000002</v>
      </c>
      <c r="J30">
        <v>12.8256</v>
      </c>
    </row>
    <row r="32" spans="2:10">
      <c r="D32" t="s">
        <v>16</v>
      </c>
      <c r="I32" t="s">
        <v>14</v>
      </c>
    </row>
    <row r="34" spans="7:11">
      <c r="G34" s="1"/>
      <c r="H34" s="1" t="s">
        <v>12</v>
      </c>
      <c r="I34" s="1"/>
      <c r="J34" s="1"/>
      <c r="K34" t="s">
        <v>27</v>
      </c>
    </row>
    <row r="35" spans="7:11">
      <c r="G35" s="1" t="s">
        <v>6</v>
      </c>
      <c r="H35" s="1" t="s">
        <v>1</v>
      </c>
      <c r="I35" s="1" t="s">
        <v>2</v>
      </c>
      <c r="J35" s="1" t="s">
        <v>3</v>
      </c>
    </row>
    <row r="36" spans="7:11">
      <c r="G36" s="1">
        <v>0</v>
      </c>
    </row>
    <row r="37" spans="7:11">
      <c r="G37" s="2">
        <v>0.1</v>
      </c>
      <c r="H37">
        <v>13.608700000000001</v>
      </c>
      <c r="I37">
        <v>13.573</v>
      </c>
      <c r="J37">
        <v>13.5901</v>
      </c>
    </row>
    <row r="38" spans="7:11">
      <c r="G38" s="2">
        <v>0.2</v>
      </c>
      <c r="H38">
        <v>13.608700000000001</v>
      </c>
      <c r="I38">
        <v>13.573</v>
      </c>
      <c r="J38">
        <v>13.5901</v>
      </c>
    </row>
    <row r="39" spans="7:11">
      <c r="G39" s="2">
        <v>0.3</v>
      </c>
      <c r="H39">
        <v>13.608700000000001</v>
      </c>
      <c r="I39">
        <v>13.573</v>
      </c>
      <c r="J39">
        <v>13.5901</v>
      </c>
    </row>
    <row r="40" spans="7:11">
      <c r="G40" s="2">
        <v>0.4</v>
      </c>
      <c r="H40">
        <v>12.883599999999999</v>
      </c>
      <c r="I40">
        <v>14.7014</v>
      </c>
      <c r="J40">
        <v>13.7529</v>
      </c>
    </row>
    <row r="41" spans="7:11">
      <c r="G41" s="1">
        <v>0.5</v>
      </c>
    </row>
    <row r="42" spans="7:11">
      <c r="G42" s="1">
        <v>0.6</v>
      </c>
    </row>
    <row r="43" spans="7:11">
      <c r="G43" s="1">
        <v>0.7</v>
      </c>
    </row>
    <row r="44" spans="7:11">
      <c r="G44" s="1">
        <v>0.8</v>
      </c>
    </row>
    <row r="45" spans="7:11">
      <c r="G45" s="1">
        <v>0.9</v>
      </c>
    </row>
    <row r="46" spans="7:11">
      <c r="G46" s="1">
        <v>1</v>
      </c>
    </row>
    <row r="48" spans="7:11">
      <c r="I48" t="s">
        <v>17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1AAA2-2568-D345-A5E6-BE392757C4B9}">
  <dimension ref="B2:K46"/>
  <sheetViews>
    <sheetView topLeftCell="A23" workbookViewId="0">
      <selection activeCell="L31" sqref="L31"/>
    </sheetView>
  </sheetViews>
  <sheetFormatPr baseColWidth="10" defaultRowHeight="20"/>
  <sheetData>
    <row r="2" spans="2:10">
      <c r="B2" s="1"/>
      <c r="C2" s="1" t="s">
        <v>4</v>
      </c>
      <c r="D2" s="1"/>
      <c r="E2" s="1"/>
      <c r="F2" s="1"/>
      <c r="G2" s="1"/>
      <c r="H2" s="1" t="s">
        <v>7</v>
      </c>
      <c r="I2" s="1"/>
      <c r="J2" s="1"/>
    </row>
    <row r="3" spans="2:10">
      <c r="B3" s="1" t="s">
        <v>6</v>
      </c>
      <c r="C3" s="1" t="s">
        <v>1</v>
      </c>
      <c r="D3" s="1" t="s">
        <v>2</v>
      </c>
      <c r="E3" s="1" t="s">
        <v>3</v>
      </c>
      <c r="F3" s="1"/>
      <c r="G3" s="1" t="s">
        <v>6</v>
      </c>
      <c r="H3" s="1" t="s">
        <v>1</v>
      </c>
      <c r="I3" s="1" t="s">
        <v>2</v>
      </c>
      <c r="J3" s="1" t="s">
        <v>3</v>
      </c>
    </row>
    <row r="4" spans="2:10">
      <c r="B4" s="1">
        <v>0</v>
      </c>
      <c r="C4" s="1">
        <v>13.406000000000001</v>
      </c>
      <c r="D4" s="1">
        <v>13.807</v>
      </c>
      <c r="E4" s="1">
        <v>13.610200000000001</v>
      </c>
      <c r="F4" s="1"/>
      <c r="G4" s="1">
        <v>0</v>
      </c>
      <c r="H4" s="1">
        <v>15.536099999999999</v>
      </c>
      <c r="I4" s="1">
        <v>15.7677</v>
      </c>
      <c r="J4" s="1">
        <v>15.652699999999999</v>
      </c>
    </row>
    <row r="5" spans="2:10">
      <c r="B5" s="1">
        <v>0.1</v>
      </c>
      <c r="C5" s="1">
        <v>13.3988</v>
      </c>
      <c r="D5" s="1">
        <v>13.8146</v>
      </c>
      <c r="E5" s="1">
        <v>13.6106</v>
      </c>
      <c r="F5" s="1"/>
      <c r="G5" s="1">
        <v>0.1</v>
      </c>
      <c r="H5" s="1">
        <v>14.9161</v>
      </c>
      <c r="I5" s="1">
        <v>15.7293</v>
      </c>
      <c r="J5" s="1">
        <v>15.322699999999999</v>
      </c>
    </row>
    <row r="6" spans="2:10">
      <c r="B6" s="1">
        <v>0.2</v>
      </c>
      <c r="C6" s="1">
        <v>12.1944</v>
      </c>
      <c r="D6" s="1">
        <v>15.6127</v>
      </c>
      <c r="E6" s="1">
        <v>13.8386</v>
      </c>
      <c r="F6" s="1"/>
      <c r="G6" s="1">
        <v>0.2</v>
      </c>
      <c r="H6" s="1">
        <v>14.0189</v>
      </c>
      <c r="I6" s="1">
        <v>16.4194</v>
      </c>
      <c r="J6" s="1">
        <v>15.170299999999999</v>
      </c>
    </row>
    <row r="7" spans="2:10">
      <c r="B7" s="1">
        <v>0.3</v>
      </c>
      <c r="C7" s="1">
        <v>11.219799999999999</v>
      </c>
      <c r="D7" s="1">
        <v>16.187100000000001</v>
      </c>
      <c r="E7" s="1">
        <v>13.51</v>
      </c>
      <c r="F7" s="1"/>
      <c r="G7" s="1">
        <v>0.3</v>
      </c>
      <c r="H7" s="1">
        <v>15.6473</v>
      </c>
      <c r="I7" s="1">
        <v>16.288699999999999</v>
      </c>
      <c r="J7" s="1">
        <v>15.966100000000001</v>
      </c>
    </row>
    <row r="8" spans="2:10">
      <c r="B8" s="1">
        <v>0.4</v>
      </c>
      <c r="C8" s="1">
        <v>11.095499999999999</v>
      </c>
      <c r="D8" s="1">
        <v>16.5334</v>
      </c>
      <c r="E8" s="1">
        <v>13.5504</v>
      </c>
      <c r="F8" s="1"/>
      <c r="G8" s="1">
        <v>0.4</v>
      </c>
      <c r="H8" s="1">
        <v>12.885</v>
      </c>
      <c r="I8" s="1">
        <v>16.666</v>
      </c>
      <c r="J8" s="1">
        <v>14.6365</v>
      </c>
    </row>
    <row r="9" spans="2:10">
      <c r="B9" s="1">
        <v>0.5</v>
      </c>
      <c r="C9" s="1">
        <v>11.0328</v>
      </c>
      <c r="D9" s="1">
        <v>16.532399999999999</v>
      </c>
      <c r="E9" s="1">
        <v>13.5124</v>
      </c>
      <c r="F9" s="1"/>
      <c r="G9" s="1">
        <v>0.5</v>
      </c>
      <c r="H9" s="1">
        <v>12.465400000000001</v>
      </c>
      <c r="I9" s="1">
        <v>16.667899999999999</v>
      </c>
      <c r="J9" s="1">
        <v>14.4095</v>
      </c>
    </row>
    <row r="10" spans="2:10">
      <c r="B10" s="1">
        <v>0.6</v>
      </c>
      <c r="C10" s="1">
        <v>9.0913000000000004</v>
      </c>
      <c r="D10" s="1">
        <v>16.670000000000002</v>
      </c>
      <c r="E10" s="1">
        <v>12.309100000000001</v>
      </c>
      <c r="F10" s="1"/>
      <c r="G10" s="1">
        <v>0.6</v>
      </c>
      <c r="H10" s="1">
        <v>12.9533</v>
      </c>
      <c r="I10" s="1">
        <v>16.666</v>
      </c>
      <c r="J10" s="1">
        <v>14.676600000000001</v>
      </c>
    </row>
    <row r="11" spans="2:10">
      <c r="B11" s="1">
        <v>0.7</v>
      </c>
      <c r="C11" s="1">
        <v>9.0913000000000004</v>
      </c>
      <c r="D11" s="1">
        <v>16.670000000000002</v>
      </c>
      <c r="E11" s="1">
        <v>12.309100000000001</v>
      </c>
      <c r="F11" s="1"/>
      <c r="G11" s="1">
        <v>0.7</v>
      </c>
      <c r="H11" s="1">
        <v>12.9984</v>
      </c>
      <c r="I11" s="1">
        <v>16.665900000000001</v>
      </c>
      <c r="J11" s="1">
        <v>14.702999999999999</v>
      </c>
    </row>
    <row r="12" spans="2:10">
      <c r="B12" s="1">
        <v>0.8</v>
      </c>
      <c r="C12" s="1">
        <v>9.0913000000000004</v>
      </c>
      <c r="D12" s="1">
        <v>16.670000000000002</v>
      </c>
      <c r="E12" s="1">
        <v>12.309100000000001</v>
      </c>
      <c r="F12" s="1"/>
      <c r="G12" s="1">
        <v>0.8</v>
      </c>
      <c r="H12" s="1">
        <v>13.0008</v>
      </c>
      <c r="I12" s="1">
        <v>16.670000000000002</v>
      </c>
      <c r="J12" s="1">
        <v>14.7059</v>
      </c>
    </row>
    <row r="13" spans="2:10">
      <c r="B13" s="1">
        <v>0.9</v>
      </c>
      <c r="C13" s="1">
        <v>9.0913000000000004</v>
      </c>
      <c r="D13" s="1">
        <v>16.670000000000002</v>
      </c>
      <c r="E13" s="1">
        <v>12.309100000000001</v>
      </c>
      <c r="F13" s="1"/>
      <c r="G13" s="1">
        <v>0.9</v>
      </c>
      <c r="H13" s="1">
        <v>13.0008</v>
      </c>
      <c r="I13" s="1">
        <v>16.670000000000002</v>
      </c>
      <c r="J13" s="1">
        <v>14.7059</v>
      </c>
    </row>
    <row r="14" spans="2:10">
      <c r="B14" s="1">
        <v>1</v>
      </c>
      <c r="C14" s="1">
        <v>9.0913000000000004</v>
      </c>
      <c r="D14" s="1">
        <v>16.670000000000002</v>
      </c>
      <c r="E14" s="1">
        <v>12.309100000000001</v>
      </c>
      <c r="F14" s="1"/>
      <c r="G14" s="1">
        <v>1</v>
      </c>
      <c r="H14" s="1">
        <v>13.0008</v>
      </c>
      <c r="I14" s="1">
        <v>16.670000000000002</v>
      </c>
      <c r="J14" s="1">
        <v>14.7059</v>
      </c>
    </row>
    <row r="15" spans="2:10">
      <c r="B15" s="1"/>
      <c r="C15" s="1"/>
      <c r="D15" s="1"/>
      <c r="E15" s="1"/>
      <c r="F15" s="1"/>
      <c r="G15" s="1"/>
      <c r="H15" s="1"/>
      <c r="I15" s="1"/>
      <c r="J15" s="1"/>
    </row>
    <row r="16" spans="2:10">
      <c r="B16" s="1"/>
      <c r="C16" s="1"/>
      <c r="D16" s="1" t="s">
        <v>13</v>
      </c>
      <c r="E16" s="1"/>
      <c r="F16" s="1"/>
      <c r="G16" s="1"/>
      <c r="H16" s="1"/>
      <c r="I16" s="1" t="s">
        <v>13</v>
      </c>
      <c r="J16" s="1"/>
    </row>
    <row r="17" spans="2:10">
      <c r="B17" s="1"/>
      <c r="C17" s="1"/>
      <c r="D17" s="1"/>
      <c r="E17" s="1"/>
      <c r="F17" s="1"/>
      <c r="G17" s="1"/>
      <c r="H17" s="1"/>
      <c r="I17" s="1"/>
      <c r="J17" s="1"/>
    </row>
    <row r="18" spans="2:10">
      <c r="B18" s="1"/>
      <c r="C18" s="1" t="s">
        <v>9</v>
      </c>
      <c r="D18" s="1"/>
      <c r="E18" s="1"/>
      <c r="F18" s="1"/>
      <c r="G18" s="1"/>
      <c r="H18" s="1" t="s">
        <v>11</v>
      </c>
      <c r="I18" s="1"/>
      <c r="J18" s="1"/>
    </row>
    <row r="19" spans="2:10">
      <c r="B19" s="1" t="s">
        <v>6</v>
      </c>
      <c r="C19" s="1" t="s">
        <v>1</v>
      </c>
      <c r="D19" s="1" t="s">
        <v>2</v>
      </c>
      <c r="E19" s="1" t="s">
        <v>3</v>
      </c>
      <c r="F19" s="1"/>
      <c r="G19" s="1" t="s">
        <v>6</v>
      </c>
      <c r="H19" s="1" t="s">
        <v>1</v>
      </c>
      <c r="I19" s="1" t="s">
        <v>2</v>
      </c>
      <c r="J19" s="1" t="s">
        <v>3</v>
      </c>
    </row>
    <row r="20" spans="2:10">
      <c r="B20" s="1">
        <v>0</v>
      </c>
      <c r="C20" s="1">
        <v>13.406000000000001</v>
      </c>
      <c r="D20" s="1">
        <v>13.807</v>
      </c>
      <c r="E20" s="1">
        <v>13.610200000000001</v>
      </c>
      <c r="F20" s="1"/>
      <c r="G20" s="1">
        <v>0</v>
      </c>
      <c r="H20" s="1">
        <v>15.536099999999999</v>
      </c>
      <c r="I20" s="1">
        <v>15.7677</v>
      </c>
      <c r="J20" s="1">
        <v>15.652699999999999</v>
      </c>
    </row>
    <row r="21" spans="2:10">
      <c r="B21" s="1">
        <v>0.1</v>
      </c>
      <c r="C21" s="1">
        <v>13.406000000000001</v>
      </c>
      <c r="D21" s="1">
        <v>13.807</v>
      </c>
      <c r="E21" s="1">
        <v>13.610200000000001</v>
      </c>
      <c r="F21" s="1"/>
      <c r="G21" s="1">
        <v>0.1</v>
      </c>
      <c r="H21" s="1">
        <v>15.536099999999999</v>
      </c>
      <c r="I21" s="1">
        <v>15.7677</v>
      </c>
      <c r="J21" s="1">
        <v>15.652699999999999</v>
      </c>
    </row>
    <row r="22" spans="2:10">
      <c r="B22" s="1">
        <v>0.2</v>
      </c>
      <c r="C22" s="1">
        <v>13.406000000000001</v>
      </c>
      <c r="D22" s="1">
        <v>13.807</v>
      </c>
      <c r="E22" s="1">
        <v>13.610200000000001</v>
      </c>
      <c r="F22" s="1"/>
      <c r="G22" s="1">
        <v>0.2</v>
      </c>
      <c r="H22" s="1">
        <v>14.9596</v>
      </c>
      <c r="I22" s="1">
        <v>15.5626</v>
      </c>
      <c r="J22" s="1">
        <v>15.261100000000001</v>
      </c>
    </row>
    <row r="23" spans="2:10">
      <c r="B23" s="1">
        <v>0.3</v>
      </c>
      <c r="C23" s="1">
        <v>13.406000000000001</v>
      </c>
      <c r="D23" s="1">
        <v>13.807</v>
      </c>
      <c r="E23" s="1">
        <v>13.610200000000001</v>
      </c>
      <c r="F23" s="1"/>
      <c r="G23" s="1">
        <v>0.3</v>
      </c>
      <c r="H23" s="1">
        <v>14.690099999999999</v>
      </c>
      <c r="I23" s="1">
        <v>14.853999999999999</v>
      </c>
      <c r="J23" s="1">
        <v>14.7736</v>
      </c>
    </row>
    <row r="24" spans="2:10">
      <c r="B24" s="1">
        <v>0.4</v>
      </c>
      <c r="C24" s="1">
        <v>13.562900000000001</v>
      </c>
      <c r="D24" s="1">
        <v>14.922499999999999</v>
      </c>
      <c r="E24" s="1">
        <v>14.2454</v>
      </c>
      <c r="F24" s="1"/>
      <c r="G24" s="1">
        <v>0.4</v>
      </c>
      <c r="H24" s="1">
        <v>15.6472</v>
      </c>
      <c r="I24" s="1">
        <v>16.288699999999999</v>
      </c>
      <c r="J24" s="1">
        <v>15.966100000000001</v>
      </c>
    </row>
    <row r="25" spans="2:10">
      <c r="B25" s="1">
        <v>0.5</v>
      </c>
      <c r="C25" s="1">
        <v>12.7514</v>
      </c>
      <c r="D25" s="1">
        <v>15.415100000000001</v>
      </c>
      <c r="E25" s="1">
        <v>14.033799999999999</v>
      </c>
      <c r="F25" s="1"/>
      <c r="G25" s="1">
        <v>0.5</v>
      </c>
      <c r="H25" s="1">
        <v>15.6472</v>
      </c>
      <c r="I25" s="1">
        <v>16.288699999999999</v>
      </c>
      <c r="J25" s="1">
        <v>15.966100000000001</v>
      </c>
    </row>
    <row r="26" spans="2:10">
      <c r="B26" s="1">
        <v>0.6</v>
      </c>
      <c r="C26" s="1">
        <v>11.8058</v>
      </c>
      <c r="D26" s="1">
        <v>15.929500000000001</v>
      </c>
      <c r="E26" s="1">
        <v>13.727399999999999</v>
      </c>
      <c r="F26" s="1"/>
      <c r="G26" s="1">
        <v>0.6</v>
      </c>
      <c r="H26" s="1">
        <v>15.6472</v>
      </c>
      <c r="I26" s="1">
        <v>16.288699999999999</v>
      </c>
      <c r="J26" s="1">
        <v>15.966100000000001</v>
      </c>
    </row>
    <row r="27" spans="2:10">
      <c r="B27" s="1">
        <v>0.7</v>
      </c>
      <c r="C27" s="1">
        <v>11.095499999999999</v>
      </c>
      <c r="D27" s="1">
        <v>16.5334</v>
      </c>
      <c r="E27" s="1">
        <v>13.5504</v>
      </c>
      <c r="F27" s="1"/>
      <c r="G27" s="1">
        <v>0.7</v>
      </c>
      <c r="H27" s="1">
        <v>12.995699999999999</v>
      </c>
      <c r="I27" s="1">
        <v>16.670000000000002</v>
      </c>
      <c r="J27" s="1">
        <v>14.7034</v>
      </c>
    </row>
    <row r="28" spans="2:10">
      <c r="B28" s="1">
        <v>0.8</v>
      </c>
      <c r="C28" s="1">
        <v>11.095499999999999</v>
      </c>
      <c r="D28" s="1">
        <v>16.5334</v>
      </c>
      <c r="E28" s="1">
        <v>13.5504</v>
      </c>
      <c r="F28" s="1"/>
      <c r="G28" s="1">
        <v>0.8</v>
      </c>
      <c r="H28" s="1">
        <v>12.995699999999999</v>
      </c>
      <c r="I28" s="1">
        <v>16.670000000000002</v>
      </c>
      <c r="J28" s="1">
        <v>14.7034</v>
      </c>
    </row>
    <row r="29" spans="2:10">
      <c r="B29" s="1">
        <v>0.9</v>
      </c>
      <c r="C29" s="1">
        <v>9.0913000000000004</v>
      </c>
      <c r="D29" s="1">
        <v>16.670000000000002</v>
      </c>
      <c r="E29" s="1">
        <v>12.309100000000001</v>
      </c>
      <c r="F29" s="1"/>
      <c r="G29" s="1">
        <v>0.9</v>
      </c>
      <c r="H29" s="1">
        <v>12.9533</v>
      </c>
      <c r="I29" s="1">
        <v>16.666</v>
      </c>
      <c r="J29" s="1">
        <v>14.676600000000001</v>
      </c>
    </row>
    <row r="30" spans="2:10">
      <c r="B30" s="1">
        <v>1</v>
      </c>
      <c r="C30" s="1">
        <v>9.0913000000000004</v>
      </c>
      <c r="D30" s="1">
        <v>16.670000000000002</v>
      </c>
      <c r="E30" s="1">
        <v>12.309100000000001</v>
      </c>
      <c r="F30" s="1"/>
      <c r="G30" s="1">
        <v>1</v>
      </c>
      <c r="H30" s="1">
        <v>13.0007</v>
      </c>
      <c r="I30" s="1">
        <v>16.670000000000002</v>
      </c>
      <c r="J30" s="1">
        <v>14.7058</v>
      </c>
    </row>
    <row r="32" spans="2:10">
      <c r="D32" t="s">
        <v>16</v>
      </c>
      <c r="I32" t="s">
        <v>14</v>
      </c>
    </row>
    <row r="34" spans="7:11">
      <c r="G34" s="1"/>
      <c r="H34" s="1" t="s">
        <v>12</v>
      </c>
      <c r="I34" s="1"/>
      <c r="J34" s="1"/>
      <c r="K34" t="s">
        <v>27</v>
      </c>
    </row>
    <row r="35" spans="7:11">
      <c r="G35" s="1" t="s">
        <v>6</v>
      </c>
      <c r="H35" s="1" t="s">
        <v>1</v>
      </c>
      <c r="I35" s="1" t="s">
        <v>2</v>
      </c>
      <c r="J35" s="1" t="s">
        <v>3</v>
      </c>
    </row>
    <row r="36" spans="7:11">
      <c r="G36" s="1">
        <v>0</v>
      </c>
    </row>
    <row r="37" spans="7:11">
      <c r="G37" s="1">
        <v>0.1</v>
      </c>
    </row>
    <row r="38" spans="7:11">
      <c r="G38" s="1">
        <v>0.2</v>
      </c>
    </row>
    <row r="39" spans="7:11">
      <c r="G39" s="1">
        <v>0.3</v>
      </c>
    </row>
    <row r="40" spans="7:11">
      <c r="G40" s="1">
        <v>0.4</v>
      </c>
    </row>
    <row r="41" spans="7:11">
      <c r="G41" s="1">
        <v>0.5</v>
      </c>
    </row>
    <row r="42" spans="7:11">
      <c r="G42" s="1">
        <v>0.6</v>
      </c>
    </row>
    <row r="43" spans="7:11">
      <c r="G43" s="1">
        <v>0.7</v>
      </c>
    </row>
    <row r="44" spans="7:11">
      <c r="G44" s="1">
        <v>0.8</v>
      </c>
    </row>
    <row r="45" spans="7:11">
      <c r="G45" s="1">
        <v>0.9</v>
      </c>
    </row>
    <row r="46" spans="7:11">
      <c r="G46" s="1">
        <v>1</v>
      </c>
    </row>
  </sheetData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CC7D7-69EC-594D-A09A-EB569DF3BAA6}">
  <dimension ref="B2:K46"/>
  <sheetViews>
    <sheetView topLeftCell="A11" workbookViewId="0">
      <selection activeCell="G34" sqref="G34:K46"/>
    </sheetView>
  </sheetViews>
  <sheetFormatPr baseColWidth="10" defaultRowHeight="20"/>
  <sheetData>
    <row r="2" spans="2:10">
      <c r="B2" s="1"/>
      <c r="C2" s="1" t="s">
        <v>4</v>
      </c>
      <c r="D2" s="1"/>
      <c r="E2" s="1"/>
      <c r="F2" s="1"/>
      <c r="G2" s="1"/>
      <c r="H2" s="1" t="s">
        <v>7</v>
      </c>
      <c r="I2" s="1"/>
      <c r="J2" s="1"/>
    </row>
    <row r="3" spans="2:10">
      <c r="B3" s="1" t="s">
        <v>6</v>
      </c>
      <c r="C3" s="1" t="s">
        <v>1</v>
      </c>
      <c r="D3" s="1" t="s">
        <v>2</v>
      </c>
      <c r="E3" s="1" t="s">
        <v>3</v>
      </c>
      <c r="F3" s="1"/>
      <c r="G3" s="1" t="s">
        <v>6</v>
      </c>
      <c r="H3" s="1" t="s">
        <v>1</v>
      </c>
      <c r="I3" s="1" t="s">
        <v>2</v>
      </c>
      <c r="J3" s="1" t="s">
        <v>3</v>
      </c>
    </row>
    <row r="4" spans="2:10">
      <c r="B4" s="1">
        <v>0</v>
      </c>
      <c r="C4" s="1">
        <v>12.631</v>
      </c>
      <c r="D4" s="1">
        <v>14.486499999999999</v>
      </c>
      <c r="E4" s="1">
        <v>13.473599999999999</v>
      </c>
      <c r="F4" s="1"/>
      <c r="G4" s="1">
        <v>0</v>
      </c>
      <c r="H4" s="1">
        <v>14.6022</v>
      </c>
      <c r="I4" s="1">
        <v>13.301</v>
      </c>
      <c r="J4" s="1">
        <v>13.9709</v>
      </c>
    </row>
    <row r="5" spans="2:10">
      <c r="B5" s="1">
        <v>0.1</v>
      </c>
      <c r="C5" s="1">
        <v>12.631</v>
      </c>
      <c r="D5" s="1">
        <v>14.486499999999999</v>
      </c>
      <c r="E5" s="1">
        <v>13.473599999999999</v>
      </c>
      <c r="F5" s="1"/>
      <c r="G5" s="1">
        <v>0.1</v>
      </c>
      <c r="H5" s="1">
        <v>14.5436</v>
      </c>
      <c r="I5" s="1">
        <v>13.434699999999999</v>
      </c>
      <c r="J5" s="1">
        <v>14.005599999999999</v>
      </c>
    </row>
    <row r="6" spans="2:10">
      <c r="B6" s="1">
        <v>0.2</v>
      </c>
      <c r="C6" s="1">
        <v>11.9938</v>
      </c>
      <c r="D6" s="1">
        <v>15.0418</v>
      </c>
      <c r="E6" s="1">
        <v>13.3779</v>
      </c>
      <c r="F6" s="1"/>
      <c r="G6" s="1">
        <v>0.2</v>
      </c>
      <c r="H6" s="1">
        <v>13.9937</v>
      </c>
      <c r="I6" s="1">
        <v>14.8865</v>
      </c>
      <c r="J6" s="1">
        <v>14.4148</v>
      </c>
    </row>
    <row r="7" spans="2:10">
      <c r="B7" s="1">
        <v>0.3</v>
      </c>
      <c r="C7" s="1">
        <v>12.228999999999999</v>
      </c>
      <c r="D7" s="1">
        <v>14.069599999999999</v>
      </c>
      <c r="E7" s="1">
        <v>13.0404</v>
      </c>
      <c r="F7" s="1"/>
      <c r="G7" s="1">
        <v>0.3</v>
      </c>
      <c r="H7" s="1">
        <v>15.165800000000001</v>
      </c>
      <c r="I7" s="1">
        <v>15.1629</v>
      </c>
      <c r="J7" s="1">
        <v>15.164400000000001</v>
      </c>
    </row>
    <row r="8" spans="2:10">
      <c r="B8" s="1">
        <v>0.4</v>
      </c>
      <c r="C8" s="1">
        <v>11.759499999999999</v>
      </c>
      <c r="D8" s="1">
        <v>16.4102</v>
      </c>
      <c r="E8" s="1">
        <v>13.726599999999999</v>
      </c>
      <c r="F8" s="1"/>
      <c r="G8" s="1">
        <v>0.4</v>
      </c>
      <c r="H8" s="1">
        <v>13.4078</v>
      </c>
      <c r="I8" s="1">
        <v>16.123200000000001</v>
      </c>
      <c r="J8" s="1">
        <v>14.6229</v>
      </c>
    </row>
    <row r="9" spans="2:10">
      <c r="B9" s="1">
        <v>0.5</v>
      </c>
      <c r="C9" s="1">
        <v>9.2859999999999996</v>
      </c>
      <c r="D9" s="1">
        <v>16.5885</v>
      </c>
      <c r="E9" s="1">
        <v>12.163399999999999</v>
      </c>
      <c r="F9" s="1"/>
      <c r="G9" s="1">
        <v>0.5</v>
      </c>
      <c r="H9" s="1">
        <v>12.105</v>
      </c>
      <c r="I9" s="1">
        <v>16.597300000000001</v>
      </c>
      <c r="J9" s="1">
        <v>13.986599999999999</v>
      </c>
    </row>
    <row r="10" spans="2:10">
      <c r="B10" s="1">
        <v>0.6</v>
      </c>
      <c r="C10" s="1">
        <v>7.2512999999999996</v>
      </c>
      <c r="D10" s="1">
        <v>16.419699999999999</v>
      </c>
      <c r="E10" s="1">
        <v>10.5974</v>
      </c>
      <c r="F10" s="1"/>
      <c r="G10" s="1">
        <v>0.6</v>
      </c>
      <c r="H10" s="1">
        <v>12.041700000000001</v>
      </c>
      <c r="I10" s="1">
        <v>16.670000000000002</v>
      </c>
      <c r="J10" s="1">
        <v>13.9693</v>
      </c>
    </row>
    <row r="11" spans="2:10">
      <c r="B11" s="1">
        <v>0.7</v>
      </c>
      <c r="C11" s="1">
        <v>7.2512999999999996</v>
      </c>
      <c r="D11" s="1">
        <v>16.419699999999999</v>
      </c>
      <c r="E11" s="1">
        <v>10.5974</v>
      </c>
      <c r="F11" s="1"/>
      <c r="G11" s="1">
        <v>0.7</v>
      </c>
      <c r="H11" s="1">
        <v>12.041700000000001</v>
      </c>
      <c r="I11" s="1">
        <v>16.670000000000002</v>
      </c>
      <c r="J11" s="1">
        <v>13.9693</v>
      </c>
    </row>
    <row r="12" spans="2:10">
      <c r="B12" s="1">
        <v>0.8</v>
      </c>
      <c r="C12" s="1">
        <v>7.2512999999999996</v>
      </c>
      <c r="D12" s="1">
        <v>16.419699999999999</v>
      </c>
      <c r="E12" s="1">
        <v>10.5974</v>
      </c>
      <c r="F12" s="1"/>
      <c r="G12" s="1">
        <v>0.8</v>
      </c>
      <c r="H12" s="1">
        <v>12.041700000000001</v>
      </c>
      <c r="I12" s="1">
        <v>16.670000000000002</v>
      </c>
      <c r="J12" s="1">
        <v>13.9693</v>
      </c>
    </row>
    <row r="13" spans="2:10">
      <c r="B13" s="1">
        <v>0.9</v>
      </c>
      <c r="C13" s="1">
        <v>7.2512999999999996</v>
      </c>
      <c r="D13" s="1">
        <v>16.419699999999999</v>
      </c>
      <c r="E13" s="1">
        <v>10.5974</v>
      </c>
      <c r="F13" s="1"/>
      <c r="G13" s="1">
        <v>0.9</v>
      </c>
      <c r="H13" s="1">
        <v>12.041700000000001</v>
      </c>
      <c r="I13" s="1">
        <v>16.670000000000002</v>
      </c>
      <c r="J13" s="1">
        <v>13.9693</v>
      </c>
    </row>
    <row r="14" spans="2:10">
      <c r="B14" s="1">
        <v>1</v>
      </c>
      <c r="C14" s="1">
        <v>7.2512999999999996</v>
      </c>
      <c r="D14" s="1">
        <v>16.419699999999999</v>
      </c>
      <c r="E14" s="1">
        <v>10.5974</v>
      </c>
      <c r="F14" s="1"/>
      <c r="G14" s="1">
        <v>1</v>
      </c>
      <c r="H14" s="1">
        <v>12.041700000000001</v>
      </c>
      <c r="I14" s="1">
        <v>16.670000000000002</v>
      </c>
      <c r="J14" s="1">
        <v>13.9693</v>
      </c>
    </row>
    <row r="15" spans="2:10">
      <c r="B15" s="1"/>
      <c r="C15" s="1"/>
      <c r="D15" s="1"/>
      <c r="E15" s="1"/>
      <c r="F15" s="1"/>
      <c r="G15" s="1"/>
      <c r="H15" s="1"/>
      <c r="I15" s="1"/>
      <c r="J15" s="1"/>
    </row>
    <row r="16" spans="2:10">
      <c r="B16" s="1"/>
      <c r="C16" s="1"/>
      <c r="D16" s="1" t="s">
        <v>13</v>
      </c>
      <c r="E16" s="1"/>
      <c r="F16" s="1"/>
      <c r="G16" s="1"/>
      <c r="H16" s="1"/>
      <c r="I16" s="1" t="s">
        <v>13</v>
      </c>
      <c r="J16" s="1"/>
    </row>
    <row r="17" spans="2:10">
      <c r="B17" s="1"/>
      <c r="C17" s="1"/>
      <c r="D17" s="1"/>
      <c r="E17" s="1"/>
      <c r="F17" s="1"/>
      <c r="G17" s="1"/>
      <c r="H17" s="1"/>
      <c r="I17" s="1"/>
      <c r="J17" s="1"/>
    </row>
    <row r="18" spans="2:10">
      <c r="B18" s="1"/>
      <c r="C18" s="1" t="s">
        <v>9</v>
      </c>
      <c r="D18" s="1"/>
      <c r="E18" s="1"/>
      <c r="F18" s="1"/>
      <c r="G18" s="1"/>
      <c r="H18" s="1" t="s">
        <v>11</v>
      </c>
      <c r="I18" s="1"/>
      <c r="J18" s="1"/>
    </row>
    <row r="19" spans="2:10">
      <c r="B19" s="1" t="s">
        <v>6</v>
      </c>
      <c r="C19" s="1" t="s">
        <v>1</v>
      </c>
      <c r="D19" s="1" t="s">
        <v>2</v>
      </c>
      <c r="E19" s="1" t="s">
        <v>3</v>
      </c>
      <c r="F19" s="1"/>
      <c r="G19" s="1" t="s">
        <v>6</v>
      </c>
      <c r="H19" s="1" t="s">
        <v>1</v>
      </c>
      <c r="I19" s="1" t="s">
        <v>2</v>
      </c>
      <c r="J19" s="1" t="s">
        <v>3</v>
      </c>
    </row>
    <row r="20" spans="2:10">
      <c r="B20" s="1">
        <v>0</v>
      </c>
      <c r="C20" s="1">
        <v>12.631</v>
      </c>
      <c r="D20" s="1">
        <v>14.486499999999999</v>
      </c>
      <c r="E20" s="1">
        <v>13.473599999999999</v>
      </c>
      <c r="F20" s="1"/>
      <c r="G20" s="1">
        <v>0</v>
      </c>
      <c r="H20" s="1">
        <v>14.6021</v>
      </c>
      <c r="I20" s="1">
        <v>13.301</v>
      </c>
      <c r="J20" s="1">
        <v>13.9709</v>
      </c>
    </row>
    <row r="21" spans="2:10">
      <c r="B21" s="1">
        <v>0.1</v>
      </c>
      <c r="C21" s="1">
        <v>12.631</v>
      </c>
      <c r="D21" s="1">
        <v>14.486499999999999</v>
      </c>
      <c r="E21" s="1">
        <v>13.473599999999999</v>
      </c>
      <c r="F21" s="1"/>
      <c r="G21" s="1">
        <v>0.1</v>
      </c>
      <c r="H21" s="1">
        <v>14.6021</v>
      </c>
      <c r="I21" s="1">
        <v>13.301</v>
      </c>
      <c r="J21" s="1">
        <v>13.9709</v>
      </c>
    </row>
    <row r="22" spans="2:10">
      <c r="B22" s="1">
        <v>0.2</v>
      </c>
      <c r="C22" s="1">
        <v>12.631</v>
      </c>
      <c r="D22" s="1">
        <v>14.486499999999999</v>
      </c>
      <c r="E22" s="1">
        <v>13.473599999999999</v>
      </c>
      <c r="F22" s="1"/>
      <c r="G22" s="1">
        <v>0.2</v>
      </c>
      <c r="H22" s="1">
        <v>14.51</v>
      </c>
      <c r="I22" s="1">
        <v>13.353899999999999</v>
      </c>
      <c r="J22" s="1">
        <v>13.9498</v>
      </c>
    </row>
    <row r="23" spans="2:10">
      <c r="B23" s="1">
        <v>0.3</v>
      </c>
      <c r="C23" s="1">
        <v>12.631</v>
      </c>
      <c r="D23" s="1">
        <v>14.486499999999999</v>
      </c>
      <c r="E23" s="1">
        <v>13.473599999999999</v>
      </c>
      <c r="F23" s="1"/>
      <c r="G23" s="1">
        <v>0.3</v>
      </c>
      <c r="H23" s="1">
        <v>15.2058</v>
      </c>
      <c r="I23" s="1">
        <v>14.8733</v>
      </c>
      <c r="J23" s="1">
        <v>15.0465</v>
      </c>
    </row>
    <row r="24" spans="2:10">
      <c r="B24" s="1">
        <v>0.4</v>
      </c>
      <c r="C24" s="1">
        <v>12.631</v>
      </c>
      <c r="D24" s="1">
        <v>14.486499999999999</v>
      </c>
      <c r="E24" s="1">
        <v>13.473599999999999</v>
      </c>
      <c r="F24" s="1"/>
      <c r="G24" s="1">
        <v>0.4</v>
      </c>
      <c r="H24" s="1">
        <v>15.182499999999999</v>
      </c>
      <c r="I24" s="1">
        <v>14.9359</v>
      </c>
      <c r="J24" s="1">
        <v>15.064299999999999</v>
      </c>
    </row>
    <row r="25" spans="2:10">
      <c r="B25" s="1">
        <v>0.5</v>
      </c>
      <c r="C25" s="1">
        <v>12.631</v>
      </c>
      <c r="D25" s="1">
        <v>14.486499999999999</v>
      </c>
      <c r="E25" s="1">
        <v>13.473599999999999</v>
      </c>
      <c r="F25" s="1"/>
      <c r="G25" s="1">
        <v>0.5</v>
      </c>
      <c r="H25" s="1">
        <v>14.3581</v>
      </c>
      <c r="I25" s="1">
        <v>14.9521</v>
      </c>
      <c r="J25" s="1">
        <v>14.639699999999999</v>
      </c>
    </row>
    <row r="26" spans="2:10">
      <c r="B26" s="1">
        <v>0.6</v>
      </c>
      <c r="C26" s="1">
        <v>12.5146</v>
      </c>
      <c r="D26" s="1">
        <v>15.2796</v>
      </c>
      <c r="E26" s="1">
        <v>13.7531</v>
      </c>
      <c r="F26" s="1"/>
      <c r="G26" s="1">
        <v>0.6</v>
      </c>
      <c r="H26" s="1">
        <v>14.457800000000001</v>
      </c>
      <c r="I26" s="1">
        <v>15.8551</v>
      </c>
      <c r="J26" s="1">
        <v>15.104900000000001</v>
      </c>
    </row>
    <row r="27" spans="2:10">
      <c r="B27" s="1">
        <v>0.7</v>
      </c>
      <c r="C27" s="1">
        <v>11.7463</v>
      </c>
      <c r="D27" s="1">
        <v>15.782500000000001</v>
      </c>
      <c r="E27" s="1">
        <v>13.502700000000001</v>
      </c>
      <c r="F27" s="1"/>
      <c r="G27" s="1">
        <v>0.7</v>
      </c>
      <c r="H27" s="1">
        <v>13.273899999999999</v>
      </c>
      <c r="I27" s="1">
        <v>16.271699999999999</v>
      </c>
      <c r="J27" s="1">
        <v>14.5907</v>
      </c>
    </row>
    <row r="28" spans="2:10">
      <c r="B28" s="1">
        <v>0.8</v>
      </c>
      <c r="C28" s="1">
        <v>11.759499999999999</v>
      </c>
      <c r="D28" s="1">
        <v>16.4102</v>
      </c>
      <c r="E28" s="1">
        <v>13.726599999999999</v>
      </c>
      <c r="F28" s="1"/>
      <c r="G28" s="1">
        <v>0.8</v>
      </c>
      <c r="H28" s="1">
        <v>12.7865</v>
      </c>
      <c r="I28" s="1">
        <v>16.561</v>
      </c>
      <c r="J28" s="1">
        <v>14.424799999999999</v>
      </c>
    </row>
    <row r="29" spans="2:10">
      <c r="B29" s="1">
        <v>0.9</v>
      </c>
      <c r="C29" s="1">
        <v>7.2512999999999996</v>
      </c>
      <c r="D29" s="1">
        <v>16.419699999999999</v>
      </c>
      <c r="E29" s="1">
        <v>10.5974</v>
      </c>
      <c r="F29" s="1"/>
      <c r="G29" s="1">
        <v>0.9</v>
      </c>
      <c r="H29" s="1">
        <v>12.041700000000001</v>
      </c>
      <c r="I29" s="1">
        <v>16.670000000000002</v>
      </c>
      <c r="J29" s="1">
        <v>13.9693</v>
      </c>
    </row>
    <row r="30" spans="2:10">
      <c r="B30" s="1">
        <v>1</v>
      </c>
      <c r="C30" s="1">
        <v>7.2512999999999996</v>
      </c>
      <c r="D30" s="1">
        <v>16.419699999999999</v>
      </c>
      <c r="E30" s="1">
        <v>10.5974</v>
      </c>
      <c r="F30" s="1"/>
      <c r="G30" s="1">
        <v>1</v>
      </c>
      <c r="H30" s="1">
        <v>12.041700000000001</v>
      </c>
      <c r="I30" s="1">
        <v>16.670000000000002</v>
      </c>
      <c r="J30" s="1">
        <v>13.9693</v>
      </c>
    </row>
    <row r="32" spans="2:10">
      <c r="D32" t="s">
        <v>16</v>
      </c>
      <c r="I32" t="s">
        <v>14</v>
      </c>
    </row>
    <row r="34" spans="7:11">
      <c r="G34" s="1"/>
      <c r="H34" s="1" t="s">
        <v>12</v>
      </c>
      <c r="I34" s="1"/>
      <c r="J34" s="1"/>
      <c r="K34" t="s">
        <v>27</v>
      </c>
    </row>
    <row r="35" spans="7:11">
      <c r="G35" s="1" t="s">
        <v>6</v>
      </c>
      <c r="H35" s="1" t="s">
        <v>1</v>
      </c>
      <c r="I35" s="1" t="s">
        <v>2</v>
      </c>
      <c r="J35" s="1" t="s">
        <v>3</v>
      </c>
    </row>
    <row r="36" spans="7:11">
      <c r="G36" s="1">
        <v>0</v>
      </c>
    </row>
    <row r="37" spans="7:11">
      <c r="G37" s="1">
        <v>0.1</v>
      </c>
    </row>
    <row r="38" spans="7:11">
      <c r="G38" s="1">
        <v>0.2</v>
      </c>
    </row>
    <row r="39" spans="7:11">
      <c r="G39" s="1">
        <v>0.3</v>
      </c>
    </row>
    <row r="40" spans="7:11">
      <c r="G40" s="1">
        <v>0.4</v>
      </c>
    </row>
    <row r="41" spans="7:11">
      <c r="G41" s="1">
        <v>0.5</v>
      </c>
    </row>
    <row r="42" spans="7:11">
      <c r="G42" s="1">
        <v>0.6</v>
      </c>
    </row>
    <row r="43" spans="7:11">
      <c r="G43" s="1">
        <v>0.7</v>
      </c>
    </row>
    <row r="44" spans="7:11">
      <c r="G44" s="1">
        <v>0.8</v>
      </c>
    </row>
    <row r="45" spans="7:11">
      <c r="G45" s="1">
        <v>0.9</v>
      </c>
    </row>
    <row r="46" spans="7:11">
      <c r="G46" s="1">
        <v>1</v>
      </c>
    </row>
  </sheetData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5F150-427B-A84C-852E-0510882D2AF0}">
  <dimension ref="B2:K46"/>
  <sheetViews>
    <sheetView topLeftCell="A17" workbookViewId="0">
      <selection activeCell="L38" sqref="L38"/>
    </sheetView>
  </sheetViews>
  <sheetFormatPr baseColWidth="10" defaultRowHeight="20"/>
  <sheetData>
    <row r="2" spans="2:10">
      <c r="B2" s="1"/>
      <c r="C2" s="1" t="s">
        <v>4</v>
      </c>
      <c r="D2" s="1"/>
      <c r="E2" s="1"/>
      <c r="F2" s="1"/>
      <c r="G2" s="1"/>
      <c r="H2" s="1" t="s">
        <v>7</v>
      </c>
      <c r="I2" s="1"/>
      <c r="J2" s="1"/>
    </row>
    <row r="3" spans="2:10">
      <c r="B3" s="1" t="s">
        <v>6</v>
      </c>
      <c r="C3" s="1" t="s">
        <v>1</v>
      </c>
      <c r="D3" s="1" t="s">
        <v>2</v>
      </c>
      <c r="E3" s="1" t="s">
        <v>3</v>
      </c>
      <c r="F3" s="1"/>
      <c r="G3" s="1" t="s">
        <v>6</v>
      </c>
      <c r="H3" s="1" t="s">
        <v>1</v>
      </c>
      <c r="I3" s="1" t="s">
        <v>2</v>
      </c>
      <c r="J3" s="1" t="s">
        <v>3</v>
      </c>
    </row>
    <row r="4" spans="2:10">
      <c r="B4" s="1">
        <v>0</v>
      </c>
      <c r="C4" s="1">
        <v>12.446899999999999</v>
      </c>
      <c r="D4" s="1">
        <v>10.164999999999999</v>
      </c>
      <c r="E4" s="1">
        <v>11.3171</v>
      </c>
      <c r="F4" s="1"/>
      <c r="G4" s="1">
        <v>0</v>
      </c>
      <c r="H4" s="1">
        <v>11.9406</v>
      </c>
      <c r="I4" s="1">
        <v>11.9671</v>
      </c>
      <c r="J4" s="1">
        <v>11.953099999999999</v>
      </c>
    </row>
    <row r="5" spans="2:10">
      <c r="B5" s="1">
        <v>0.1</v>
      </c>
      <c r="C5" s="1">
        <v>12.0421</v>
      </c>
      <c r="D5" s="1">
        <v>10.6447</v>
      </c>
      <c r="E5" s="1">
        <v>11.350199999999999</v>
      </c>
      <c r="F5" s="1"/>
      <c r="G5" s="1">
        <v>0.1</v>
      </c>
      <c r="H5" s="1">
        <v>13.3506</v>
      </c>
      <c r="I5" s="1">
        <v>13.318300000000001</v>
      </c>
      <c r="J5" s="1">
        <v>13.3355</v>
      </c>
    </row>
    <row r="6" spans="2:10">
      <c r="B6" s="1">
        <v>0.2</v>
      </c>
      <c r="C6" s="1">
        <v>9.0967000000000002</v>
      </c>
      <c r="D6" s="1">
        <v>16.232500000000002</v>
      </c>
      <c r="E6" s="1">
        <v>11.9756</v>
      </c>
      <c r="F6" s="1"/>
      <c r="G6" s="1">
        <v>0.2</v>
      </c>
      <c r="H6" s="1">
        <v>12.27</v>
      </c>
      <c r="I6" s="1">
        <v>16.197299999999998</v>
      </c>
      <c r="J6" s="1">
        <v>13.9688</v>
      </c>
    </row>
    <row r="7" spans="2:10">
      <c r="B7" s="1">
        <v>0.3</v>
      </c>
      <c r="C7" s="1">
        <v>9.0967000000000002</v>
      </c>
      <c r="D7" s="1">
        <v>16.232500000000002</v>
      </c>
      <c r="E7" s="1">
        <v>11.9756</v>
      </c>
      <c r="F7" s="1"/>
      <c r="G7" s="1">
        <v>0.3</v>
      </c>
      <c r="H7" s="1">
        <v>12.358599999999999</v>
      </c>
      <c r="I7" s="1">
        <v>16.388100000000001</v>
      </c>
      <c r="J7" s="1">
        <v>14.0962</v>
      </c>
    </row>
    <row r="8" spans="2:10">
      <c r="B8" s="1">
        <v>0.4</v>
      </c>
      <c r="C8" s="1">
        <v>7.391</v>
      </c>
      <c r="D8" s="1">
        <v>16.670000000000002</v>
      </c>
      <c r="E8" s="1">
        <v>10.881</v>
      </c>
      <c r="F8" s="1"/>
      <c r="G8" s="1">
        <v>0.4</v>
      </c>
      <c r="H8" s="1">
        <v>11.351900000000001</v>
      </c>
      <c r="I8" s="1">
        <v>16.288</v>
      </c>
      <c r="J8" s="1">
        <v>13.411899999999999</v>
      </c>
    </row>
    <row r="9" spans="2:10">
      <c r="B9" s="1">
        <v>0.5</v>
      </c>
      <c r="C9" s="1">
        <v>7.391</v>
      </c>
      <c r="D9" s="1">
        <v>16.670000000000002</v>
      </c>
      <c r="E9" s="1">
        <v>10.881</v>
      </c>
      <c r="F9" s="1"/>
      <c r="G9" s="1">
        <v>0.5</v>
      </c>
      <c r="H9" s="1">
        <v>10.3764</v>
      </c>
      <c r="I9" s="1">
        <v>16.474599999999999</v>
      </c>
      <c r="J9" s="1">
        <v>12.8209</v>
      </c>
    </row>
    <row r="10" spans="2:10">
      <c r="B10" s="1">
        <v>0.6</v>
      </c>
      <c r="C10" s="1">
        <v>7.391</v>
      </c>
      <c r="D10" s="1">
        <v>16.670000000000002</v>
      </c>
      <c r="E10" s="1">
        <v>10.881</v>
      </c>
      <c r="F10" s="1"/>
      <c r="G10" s="1">
        <v>0.6</v>
      </c>
      <c r="H10" s="1">
        <v>10.1479</v>
      </c>
      <c r="I10" s="1">
        <v>16.6279</v>
      </c>
      <c r="J10" s="1">
        <v>12.7455</v>
      </c>
    </row>
    <row r="11" spans="2:10">
      <c r="B11" s="1">
        <v>0.7</v>
      </c>
      <c r="C11" s="1">
        <v>7.391</v>
      </c>
      <c r="D11" s="1">
        <v>16.670000000000002</v>
      </c>
      <c r="E11" s="1">
        <v>10.881</v>
      </c>
      <c r="F11" s="1"/>
      <c r="G11" s="1">
        <v>0.7</v>
      </c>
      <c r="H11" s="1">
        <v>10.1493</v>
      </c>
      <c r="I11" s="1">
        <v>16.6248</v>
      </c>
      <c r="J11" s="1">
        <v>12.7464</v>
      </c>
    </row>
    <row r="12" spans="2:10">
      <c r="B12" s="1">
        <v>0.8</v>
      </c>
      <c r="C12" s="1">
        <v>7.391</v>
      </c>
      <c r="D12" s="1">
        <v>16.670000000000002</v>
      </c>
      <c r="E12" s="1">
        <v>10.881</v>
      </c>
      <c r="F12" s="1"/>
      <c r="G12" s="1">
        <v>0.8</v>
      </c>
      <c r="H12" s="1">
        <v>10.134</v>
      </c>
      <c r="I12" s="1">
        <v>16.670000000000002</v>
      </c>
      <c r="J12" s="1">
        <v>12.755699999999999</v>
      </c>
    </row>
    <row r="13" spans="2:10">
      <c r="B13" s="1">
        <v>0.9</v>
      </c>
      <c r="C13" s="1">
        <v>7.391</v>
      </c>
      <c r="D13" s="1">
        <v>16.670000000000002</v>
      </c>
      <c r="E13" s="1">
        <v>10.881</v>
      </c>
      <c r="F13" s="1"/>
      <c r="G13" s="1">
        <v>0.9</v>
      </c>
      <c r="H13" s="1">
        <v>10.134</v>
      </c>
      <c r="I13" s="1">
        <v>16.670000000000002</v>
      </c>
      <c r="J13" s="1">
        <v>12.755699999999999</v>
      </c>
    </row>
    <row r="14" spans="2:10">
      <c r="B14" s="1">
        <v>1</v>
      </c>
      <c r="C14" s="1">
        <v>7.391</v>
      </c>
      <c r="D14" s="1">
        <v>16.670000000000002</v>
      </c>
      <c r="E14" s="1">
        <v>10.881</v>
      </c>
      <c r="F14" s="1"/>
      <c r="G14" s="1">
        <v>1</v>
      </c>
      <c r="H14" s="1">
        <v>10.134</v>
      </c>
      <c r="I14" s="1">
        <v>16.670000000000002</v>
      </c>
      <c r="J14" s="1">
        <v>12.755699999999999</v>
      </c>
    </row>
    <row r="15" spans="2:10">
      <c r="B15" s="1"/>
      <c r="C15" s="1"/>
      <c r="D15" s="1"/>
      <c r="E15" s="1"/>
      <c r="F15" s="1"/>
      <c r="G15" s="1"/>
      <c r="H15" s="1"/>
      <c r="I15" s="1"/>
      <c r="J15" s="1"/>
    </row>
    <row r="16" spans="2:10">
      <c r="B16" s="1"/>
      <c r="C16" s="1"/>
      <c r="D16" s="1" t="s">
        <v>13</v>
      </c>
      <c r="E16" s="1"/>
      <c r="F16" s="1"/>
      <c r="G16" s="1"/>
      <c r="H16" s="1"/>
      <c r="I16" s="1" t="s">
        <v>13</v>
      </c>
      <c r="J16" s="1"/>
    </row>
    <row r="17" spans="2:10">
      <c r="B17" s="1"/>
      <c r="C17" s="1"/>
      <c r="D17" s="1"/>
      <c r="E17" s="1"/>
      <c r="F17" s="1"/>
      <c r="G17" s="1"/>
      <c r="H17" s="1"/>
      <c r="I17" s="1"/>
      <c r="J17" s="1"/>
    </row>
    <row r="18" spans="2:10">
      <c r="B18" s="1"/>
      <c r="C18" s="1" t="s">
        <v>9</v>
      </c>
      <c r="D18" s="1"/>
      <c r="E18" s="1"/>
      <c r="F18" s="1"/>
      <c r="G18" s="1"/>
      <c r="H18" s="1" t="s">
        <v>11</v>
      </c>
      <c r="I18" s="1"/>
      <c r="J18" s="1"/>
    </row>
    <row r="19" spans="2:10">
      <c r="B19" s="1" t="s">
        <v>6</v>
      </c>
      <c r="C19" s="1" t="s">
        <v>1</v>
      </c>
      <c r="D19" s="1" t="s">
        <v>2</v>
      </c>
      <c r="E19" s="1" t="s">
        <v>3</v>
      </c>
      <c r="F19" s="1"/>
      <c r="G19" s="1" t="s">
        <v>6</v>
      </c>
      <c r="H19" s="1" t="s">
        <v>1</v>
      </c>
      <c r="I19" s="1" t="s">
        <v>2</v>
      </c>
      <c r="J19" s="1" t="s">
        <v>3</v>
      </c>
    </row>
    <row r="20" spans="2:10">
      <c r="B20" s="1">
        <v>0</v>
      </c>
      <c r="C20" s="1">
        <v>12.446899999999999</v>
      </c>
      <c r="D20" s="1">
        <v>10.164999999999999</v>
      </c>
      <c r="E20" s="1">
        <v>11.3171</v>
      </c>
      <c r="F20" s="1"/>
      <c r="G20" s="1">
        <v>0</v>
      </c>
      <c r="H20" s="1">
        <v>11.9406</v>
      </c>
      <c r="I20" s="1">
        <v>11.9671</v>
      </c>
      <c r="J20" s="1">
        <v>11.953099999999999</v>
      </c>
    </row>
    <row r="21" spans="2:10">
      <c r="B21" s="1">
        <v>0.1</v>
      </c>
      <c r="C21" s="1">
        <v>12.446899999999999</v>
      </c>
      <c r="D21" s="1">
        <v>10.164999999999999</v>
      </c>
      <c r="E21" s="1">
        <v>11.3171</v>
      </c>
      <c r="F21" s="1"/>
      <c r="G21" s="1">
        <v>0.1</v>
      </c>
      <c r="H21" s="1">
        <v>11.9406</v>
      </c>
      <c r="I21" s="1">
        <v>11.9671</v>
      </c>
      <c r="J21" s="1">
        <v>11.953099999999999</v>
      </c>
    </row>
    <row r="22" spans="2:10">
      <c r="B22" s="1">
        <v>0.2</v>
      </c>
      <c r="C22" s="1">
        <v>12.446899999999999</v>
      </c>
      <c r="D22" s="1">
        <v>10.164999999999999</v>
      </c>
      <c r="E22" s="1">
        <v>11.3171</v>
      </c>
      <c r="F22" s="1"/>
      <c r="G22" s="1">
        <v>0.2</v>
      </c>
      <c r="H22" s="1">
        <v>11.9406</v>
      </c>
      <c r="I22" s="1">
        <v>11.9671</v>
      </c>
      <c r="J22" s="1">
        <v>11.953099999999999</v>
      </c>
    </row>
    <row r="23" spans="2:10">
      <c r="B23" s="2">
        <v>0.3</v>
      </c>
      <c r="C23" s="1">
        <v>12.446899999999999</v>
      </c>
      <c r="D23" s="1">
        <v>10.164999999999999</v>
      </c>
      <c r="E23" s="1">
        <v>11.3171</v>
      </c>
      <c r="F23" s="1"/>
      <c r="G23" s="1">
        <v>0.3</v>
      </c>
      <c r="H23" s="1">
        <v>11.9406</v>
      </c>
      <c r="I23" s="1">
        <v>11.9671</v>
      </c>
      <c r="J23" s="1">
        <v>11.953099999999999</v>
      </c>
    </row>
    <row r="24" spans="2:10">
      <c r="B24" s="1">
        <v>0.4</v>
      </c>
      <c r="C24" s="1">
        <v>12.0642</v>
      </c>
      <c r="D24" s="1">
        <v>11.158200000000001</v>
      </c>
      <c r="E24" s="1">
        <v>11.6159</v>
      </c>
      <c r="F24" s="1"/>
      <c r="G24" s="1">
        <v>0.4</v>
      </c>
      <c r="H24" s="1">
        <v>12.065899999999999</v>
      </c>
      <c r="I24" s="1">
        <v>12.6706</v>
      </c>
      <c r="J24" s="1">
        <v>12.3475</v>
      </c>
    </row>
    <row r="25" spans="2:10">
      <c r="B25" s="1">
        <v>0.5</v>
      </c>
      <c r="C25" s="1">
        <v>11.070499999999999</v>
      </c>
      <c r="D25" s="1">
        <v>12.4636</v>
      </c>
      <c r="E25" s="1">
        <v>11.747</v>
      </c>
      <c r="F25" s="1"/>
      <c r="G25" s="1">
        <v>0.5</v>
      </c>
      <c r="H25" s="1">
        <v>12.960800000000001</v>
      </c>
      <c r="I25" s="1">
        <v>14.2486</v>
      </c>
      <c r="J25" s="1">
        <v>13.562099999999999</v>
      </c>
    </row>
    <row r="26" spans="2:10">
      <c r="B26" s="1">
        <v>0.6</v>
      </c>
      <c r="C26" s="1">
        <v>9.9262999999999995</v>
      </c>
      <c r="D26" s="1">
        <v>15.038399999999999</v>
      </c>
      <c r="E26" s="1">
        <v>12.053699999999999</v>
      </c>
      <c r="F26" s="1"/>
      <c r="G26" s="1">
        <v>0.6</v>
      </c>
      <c r="H26" s="1">
        <v>11.566000000000001</v>
      </c>
      <c r="I26" s="1">
        <v>13.532299999999999</v>
      </c>
      <c r="J26" s="1">
        <v>12.465999999999999</v>
      </c>
    </row>
    <row r="27" spans="2:10">
      <c r="B27" s="1">
        <v>0.7</v>
      </c>
      <c r="C27" s="1">
        <v>9.5277999999999992</v>
      </c>
      <c r="D27" s="1">
        <v>15.510999999999999</v>
      </c>
      <c r="E27" s="1">
        <v>11.986800000000001</v>
      </c>
      <c r="F27" s="1"/>
      <c r="G27" s="1">
        <v>0.7</v>
      </c>
      <c r="H27" s="1">
        <v>12.3569</v>
      </c>
      <c r="I27" s="1">
        <v>16.376200000000001</v>
      </c>
      <c r="J27" s="1">
        <v>14.0906</v>
      </c>
    </row>
    <row r="28" spans="2:10">
      <c r="B28" s="1">
        <v>0.8</v>
      </c>
      <c r="C28" s="1">
        <v>8.9174000000000007</v>
      </c>
      <c r="D28" s="1">
        <v>15.6244</v>
      </c>
      <c r="E28" s="1">
        <v>11.6568</v>
      </c>
      <c r="F28" s="1"/>
      <c r="G28" s="1">
        <v>0.8</v>
      </c>
      <c r="H28" s="1">
        <v>10.1492</v>
      </c>
      <c r="I28" s="1">
        <v>16.6248</v>
      </c>
      <c r="J28" s="1">
        <v>12.7464</v>
      </c>
    </row>
    <row r="29" spans="2:10">
      <c r="B29" s="1">
        <v>0.9</v>
      </c>
      <c r="C29" s="1">
        <v>7.391</v>
      </c>
      <c r="D29" s="1">
        <v>16.670000000000002</v>
      </c>
      <c r="E29" s="1">
        <v>10.881</v>
      </c>
      <c r="F29" s="1"/>
      <c r="G29" s="1">
        <v>0.9</v>
      </c>
      <c r="H29" s="1">
        <v>10.1371</v>
      </c>
      <c r="I29" s="1">
        <v>16.669499999999999</v>
      </c>
      <c r="J29" s="1">
        <v>12.757</v>
      </c>
    </row>
    <row r="30" spans="2:10">
      <c r="B30" s="1">
        <v>1</v>
      </c>
      <c r="C30" s="1">
        <v>7.391</v>
      </c>
      <c r="D30" s="1">
        <v>16.670000000000002</v>
      </c>
      <c r="E30" s="1">
        <v>10.881</v>
      </c>
      <c r="F30" s="1"/>
      <c r="G30" s="1">
        <v>1</v>
      </c>
      <c r="H30" s="1">
        <v>10.134</v>
      </c>
      <c r="I30" s="1">
        <v>16.670000000000002</v>
      </c>
      <c r="J30" s="1">
        <v>12.755699999999999</v>
      </c>
    </row>
    <row r="32" spans="2:10">
      <c r="D32" t="s">
        <v>16</v>
      </c>
      <c r="I32" t="s">
        <v>14</v>
      </c>
    </row>
    <row r="34" spans="7:11">
      <c r="G34" s="1"/>
      <c r="H34" s="1" t="s">
        <v>12</v>
      </c>
      <c r="I34" s="1"/>
      <c r="J34" s="1"/>
      <c r="K34" t="s">
        <v>27</v>
      </c>
    </row>
    <row r="35" spans="7:11">
      <c r="G35" s="1" t="s">
        <v>6</v>
      </c>
      <c r="H35" s="1" t="s">
        <v>1</v>
      </c>
      <c r="I35" s="1" t="s">
        <v>2</v>
      </c>
      <c r="J35" s="1" t="s">
        <v>3</v>
      </c>
    </row>
    <row r="36" spans="7:11">
      <c r="G36" s="1">
        <v>0</v>
      </c>
    </row>
    <row r="37" spans="7:11">
      <c r="G37" s="1">
        <v>0.1</v>
      </c>
    </row>
    <row r="38" spans="7:11">
      <c r="G38" s="1">
        <v>0.2</v>
      </c>
    </row>
    <row r="39" spans="7:11">
      <c r="G39" s="1">
        <v>0.3</v>
      </c>
    </row>
    <row r="40" spans="7:11">
      <c r="G40" s="1">
        <v>0.4</v>
      </c>
    </row>
    <row r="41" spans="7:11">
      <c r="G41" s="1">
        <v>0.5</v>
      </c>
    </row>
    <row r="42" spans="7:11">
      <c r="G42" s="1">
        <v>0.6</v>
      </c>
    </row>
    <row r="43" spans="7:11">
      <c r="G43" s="1">
        <v>0.7</v>
      </c>
    </row>
    <row r="44" spans="7:11">
      <c r="G44" s="1">
        <v>0.8</v>
      </c>
    </row>
    <row r="45" spans="7:11">
      <c r="G45" s="1">
        <v>0.9</v>
      </c>
    </row>
    <row r="46" spans="7:11">
      <c r="G46" s="1">
        <v>1</v>
      </c>
    </row>
  </sheetData>
  <phoneticPr fontId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0B663-8FCC-C54F-8833-7933DA7DB8F3}">
  <dimension ref="B2:P46"/>
  <sheetViews>
    <sheetView topLeftCell="J1" zoomScale="125" workbookViewId="0">
      <selection activeCell="G34" sqref="G34:K46"/>
    </sheetView>
  </sheetViews>
  <sheetFormatPr baseColWidth="10" defaultRowHeight="20"/>
  <sheetData>
    <row r="2" spans="2:16">
      <c r="B2" s="1"/>
      <c r="C2" s="1" t="s">
        <v>4</v>
      </c>
      <c r="D2" s="1"/>
      <c r="E2" s="1"/>
      <c r="F2" s="1"/>
      <c r="G2" s="1"/>
      <c r="H2" s="1" t="s">
        <v>7</v>
      </c>
      <c r="I2" s="1"/>
      <c r="J2" s="1"/>
      <c r="O2" t="s">
        <v>23</v>
      </c>
    </row>
    <row r="3" spans="2:16">
      <c r="B3" s="1" t="s">
        <v>6</v>
      </c>
      <c r="C3" s="1" t="s">
        <v>1</v>
      </c>
      <c r="D3" s="1" t="s">
        <v>2</v>
      </c>
      <c r="E3" s="1" t="s">
        <v>3</v>
      </c>
      <c r="F3" s="1"/>
      <c r="G3" s="1" t="s">
        <v>6</v>
      </c>
      <c r="H3" s="1" t="s">
        <v>1</v>
      </c>
      <c r="I3" s="1" t="s">
        <v>2</v>
      </c>
      <c r="J3" s="1" t="s">
        <v>3</v>
      </c>
      <c r="N3" s="1" t="s">
        <v>0</v>
      </c>
      <c r="O3" s="1" t="s">
        <v>21</v>
      </c>
      <c r="P3" s="1" t="s">
        <v>22</v>
      </c>
    </row>
    <row r="4" spans="2:16">
      <c r="B4" s="1">
        <v>0</v>
      </c>
      <c r="C4" s="1">
        <f>ROUND(AVERAGE(seed1!C4,seed2!C4,seed3!C4,seed4!C4,seed5!C4,seed7!C4,seed8!C4,seed9!C4,seed10!C4),4)</f>
        <v>12.9504</v>
      </c>
      <c r="D4" s="1">
        <f>ROUND(AVERAGE(seed1!D4,seed2!D4,seed3!D4,seed4!D4,seed5!D4,seed7!D4,seed8!D4,seed9!D4,seed10!D4),4)</f>
        <v>13.307</v>
      </c>
      <c r="E4" s="1">
        <f>ROUND(AVERAGE(seed1!E4,seed2!E4,seed3!E4,seed4!E4,seed5!E4,seed7!E4,seed8!E4,seed9!E4,seed10!E4),4)</f>
        <v>13.075100000000001</v>
      </c>
      <c r="F4" s="1"/>
      <c r="G4" s="1">
        <v>0</v>
      </c>
      <c r="H4" s="1">
        <f>ROUND(AVERAGE(seed1!H4,seed2!H4,seed3!H4,seed4!H4,seed5!H4,seed7!H4,seed8!H4,seed9!H4,seed10!H4),4)</f>
        <v>14.8078</v>
      </c>
      <c r="I4" s="1">
        <f>ROUND(AVERAGE(seed1!I4,seed2!I4,seed3!I4,seed4!I4,seed5!I4,seed7!I4,seed8!I4,seed9!I4,seed10!I4),4)</f>
        <v>13.871</v>
      </c>
      <c r="J4" s="1">
        <f>ROUND(AVERAGE(seed1!J4,seed2!J4,seed3!J4,seed4!J4,seed5!J4,seed7!J4,seed8!J4,seed9!J4,seed10!J4),4)</f>
        <v>14.348699999999999</v>
      </c>
      <c r="N4">
        <v>0</v>
      </c>
      <c r="O4">
        <f>J20</f>
        <v>14.348599999999999</v>
      </c>
      <c r="P4">
        <f>J4</f>
        <v>14.348699999999999</v>
      </c>
    </row>
    <row r="5" spans="2:16">
      <c r="B5" s="1">
        <v>0.1</v>
      </c>
      <c r="C5" s="1">
        <f>ROUND(AVERAGE(seed1!C5,seed2!C5,seed3!C5,seed4!C5,seed5!C5,seed7!C5,seed8!C5,seed9!C5,seed10!C5),4)</f>
        <v>12.780200000000001</v>
      </c>
      <c r="D5" s="1">
        <f>ROUND(AVERAGE(seed1!D5,seed2!D5,seed3!D5,seed4!D5,seed5!D5,seed7!D5,seed8!D5,seed9!D5,seed10!D5),4)</f>
        <v>13.591799999999999</v>
      </c>
      <c r="E5" s="1">
        <f>ROUND(AVERAGE(seed1!E5,seed2!E5,seed3!E5,seed4!E5,seed5!E5,seed7!E5,seed8!E5,seed9!E5,seed10!E5),4)</f>
        <v>13.129899999999999</v>
      </c>
      <c r="F5" s="1"/>
      <c r="G5" s="1">
        <v>0.1</v>
      </c>
      <c r="H5" s="1">
        <f>ROUND(AVERAGE(seed1!H5,seed2!H5,seed3!H5,seed4!H5,seed5!H5,seed7!H5,seed8!H5,seed9!H5,seed10!H5),4)</f>
        <v>14.7796</v>
      </c>
      <c r="I5" s="1">
        <f>ROUND(AVERAGE(seed1!I5,seed2!I5,seed3!I5,seed4!I5,seed5!I5,seed7!I5,seed8!I5,seed9!I5,seed10!I5),4)</f>
        <v>14.388</v>
      </c>
      <c r="J5" s="1">
        <f>ROUND(AVERAGE(seed1!J5,seed2!J5,seed3!J5,seed4!J5,seed5!J5,seed7!J5,seed8!J5,seed9!J5,seed10!J5),4)</f>
        <v>14.5893</v>
      </c>
      <c r="N5">
        <v>0.1</v>
      </c>
      <c r="O5">
        <f t="shared" ref="O5:O14" si="0">J21</f>
        <v>14.348599999999999</v>
      </c>
      <c r="P5">
        <f t="shared" ref="P5:P14" si="1">J5</f>
        <v>14.5893</v>
      </c>
    </row>
    <row r="6" spans="2:16">
      <c r="B6" s="1">
        <v>0.2</v>
      </c>
      <c r="C6" s="1">
        <f>ROUND(AVERAGE(seed1!C6,seed2!C6,seed3!C6,seed4!C6,seed5!C6,seed7!C6,seed8!C6,seed9!C6,seed10!C6),4)</f>
        <v>11.8863</v>
      </c>
      <c r="D6" s="1">
        <f>ROUND(AVERAGE(seed1!D6,seed2!D6,seed3!D6,seed4!D6,seed5!D6,seed7!D6,seed8!D6,seed9!D6,seed10!D6),4)</f>
        <v>15.2959</v>
      </c>
      <c r="E6" s="1">
        <f>ROUND(AVERAGE(seed1!E6,seed2!E6,seed3!E6,seed4!E6,seed5!E6,seed7!E6,seed8!E6,seed9!E6,seed10!E6),4)</f>
        <v>13.404999999999999</v>
      </c>
      <c r="F6" s="1"/>
      <c r="G6" s="1">
        <v>0.2</v>
      </c>
      <c r="H6" s="1">
        <f>ROUND(AVERAGE(seed1!H6,seed2!H6,seed3!H6,seed4!H6,seed5!H6,seed7!H6,seed8!H6,seed9!H6,seed10!H6),4)</f>
        <v>14.3621</v>
      </c>
      <c r="I6" s="1">
        <f>ROUND(AVERAGE(seed1!I6,seed2!I6,seed3!I6,seed4!I6,seed5!I6,seed7!I6,seed8!I6,seed9!I6,seed10!I6),4)</f>
        <v>15.6972</v>
      </c>
      <c r="J6" s="1">
        <f>ROUND(AVERAGE(seed1!J6,seed2!J6,seed3!J6,seed4!J6,seed5!J6,seed7!J6,seed8!J6,seed9!J6,seed10!J6),4)</f>
        <v>14.977</v>
      </c>
      <c r="N6">
        <v>0.2</v>
      </c>
      <c r="O6">
        <f t="shared" si="0"/>
        <v>14.390499999999999</v>
      </c>
      <c r="P6">
        <f t="shared" si="1"/>
        <v>14.977</v>
      </c>
    </row>
    <row r="7" spans="2:16">
      <c r="B7" s="1">
        <v>0.3</v>
      </c>
      <c r="C7" s="1">
        <f>ROUND(AVERAGE(seed1!C7,seed2!C7,seed3!C7,seed4!C7,seed5!C7,seed7!C7,seed8!C7,seed9!C7,seed10!C7),4)</f>
        <v>11.138299999999999</v>
      </c>
      <c r="D7" s="1">
        <f>ROUND(AVERAGE(seed1!D7,seed2!D7,seed3!D7,seed4!D7,seed5!D7,seed7!D7,seed8!D7,seed9!D7,seed10!D7),4)</f>
        <v>15.881500000000001</v>
      </c>
      <c r="E7" s="1">
        <f>ROUND(AVERAGE(seed1!E7,seed2!E7,seed3!E7,seed4!E7,seed5!E7,seed7!E7,seed8!E7,seed9!E7,seed10!E7),4)</f>
        <v>13.2128</v>
      </c>
      <c r="F7" s="1"/>
      <c r="G7" s="1">
        <v>0.3</v>
      </c>
      <c r="H7" s="1">
        <f>ROUND(AVERAGE(seed1!H7,seed2!H7,seed3!H7,seed4!H7,seed5!H7,seed7!H7,seed8!H7,seed9!H7,seed10!H7),4)</f>
        <v>14.354900000000001</v>
      </c>
      <c r="I7" s="1">
        <f>ROUND(AVERAGE(seed1!I7,seed2!I7,seed3!I7,seed4!I7,seed5!I7,seed7!I7,seed8!I7,seed9!I7,seed10!I7),4)</f>
        <v>15.9802</v>
      </c>
      <c r="J7" s="1">
        <f>ROUND(AVERAGE(seed1!J7,seed2!J7,seed3!J7,seed4!J7,seed5!J7,seed7!J7,seed8!J7,seed9!J7,seed10!J7),4)</f>
        <v>15.1038</v>
      </c>
      <c r="N7">
        <v>0.3</v>
      </c>
      <c r="O7">
        <f t="shared" si="0"/>
        <v>14.456099999999999</v>
      </c>
      <c r="P7">
        <f t="shared" si="1"/>
        <v>15.1038</v>
      </c>
    </row>
    <row r="8" spans="2:16">
      <c r="B8" s="1">
        <v>0.4</v>
      </c>
      <c r="C8" s="1">
        <f>ROUND(AVERAGE(seed1!C8,seed2!C8,seed3!C8,seed4!C8,seed5!C8,seed7!C8,seed8!C8,seed9!C8,seed10!C8),4)</f>
        <v>10.693300000000001</v>
      </c>
      <c r="D8" s="1">
        <f>ROUND(AVERAGE(seed1!D8,seed2!D8,seed3!D8,seed4!D8,seed5!D8,seed7!D8,seed8!D8,seed9!D8,seed10!D8),4)</f>
        <v>16.414899999999999</v>
      </c>
      <c r="E8" s="1">
        <f>ROUND(AVERAGE(seed1!E8,seed2!E8,seed3!E8,seed4!E8,seed5!E8,seed7!E8,seed8!E8,seed9!E8,seed10!E8),4)</f>
        <v>13.119300000000001</v>
      </c>
      <c r="F8" s="1"/>
      <c r="G8" s="1">
        <v>0.4</v>
      </c>
      <c r="H8" s="1">
        <f>ROUND(AVERAGE(seed1!H8,seed2!H8,seed3!H8,seed4!H8,seed5!H8,seed7!H8,seed8!H8,seed9!H8,seed10!H8),4)</f>
        <v>13.223800000000001</v>
      </c>
      <c r="I8" s="1">
        <f>ROUND(AVERAGE(seed1!I8,seed2!I8,seed3!I8,seed4!I8,seed5!I8,seed7!I8,seed8!I8,seed9!I8,seed10!I8),4)</f>
        <v>16.378699999999998</v>
      </c>
      <c r="J8" s="1">
        <f>ROUND(AVERAGE(seed1!J8,seed2!J8,seed3!J8,seed4!J8,seed5!J8,seed7!J8,seed8!J8,seed9!J8,seed10!J8),4)</f>
        <v>14.639699999999999</v>
      </c>
      <c r="N8">
        <v>0.4</v>
      </c>
      <c r="O8">
        <f t="shared" si="0"/>
        <v>14.664300000000001</v>
      </c>
      <c r="P8">
        <f t="shared" si="1"/>
        <v>14.639699999999999</v>
      </c>
    </row>
    <row r="9" spans="2:16">
      <c r="B9" s="1">
        <v>0.5</v>
      </c>
      <c r="C9" s="1">
        <f>ROUND(AVERAGE(seed1!C9,seed2!C9,seed3!C9,seed4!C9,seed5!C9,seed7!C9,seed8!C9,seed9!C9,seed10!C9),4)</f>
        <v>9.3381000000000007</v>
      </c>
      <c r="D9" s="1">
        <f>ROUND(AVERAGE(seed1!D9,seed2!D9,seed3!D9,seed4!D9,seed5!D9,seed7!D9,seed8!D9,seed9!D9,seed10!D9),4)</f>
        <v>16.614000000000001</v>
      </c>
      <c r="E9" s="1">
        <f>ROUND(AVERAGE(seed1!E9,seed2!E9,seed3!E9,seed4!E9,seed5!E9,seed7!E9,seed8!E9,seed9!E9,seed10!E9),4)</f>
        <v>12.3451</v>
      </c>
      <c r="F9" s="1"/>
      <c r="G9" s="1">
        <v>0.5</v>
      </c>
      <c r="H9" s="1">
        <f>ROUND(AVERAGE(seed1!H9,seed2!H9,seed3!H9,seed4!H9,seed5!H9,seed7!H9,seed8!H9,seed9!H9,seed10!H9),4)</f>
        <v>12.064500000000001</v>
      </c>
      <c r="I9" s="1">
        <f>ROUND(AVERAGE(seed1!I9,seed2!I9,seed3!I9,seed4!I9,seed5!I9,seed7!I9,seed8!I9,seed9!I9,seed10!I9),4)</f>
        <v>16.597000000000001</v>
      </c>
      <c r="J9" s="1">
        <f>ROUND(AVERAGE(seed1!J9,seed2!J9,seed3!J9,seed4!J9,seed5!J9,seed7!J9,seed8!J9,seed9!J9,seed10!J9),4)</f>
        <v>14.050800000000001</v>
      </c>
      <c r="N9">
        <v>0.5</v>
      </c>
      <c r="O9">
        <f t="shared" si="0"/>
        <v>14.9031</v>
      </c>
      <c r="P9">
        <f t="shared" si="1"/>
        <v>14.050800000000001</v>
      </c>
    </row>
    <row r="10" spans="2:16">
      <c r="B10" s="1">
        <v>0.6</v>
      </c>
      <c r="C10" s="1">
        <f>ROUND(AVERAGE(seed1!C10,seed2!C10,seed3!C10,seed4!C10,seed5!C10,seed7!C10,seed8!C10,seed9!C10,seed10!C10),4)</f>
        <v>8.7684999999999995</v>
      </c>
      <c r="D10" s="1">
        <f>ROUND(AVERAGE(seed1!D10,seed2!D10,seed3!D10,seed4!D10,seed5!D10,seed7!D10,seed8!D10,seed9!D10,seed10!D10),4)</f>
        <v>16.6157</v>
      </c>
      <c r="E10" s="1">
        <f>ROUND(AVERAGE(seed1!E10,seed2!E10,seed3!E10,seed4!E10,seed5!E10,seed7!E10,seed8!E10,seed9!E10,seed10!E10),4)</f>
        <v>11.9496</v>
      </c>
      <c r="F10" s="1"/>
      <c r="G10" s="1">
        <v>0.6</v>
      </c>
      <c r="H10" s="1">
        <f>ROUND(AVERAGE(seed1!H10,seed2!H10,seed3!H10,seed4!H10,seed5!H10,seed7!H10,seed8!H10,seed9!H10,seed10!H10),4)</f>
        <v>11.8711</v>
      </c>
      <c r="I10" s="1">
        <f>ROUND(AVERAGE(seed1!I10,seed2!I10,seed3!I10,seed4!I10,seed5!I10,seed7!I10,seed8!I10,seed9!I10,seed10!I10),4)</f>
        <v>16.639800000000001</v>
      </c>
      <c r="J10" s="1">
        <f>ROUND(AVERAGE(seed1!J10,seed2!J10,seed3!J10,seed4!J10,seed5!J10,seed7!J10,seed8!J10,seed9!J10,seed10!J10),4)</f>
        <v>13.943899999999999</v>
      </c>
      <c r="N10">
        <v>0.6</v>
      </c>
      <c r="O10">
        <f t="shared" si="0"/>
        <v>14.9489</v>
      </c>
      <c r="P10">
        <f t="shared" si="1"/>
        <v>13.943899999999999</v>
      </c>
    </row>
    <row r="11" spans="2:16">
      <c r="B11" s="1">
        <v>0.7</v>
      </c>
      <c r="C11" s="1">
        <f>ROUND(AVERAGE(seed1!C11,seed2!C11,seed3!C11,seed4!C11,seed5!C11,seed7!C11,seed8!C11,seed9!C11,seed10!C11),4)</f>
        <v>8.5137</v>
      </c>
      <c r="D11" s="1">
        <f>ROUND(AVERAGE(seed1!D11,seed2!D11,seed3!D11,seed4!D11,seed5!D11,seed7!D11,seed8!D11,seed9!D11,seed10!D11),4)</f>
        <v>16.621300000000002</v>
      </c>
      <c r="E11" s="1">
        <f>ROUND(AVERAGE(seed1!E11,seed2!E11,seed3!E11,seed4!E11,seed5!E11,seed7!E11,seed8!E11,seed9!E11,seed10!E11),4)</f>
        <v>11.7797</v>
      </c>
      <c r="F11" s="1"/>
      <c r="G11" s="1">
        <v>0.7</v>
      </c>
      <c r="H11" s="1">
        <f>ROUND(AVERAGE(seed1!H11,seed2!H11,seed3!H11,seed4!H11,seed5!H11,seed7!H11,seed8!H11,seed9!H11,seed10!H11),4)</f>
        <v>11.8332</v>
      </c>
      <c r="I11" s="1">
        <f>ROUND(AVERAGE(seed1!I11,seed2!I11,seed3!I11,seed4!I11,seed5!I11,seed7!I11,seed8!I11,seed9!I11,seed10!I11),4)</f>
        <v>16.6645</v>
      </c>
      <c r="J11" s="1">
        <f>ROUND(AVERAGE(seed1!J11,seed2!J11,seed3!J11,seed4!J11,seed5!J11,seed7!J11,seed8!J11,seed9!J11,seed10!J11),4)</f>
        <v>13.933400000000001</v>
      </c>
      <c r="N11">
        <v>0.7</v>
      </c>
      <c r="O11">
        <f t="shared" si="0"/>
        <v>14.7089</v>
      </c>
      <c r="P11">
        <f t="shared" si="1"/>
        <v>13.933400000000001</v>
      </c>
    </row>
    <row r="12" spans="2:16">
      <c r="B12" s="1">
        <v>0.8</v>
      </c>
      <c r="C12" s="1">
        <f>ROUND(AVERAGE(seed1!C12,seed2!C12,seed3!C12,seed4!C12,seed5!C12,seed7!C12,seed8!C12,seed9!C12,seed10!C12),4)</f>
        <v>8.5137</v>
      </c>
      <c r="D12" s="1">
        <f>ROUND(AVERAGE(seed1!D12,seed2!D12,seed3!D12,seed4!D12,seed5!D12,seed7!D12,seed8!D12,seed9!D12,seed10!D12),4)</f>
        <v>16.621300000000002</v>
      </c>
      <c r="E12" s="1">
        <f>ROUND(AVERAGE(seed1!E12,seed2!E12,seed3!E12,seed4!E12,seed5!E12,seed7!E12,seed8!E12,seed9!E12,seed10!E12),4)</f>
        <v>11.7797</v>
      </c>
      <c r="F12" s="1"/>
      <c r="G12" s="1">
        <v>0.8</v>
      </c>
      <c r="H12" s="1">
        <f>ROUND(AVERAGE(seed1!H12,seed2!H12,seed3!H12,seed4!H12,seed5!H12,seed7!H12,seed8!H12,seed9!H12,seed10!H12),4)</f>
        <v>11.8317</v>
      </c>
      <c r="I12" s="1">
        <f>ROUND(AVERAGE(seed1!I12,seed2!I12,seed3!I12,seed4!I12,seed5!I12,seed7!I12,seed8!I12,seed9!I12,seed10!I12),4)</f>
        <v>16.670000000000002</v>
      </c>
      <c r="J12" s="1">
        <f>ROUND(AVERAGE(seed1!J12,seed2!J12,seed3!J12,seed4!J12,seed5!J12,seed7!J12,seed8!J12,seed9!J12,seed10!J12),4)</f>
        <v>13.934699999999999</v>
      </c>
      <c r="N12">
        <v>0.8</v>
      </c>
      <c r="O12">
        <f t="shared" si="0"/>
        <v>14.245200000000001</v>
      </c>
      <c r="P12">
        <f t="shared" si="1"/>
        <v>13.934699999999999</v>
      </c>
    </row>
    <row r="13" spans="2:16">
      <c r="B13" s="1">
        <v>0.9</v>
      </c>
      <c r="C13" s="1">
        <f>ROUND(AVERAGE(seed1!C13,seed2!C13,seed3!C13,seed4!C13,seed5!C13,seed7!C13,seed8!C13,seed9!C13,seed10!C13),4)</f>
        <v>8.5137</v>
      </c>
      <c r="D13" s="1">
        <f>ROUND(AVERAGE(seed1!D13,seed2!D13,seed3!D13,seed4!D13,seed5!D13,seed7!D13,seed8!D13,seed9!D13,seed10!D13),4)</f>
        <v>16.621300000000002</v>
      </c>
      <c r="E13" s="1">
        <f>ROUND(AVERAGE(seed1!E13,seed2!E13,seed3!E13,seed4!E13,seed5!E13,seed7!E13,seed8!E13,seed9!E13,seed10!E13),4)</f>
        <v>11.7797</v>
      </c>
      <c r="F13" s="1"/>
      <c r="G13" s="1">
        <v>0.9</v>
      </c>
      <c r="H13" s="1">
        <f>ROUND(AVERAGE(seed1!H13,seed2!H13,seed3!H13,seed4!H13,seed5!H13,seed7!H13,seed8!H13,seed9!H13,seed10!H13),4)</f>
        <v>11.8317</v>
      </c>
      <c r="I13" s="1">
        <f>ROUND(AVERAGE(seed1!I13,seed2!I13,seed3!I13,seed4!I13,seed5!I13,seed7!I13,seed8!I13,seed9!I13,seed10!I13),4)</f>
        <v>16.670000000000002</v>
      </c>
      <c r="J13" s="1">
        <f>ROUND(AVERAGE(seed1!J13,seed2!J13,seed3!J13,seed4!J13,seed5!J13,seed7!J13,seed8!J13,seed9!J13,seed10!J13),4)</f>
        <v>13.934699999999999</v>
      </c>
      <c r="N13">
        <v>0.9</v>
      </c>
      <c r="O13">
        <f t="shared" si="0"/>
        <v>13.9316</v>
      </c>
      <c r="P13">
        <f t="shared" si="1"/>
        <v>13.934699999999999</v>
      </c>
    </row>
    <row r="14" spans="2:16">
      <c r="B14" s="1">
        <v>1</v>
      </c>
      <c r="C14" s="1">
        <f>ROUND(AVERAGE(seed1!C14,seed2!C14,seed3!C14,seed4!C14,seed5!C14,seed7!C14,seed8!C14,seed9!C14,seed10!C14),4)</f>
        <v>8.5137</v>
      </c>
      <c r="D14" s="1">
        <f>ROUND(AVERAGE(seed1!D14,seed2!D14,seed3!D14,seed4!D14,seed5!D14,seed7!D14,seed8!D14,seed9!D14,seed10!D14),4)</f>
        <v>16.621300000000002</v>
      </c>
      <c r="E14" s="1">
        <f>ROUND(AVERAGE(seed1!E14,seed2!E14,seed3!E14,seed4!E14,seed5!E14,seed7!E14,seed8!E14,seed9!E14,seed10!E14),4)</f>
        <v>11.7797</v>
      </c>
      <c r="F14" s="1"/>
      <c r="G14" s="1">
        <v>1</v>
      </c>
      <c r="H14" s="1">
        <f>ROUND(AVERAGE(seed1!H14,seed2!H14,seed3!H14,seed4!H14,seed5!H14,seed7!H14,seed8!H14,seed9!H14,seed10!H14),4)</f>
        <v>11.8317</v>
      </c>
      <c r="I14" s="1">
        <f>ROUND(AVERAGE(seed1!I14,seed2!I14,seed3!I14,seed4!I14,seed5!I14,seed7!I14,seed8!I14,seed9!I14,seed10!I14),4)</f>
        <v>16.670000000000002</v>
      </c>
      <c r="J14" s="1">
        <f>ROUND(AVERAGE(seed1!J14,seed2!J14,seed3!J14,seed4!J14,seed5!J14,seed7!J14,seed8!J14,seed9!J14,seed10!J14),4)</f>
        <v>13.934699999999999</v>
      </c>
      <c r="N14">
        <v>1</v>
      </c>
      <c r="O14">
        <f t="shared" si="0"/>
        <v>13.934699999999999</v>
      </c>
      <c r="P14">
        <f t="shared" si="1"/>
        <v>13.934699999999999</v>
      </c>
    </row>
    <row r="15" spans="2:16">
      <c r="B15" s="1"/>
      <c r="C15" s="1"/>
      <c r="D15" s="1"/>
      <c r="E15" s="1"/>
      <c r="F15" s="1"/>
      <c r="G15" s="1"/>
      <c r="H15" s="1"/>
      <c r="I15" s="1"/>
      <c r="J15" s="1"/>
    </row>
    <row r="16" spans="2:16">
      <c r="B16" s="1"/>
      <c r="C16" s="1"/>
      <c r="D16" s="1"/>
      <c r="E16" s="1"/>
      <c r="F16" s="1"/>
      <c r="G16" s="1"/>
      <c r="H16" s="1"/>
      <c r="I16" s="1"/>
      <c r="J16" s="1"/>
    </row>
    <row r="17" spans="2:16">
      <c r="B17" s="1"/>
      <c r="C17" s="1"/>
      <c r="D17" s="1"/>
      <c r="E17" s="1"/>
      <c r="F17" s="1"/>
      <c r="G17" s="1"/>
      <c r="H17" s="1"/>
      <c r="I17" s="1"/>
      <c r="J17" s="1"/>
    </row>
    <row r="18" spans="2:16">
      <c r="B18" s="1"/>
      <c r="C18" s="1" t="s">
        <v>9</v>
      </c>
      <c r="D18" s="1"/>
      <c r="E18" s="1"/>
      <c r="F18" s="1"/>
      <c r="G18" s="1"/>
      <c r="H18" s="1" t="s">
        <v>11</v>
      </c>
      <c r="I18" s="1"/>
      <c r="J18" s="1"/>
      <c r="O18" t="s">
        <v>24</v>
      </c>
    </row>
    <row r="19" spans="2:16">
      <c r="B19" s="1" t="s">
        <v>6</v>
      </c>
      <c r="C19" s="1" t="s">
        <v>1</v>
      </c>
      <c r="D19" s="1" t="s">
        <v>2</v>
      </c>
      <c r="E19" s="1" t="s">
        <v>3</v>
      </c>
      <c r="F19" s="1"/>
      <c r="G19" s="1" t="s">
        <v>6</v>
      </c>
      <c r="H19" s="1" t="s">
        <v>1</v>
      </c>
      <c r="I19" s="1" t="s">
        <v>2</v>
      </c>
      <c r="J19" s="1" t="s">
        <v>3</v>
      </c>
      <c r="N19" t="s">
        <v>0</v>
      </c>
      <c r="O19" t="s">
        <v>25</v>
      </c>
      <c r="P19" t="s">
        <v>26</v>
      </c>
    </row>
    <row r="20" spans="2:16">
      <c r="B20" s="1">
        <v>0</v>
      </c>
      <c r="C20" s="1">
        <f>ROUND(AVERAGE(seed1!C20,seed2!C20,seed3!C20,seed4!C20,seed5!C20,seed7!C20,seed8!C20,seed9!C20,seed10!C20),4)</f>
        <v>12.9504</v>
      </c>
      <c r="D20" s="1">
        <f>ROUND(AVERAGE(seed1!D20,seed2!D20,seed3!D20,seed4!D20,seed5!D20,seed7!D20,seed8!D20,seed9!D20,seed10!D20),4)</f>
        <v>13.307</v>
      </c>
      <c r="E20" s="1">
        <f>ROUND(AVERAGE(seed1!E20,seed2!E20,seed3!E20,seed4!E20,seed5!E20,seed7!E20,seed8!E20,seed9!E20,seed10!E20),4)</f>
        <v>13.075100000000001</v>
      </c>
      <c r="F20" s="1"/>
      <c r="G20" s="1">
        <v>0</v>
      </c>
      <c r="H20" s="1">
        <f>ROUND(AVERAGE(seed1!H20,seed2!H20,seed3!H20,seed4!H20,seed5!H20,seed7!H20,seed8!H20,seed9!H20,seed10!H20),4)</f>
        <v>14.8078</v>
      </c>
      <c r="I20" s="1">
        <f>ROUND(AVERAGE(seed1!I20,seed2!I20,seed3!I20,seed4!I20,seed5!I20,seed7!I20,seed8!I20,seed9!I20,seed10!I20),4)</f>
        <v>13.871</v>
      </c>
      <c r="J20" s="1">
        <f>ROUND(AVERAGE(seed1!J20,seed2!J20,seed3!J20,seed4!J20,seed5!J20,seed7!J20,seed8!J20,seed9!J20,seed10!J20),4)</f>
        <v>14.348599999999999</v>
      </c>
      <c r="N20">
        <v>0</v>
      </c>
      <c r="O20">
        <f>E20</f>
        <v>13.075100000000001</v>
      </c>
      <c r="P20">
        <f>J20</f>
        <v>14.348599999999999</v>
      </c>
    </row>
    <row r="21" spans="2:16">
      <c r="B21" s="1">
        <v>0.1</v>
      </c>
      <c r="C21" s="1">
        <f>ROUND(AVERAGE(seed1!C21,seed2!C21,seed3!C21,seed4!C21,seed5!C21,seed7!C21,seed8!C21,seed9!C21,seed10!C21),4)</f>
        <v>12.9504</v>
      </c>
      <c r="D21" s="1">
        <f>ROUND(AVERAGE(seed1!D21,seed2!D21,seed3!D21,seed4!D21,seed5!D21,seed7!D21,seed8!D21,seed9!D21,seed10!D21),4)</f>
        <v>13.307</v>
      </c>
      <c r="E21" s="1">
        <f>ROUND(AVERAGE(seed1!E21,seed2!E21,seed3!E21,seed4!E21,seed5!E21,seed7!E21,seed8!E21,seed9!E21,seed10!E21),4)</f>
        <v>13.075100000000001</v>
      </c>
      <c r="F21" s="1"/>
      <c r="G21" s="1">
        <v>0.1</v>
      </c>
      <c r="H21" s="1">
        <f>ROUND(AVERAGE(seed1!H21,seed2!H21,seed3!H21,seed4!H21,seed5!H21,seed7!H21,seed8!H21,seed9!H21,seed10!H21),4)</f>
        <v>14.8078</v>
      </c>
      <c r="I21" s="1">
        <f>ROUND(AVERAGE(seed1!I21,seed2!I21,seed3!I21,seed4!I21,seed5!I21,seed7!I21,seed8!I21,seed9!I21,seed10!I21),4)</f>
        <v>13.871</v>
      </c>
      <c r="J21" s="1">
        <f>ROUND(AVERAGE(seed1!J21,seed2!J21,seed3!J21,seed4!J21,seed5!J21,seed7!J21,seed8!J21,seed9!J21,seed10!J21),4)</f>
        <v>14.348599999999999</v>
      </c>
      <c r="N21">
        <v>0.1</v>
      </c>
      <c r="O21">
        <f t="shared" ref="O21:O30" si="2">E21</f>
        <v>13.075100000000001</v>
      </c>
      <c r="P21">
        <f t="shared" ref="P21:P30" si="3">J21</f>
        <v>14.348599999999999</v>
      </c>
    </row>
    <row r="22" spans="2:16">
      <c r="B22" s="1">
        <v>0.2</v>
      </c>
      <c r="C22" s="1">
        <f>ROUND(AVERAGE(seed1!C22,seed2!C22,seed3!C22,seed4!C22,seed5!C22,seed7!C22,seed8!C22,seed9!C22,seed10!C22),4)</f>
        <v>12.9504</v>
      </c>
      <c r="D22" s="1">
        <f>ROUND(AVERAGE(seed1!D22,seed2!D22,seed3!D22,seed4!D22,seed5!D22,seed7!D22,seed8!D22,seed9!D22,seed10!D22),4)</f>
        <v>13.307</v>
      </c>
      <c r="E22" s="1">
        <f>ROUND(AVERAGE(seed1!E22,seed2!E22,seed3!E22,seed4!E22,seed5!E22,seed7!E22,seed8!E22,seed9!E22,seed10!E22),4)</f>
        <v>13.075100000000001</v>
      </c>
      <c r="F22" s="1"/>
      <c r="G22" s="1">
        <v>0.2</v>
      </c>
      <c r="H22" s="1">
        <f>ROUND(AVERAGE(seed1!H22,seed2!H22,seed3!H22,seed4!H22,seed5!H22,seed7!H22,seed8!H22,seed9!H22,seed10!H22),4)</f>
        <v>14.6629</v>
      </c>
      <c r="I22" s="1">
        <f>ROUND(AVERAGE(seed1!I22,seed2!I22,seed3!I22,seed4!I22,seed5!I22,seed7!I22,seed8!I22,seed9!I22,seed10!I22),4)</f>
        <v>14.099600000000001</v>
      </c>
      <c r="J22" s="1">
        <f>ROUND(AVERAGE(seed1!J22,seed2!J22,seed3!J22,seed4!J22,seed5!J22,seed7!J22,seed8!J22,seed9!J22,seed10!J22),4)</f>
        <v>14.390499999999999</v>
      </c>
      <c r="N22">
        <v>0.2</v>
      </c>
      <c r="O22">
        <f t="shared" si="2"/>
        <v>13.075100000000001</v>
      </c>
      <c r="P22">
        <f t="shared" si="3"/>
        <v>14.390499999999999</v>
      </c>
    </row>
    <row r="23" spans="2:16">
      <c r="B23" s="1">
        <v>0.3</v>
      </c>
      <c r="C23" s="1">
        <f>ROUND(AVERAGE(seed1!C23,seed2!C23,seed3!C23,seed4!C23,seed5!C23,seed7!C23,seed8!C23,seed9!C23,seed10!C23),4)</f>
        <v>12.9533</v>
      </c>
      <c r="D23" s="1">
        <f>ROUND(AVERAGE(seed1!D23,seed2!D23,seed3!D23,seed4!D23,seed5!D23,seed7!D23,seed8!D23,seed9!D23,seed10!D23),4)</f>
        <v>13.3066</v>
      </c>
      <c r="E23" s="1">
        <f>ROUND(AVERAGE(seed1!E23,seed2!E23,seed3!E23,seed4!E23,seed5!E23,seed7!E23,seed8!E23,seed9!E23,seed10!E23),4)</f>
        <v>13.093</v>
      </c>
      <c r="F23" s="1"/>
      <c r="G23" s="1">
        <v>0.3</v>
      </c>
      <c r="H23" s="1">
        <f>ROUND(AVERAGE(seed1!H23,seed2!H23,seed3!H23,seed4!H23,seed5!H23,seed7!H23,seed8!H23,seed9!H23,seed10!H23),4)</f>
        <v>14.6335</v>
      </c>
      <c r="I23" s="1">
        <f>ROUND(AVERAGE(seed1!I23,seed2!I23,seed3!I23,seed4!I23,seed5!I23,seed7!I23,seed8!I23,seed9!I23,seed10!I23),4)</f>
        <v>14.264799999999999</v>
      </c>
      <c r="J23" s="1">
        <f>ROUND(AVERAGE(seed1!J23,seed2!J23,seed3!J23,seed4!J23,seed5!J23,seed7!J23,seed8!J23,seed9!J23,seed10!J23),4)</f>
        <v>14.456099999999999</v>
      </c>
      <c r="N23">
        <v>0.3</v>
      </c>
      <c r="O23">
        <f t="shared" si="2"/>
        <v>13.093</v>
      </c>
      <c r="P23">
        <f t="shared" si="3"/>
        <v>14.456099999999999</v>
      </c>
    </row>
    <row r="24" spans="2:16">
      <c r="B24" s="1">
        <v>0.4</v>
      </c>
      <c r="C24" s="1">
        <f>ROUND(AVERAGE(seed1!C24,seed2!C24,seed3!C24,seed4!C24,seed5!C24,seed7!C24,seed8!C24,seed9!C24,seed10!C24),4)</f>
        <v>12.859500000000001</v>
      </c>
      <c r="D24" s="1">
        <f>ROUND(AVERAGE(seed1!D24,seed2!D24,seed3!D24,seed4!D24,seed5!D24,seed7!D24,seed8!D24,seed9!D24,seed10!D24),4)</f>
        <v>13.6006</v>
      </c>
      <c r="E24" s="1">
        <f>ROUND(AVERAGE(seed1!E24,seed2!E24,seed3!E24,seed4!E24,seed5!E24,seed7!E24,seed8!E24,seed9!E24,seed10!E24),4)</f>
        <v>13.193300000000001</v>
      </c>
      <c r="F24" s="1"/>
      <c r="G24" s="1">
        <v>0.4</v>
      </c>
      <c r="H24" s="1">
        <f>ROUND(AVERAGE(seed1!H24,seed2!H24,seed3!H24,seed4!H24,seed5!H24,seed7!H24,seed8!H24,seed9!H24,seed10!H24),4)</f>
        <v>14.577400000000001</v>
      </c>
      <c r="I24" s="1">
        <f>ROUND(AVERAGE(seed1!I24,seed2!I24,seed3!I24,seed4!I24,seed5!I24,seed7!I24,seed8!I24,seed9!I24,seed10!I24),4)</f>
        <v>14.765599999999999</v>
      </c>
      <c r="J24" s="1">
        <f>ROUND(AVERAGE(seed1!J24,seed2!J24,seed3!J24,seed4!J24,seed5!J24,seed7!J24,seed8!J24,seed9!J24,seed10!J24),4)</f>
        <v>14.664300000000001</v>
      </c>
      <c r="N24">
        <v>0.4</v>
      </c>
      <c r="O24">
        <f t="shared" si="2"/>
        <v>13.193300000000001</v>
      </c>
      <c r="P24">
        <f t="shared" si="3"/>
        <v>14.664300000000001</v>
      </c>
    </row>
    <row r="25" spans="2:16">
      <c r="B25" s="1">
        <v>0.5</v>
      </c>
      <c r="C25" s="1">
        <f>ROUND(AVERAGE(seed1!C25,seed2!C25,seed3!C25,seed4!C25,seed5!C25,seed7!C25,seed8!C25,seed9!C25,seed10!C25),4)</f>
        <v>12.2591</v>
      </c>
      <c r="D25" s="1">
        <f>ROUND(AVERAGE(seed1!D25,seed2!D25,seed3!D25,seed4!D25,seed5!D25,seed7!D25,seed8!D25,seed9!D25,seed10!D25),4)</f>
        <v>14.5275</v>
      </c>
      <c r="E25" s="1">
        <f>ROUND(AVERAGE(seed1!E25,seed2!E25,seed3!E25,seed4!E25,seed5!E25,seed7!E25,seed8!E25,seed9!E25,seed10!E25),4)</f>
        <v>13.3184</v>
      </c>
      <c r="F25" s="1"/>
      <c r="G25" s="1">
        <v>0.5</v>
      </c>
      <c r="H25" s="1">
        <f>ROUND(AVERAGE(seed1!H25,seed2!H25,seed3!H25,seed4!H25,seed5!H25,seed7!H25,seed8!H25,seed9!H25,seed10!H25),4)</f>
        <v>14.6464</v>
      </c>
      <c r="I25" s="1">
        <f>ROUND(AVERAGE(seed1!I25,seed2!I25,seed3!I25,seed4!I25,seed5!I25,seed7!I25,seed8!I25,seed9!I25,seed10!I25),4)</f>
        <v>15.189299999999999</v>
      </c>
      <c r="J25" s="1">
        <f>ROUND(AVERAGE(seed1!J25,seed2!J25,seed3!J25,seed4!J25,seed5!J25,seed7!J25,seed8!J25,seed9!J25,seed10!J25),4)</f>
        <v>14.9031</v>
      </c>
      <c r="L25" t="s">
        <v>20</v>
      </c>
      <c r="N25">
        <v>0.5</v>
      </c>
      <c r="O25">
        <f t="shared" si="2"/>
        <v>13.3184</v>
      </c>
      <c r="P25">
        <f t="shared" si="3"/>
        <v>14.9031</v>
      </c>
    </row>
    <row r="26" spans="2:16">
      <c r="B26" s="1">
        <v>0.6</v>
      </c>
      <c r="C26" s="1">
        <f>ROUND(AVERAGE(seed1!C26,seed2!C26,seed3!C26,seed4!C26,seed5!C26,seed7!C26,seed8!C26,seed9!C26,seed10!C26),4)</f>
        <v>11.774800000000001</v>
      </c>
      <c r="D26" s="1">
        <f>ROUND(AVERAGE(seed1!D26,seed2!D26,seed3!D26,seed4!D26,seed5!D26,seed7!D26,seed8!D26,seed9!D26,seed10!D26),4)</f>
        <v>15.517200000000001</v>
      </c>
      <c r="E26" s="1">
        <f>ROUND(AVERAGE(seed1!E26,seed2!E26,seed3!E26,seed4!E26,seed5!E26,seed7!E26,seed8!E26,seed9!E26,seed10!E26),4)</f>
        <v>13.4468</v>
      </c>
      <c r="F26" s="1"/>
      <c r="G26" s="1">
        <v>0.6</v>
      </c>
      <c r="H26" s="1">
        <f>ROUND(AVERAGE(seed1!H26,seed2!H26,seed3!H26,seed4!H26,seed5!H26,seed7!H26,seed8!H26,seed9!H26,seed10!H26),4)</f>
        <v>14.334</v>
      </c>
      <c r="I26" s="1">
        <f>ROUND(AVERAGE(seed1!I26,seed2!I26,seed3!I26,seed4!I26,seed5!I26,seed7!I26,seed8!I26,seed9!I26,seed10!I26),4)</f>
        <v>15.631500000000001</v>
      </c>
      <c r="J26" s="1">
        <f>ROUND(AVERAGE(seed1!J26,seed2!J26,seed3!J26,seed4!J26,seed5!J26,seed7!J26,seed8!J26,seed9!J26,seed10!J26),4)</f>
        <v>14.9489</v>
      </c>
      <c r="N26">
        <v>0.6</v>
      </c>
      <c r="O26">
        <f t="shared" si="2"/>
        <v>13.4468</v>
      </c>
      <c r="P26">
        <f t="shared" si="3"/>
        <v>14.9489</v>
      </c>
    </row>
    <row r="27" spans="2:16">
      <c r="B27" s="1">
        <v>0.7</v>
      </c>
      <c r="C27" s="1">
        <f>ROUND(AVERAGE(seed1!C27,seed2!C27,seed3!C27,seed4!C27,seed5!C27,seed7!C27,seed8!C27,seed9!C27,seed10!C27),4)</f>
        <v>11.066000000000001</v>
      </c>
      <c r="D27" s="1">
        <f>ROUND(AVERAGE(seed1!D27,seed2!D27,seed3!D27,seed4!D27,seed5!D27,seed7!D27,seed8!D27,seed9!D27,seed10!D27),4)</f>
        <v>16.101199999999999</v>
      </c>
      <c r="E27" s="1">
        <f>ROUND(AVERAGE(seed1!E27,seed2!E27,seed3!E27,seed4!E27,seed5!E27,seed7!E27,seed8!E27,seed9!E27,seed10!E27),4)</f>
        <v>13.2514</v>
      </c>
      <c r="F27" s="1"/>
      <c r="G27" s="1">
        <v>0.7</v>
      </c>
      <c r="H27" s="1">
        <f>ROUND(AVERAGE(seed1!H27,seed2!H27,seed3!H27,seed4!H27,seed5!H27,seed7!H27,seed8!H27,seed9!H27,seed10!H27),4)</f>
        <v>13.3584</v>
      </c>
      <c r="I27" s="1">
        <f>ROUND(AVERAGE(seed1!I27,seed2!I27,seed3!I27,seed4!I27,seed5!I27,seed7!I27,seed8!I27,seed9!I27,seed10!I27),4)</f>
        <v>16.353000000000002</v>
      </c>
      <c r="J27" s="1">
        <f>ROUND(AVERAGE(seed1!J27,seed2!J27,seed3!J27,seed4!J27,seed5!J27,seed7!J27,seed8!J27,seed9!J27,seed10!J27),4)</f>
        <v>14.7089</v>
      </c>
      <c r="N27">
        <v>0.7</v>
      </c>
      <c r="O27">
        <f t="shared" si="2"/>
        <v>13.2514</v>
      </c>
      <c r="P27">
        <f t="shared" si="3"/>
        <v>14.7089</v>
      </c>
    </row>
    <row r="28" spans="2:16">
      <c r="B28" s="1">
        <v>0.8</v>
      </c>
      <c r="C28" s="1">
        <f>ROUND(AVERAGE(seed1!C28,seed2!C28,seed3!C28,seed4!C28,seed5!C28,seed7!C28,seed8!C28,seed9!C28,seed10!C28),4)</f>
        <v>10.019399999999999</v>
      </c>
      <c r="D28" s="1">
        <f>ROUND(AVERAGE(seed1!D28,seed2!D28,seed3!D28,seed4!D28,seed5!D28,seed7!D28,seed8!D28,seed9!D28,seed10!D28),4)</f>
        <v>16.3751</v>
      </c>
      <c r="E28" s="1">
        <f>ROUND(AVERAGE(seed1!E28,seed2!E28,seed3!E28,seed4!E28,seed5!E28,seed7!E28,seed8!E28,seed9!E28,seed10!E28),4)</f>
        <v>12.6943</v>
      </c>
      <c r="F28" s="1"/>
      <c r="G28" s="1">
        <v>0.8</v>
      </c>
      <c r="H28" s="1">
        <f>ROUND(AVERAGE(seed1!H28,seed2!H28,seed3!H28,seed4!H28,seed5!H28,seed7!H28,seed8!H28,seed9!H28,seed10!H28),4)</f>
        <v>12.3973</v>
      </c>
      <c r="I28" s="1">
        <f>ROUND(AVERAGE(seed1!I28,seed2!I28,seed3!I28,seed4!I28,seed5!I28,seed7!I28,seed8!I28,seed9!I28,seed10!I28),4)</f>
        <v>16.607299999999999</v>
      </c>
      <c r="J28" s="1">
        <f>ROUND(AVERAGE(seed1!J28,seed2!J28,seed3!J28,seed4!J28,seed5!J28,seed7!J28,seed8!J28,seed9!J28,seed10!J28),4)</f>
        <v>14.245200000000001</v>
      </c>
      <c r="N28">
        <v>0.8</v>
      </c>
      <c r="O28">
        <f t="shared" si="2"/>
        <v>12.6943</v>
      </c>
      <c r="P28">
        <f t="shared" si="3"/>
        <v>14.245200000000001</v>
      </c>
    </row>
    <row r="29" spans="2:16">
      <c r="B29" s="1">
        <v>0.9</v>
      </c>
      <c r="C29" s="1">
        <f>ROUND(AVERAGE(seed1!C29,seed2!C29,seed3!C29,seed4!C29,seed5!C29,seed7!C29,seed8!C29,seed9!C29,seed10!C29),4)</f>
        <v>8.7684999999999995</v>
      </c>
      <c r="D29" s="1">
        <f>ROUND(AVERAGE(seed1!D29,seed2!D29,seed3!D29,seed4!D29,seed5!D29,seed7!D29,seed8!D29,seed9!D29,seed10!D29),4)</f>
        <v>16.6157</v>
      </c>
      <c r="E29" s="1">
        <f>ROUND(AVERAGE(seed1!E29,seed2!E29,seed3!E29,seed4!E29,seed5!E29,seed7!E29,seed8!E29,seed9!E29,seed10!E29),4)</f>
        <v>11.9496</v>
      </c>
      <c r="F29" s="1"/>
      <c r="G29" s="1">
        <v>0.9</v>
      </c>
      <c r="H29" s="1">
        <f>ROUND(AVERAGE(seed1!H29,seed2!H29,seed3!H29,seed4!H29,seed5!H29,seed7!H29,seed8!H29,seed9!H29,seed10!H29),4)</f>
        <v>11.8268</v>
      </c>
      <c r="I29" s="1">
        <f>ROUND(AVERAGE(seed1!I29,seed2!I29,seed3!I29,seed4!I29,seed5!I29,seed7!I29,seed8!I29,seed9!I29,seed10!I29),4)</f>
        <v>16.669499999999999</v>
      </c>
      <c r="J29" s="1">
        <f>ROUND(AVERAGE(seed1!J29,seed2!J29,seed3!J29,seed4!J29,seed5!J29,seed7!J29,seed8!J29,seed9!J29,seed10!J29),4)</f>
        <v>13.9316</v>
      </c>
      <c r="N29">
        <v>0.9</v>
      </c>
      <c r="O29">
        <f t="shared" si="2"/>
        <v>11.9496</v>
      </c>
      <c r="P29">
        <f t="shared" si="3"/>
        <v>13.9316</v>
      </c>
    </row>
    <row r="30" spans="2:16">
      <c r="B30" s="1">
        <v>1</v>
      </c>
      <c r="C30" s="1">
        <f>ROUND(AVERAGE(seed1!C30,seed2!C30,seed3!C30,seed4!C30,seed5!C30,seed7!C30,seed8!C30,seed9!C30,seed10!C30),4)</f>
        <v>8.5137</v>
      </c>
      <c r="D30" s="1">
        <f>ROUND(AVERAGE(seed1!D30,seed2!D30,seed3!D30,seed4!D30,seed5!D30,seed7!D30,seed8!D30,seed9!D30,seed10!D30),4)</f>
        <v>16.621300000000002</v>
      </c>
      <c r="E30" s="1">
        <f>ROUND(AVERAGE(seed1!E30,seed2!E30,seed3!E30,seed4!E30,seed5!E30,seed7!E30,seed8!E30,seed9!E30,seed10!E30),4)</f>
        <v>11.7797</v>
      </c>
      <c r="F30" s="1"/>
      <c r="G30" s="1">
        <v>1</v>
      </c>
      <c r="H30" s="1">
        <f>ROUND(AVERAGE(seed1!H30,seed2!H30,seed3!H30,seed4!H30,seed5!H30,seed7!H30,seed8!H30,seed9!H30,seed10!H30),4)</f>
        <v>11.8317</v>
      </c>
      <c r="I30" s="1">
        <f>ROUND(AVERAGE(seed1!I30,seed2!I30,seed3!I30,seed4!I30,seed5!I30,seed7!I30,seed8!I30,seed9!I30,seed10!I30),4)</f>
        <v>16.670000000000002</v>
      </c>
      <c r="J30" s="1">
        <f>ROUND(AVERAGE(seed1!J30,seed2!J30,seed3!J30,seed4!J30,seed5!J30,seed7!J30,seed8!J30,seed9!J30,seed10!J30),4)</f>
        <v>13.934699999999999</v>
      </c>
      <c r="N30">
        <v>1</v>
      </c>
      <c r="O30">
        <f t="shared" si="2"/>
        <v>11.7797</v>
      </c>
      <c r="P30">
        <f t="shared" si="3"/>
        <v>13.934699999999999</v>
      </c>
    </row>
    <row r="34" spans="7:11">
      <c r="G34" s="1"/>
      <c r="H34" s="1" t="s">
        <v>12</v>
      </c>
      <c r="I34" s="1"/>
      <c r="J34" s="1"/>
      <c r="K34" t="s">
        <v>27</v>
      </c>
    </row>
    <row r="35" spans="7:11">
      <c r="G35" s="1" t="s">
        <v>6</v>
      </c>
      <c r="H35" s="1" t="s">
        <v>1</v>
      </c>
      <c r="I35" s="1" t="s">
        <v>2</v>
      </c>
      <c r="J35" s="1" t="s">
        <v>3</v>
      </c>
    </row>
    <row r="36" spans="7:11">
      <c r="G36" s="1">
        <v>0</v>
      </c>
    </row>
    <row r="37" spans="7:11">
      <c r="G37" s="1">
        <v>0.1</v>
      </c>
    </row>
    <row r="38" spans="7:11">
      <c r="G38" s="1">
        <v>0.2</v>
      </c>
    </row>
    <row r="39" spans="7:11">
      <c r="G39" s="1">
        <v>0.3</v>
      </c>
    </row>
    <row r="40" spans="7:11">
      <c r="G40" s="1">
        <v>0.4</v>
      </c>
    </row>
    <row r="41" spans="7:11">
      <c r="G41" s="1">
        <v>0.5</v>
      </c>
    </row>
    <row r="42" spans="7:11">
      <c r="G42" s="1">
        <v>0.6</v>
      </c>
    </row>
    <row r="43" spans="7:11">
      <c r="G43" s="1">
        <v>0.7</v>
      </c>
    </row>
    <row r="44" spans="7:11">
      <c r="G44" s="1">
        <v>0.8</v>
      </c>
    </row>
    <row r="45" spans="7:11">
      <c r="G45" s="1">
        <v>0.9</v>
      </c>
    </row>
    <row r="46" spans="7:11">
      <c r="G46" s="1">
        <v>1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seed1</vt:lpstr>
      <vt:lpstr>seed2</vt:lpstr>
      <vt:lpstr>seed3</vt:lpstr>
      <vt:lpstr>seed4</vt:lpstr>
      <vt:lpstr>seed5</vt:lpstr>
      <vt:lpstr>average1-5</vt:lpstr>
      <vt:lpstr>seed6</vt:lpstr>
      <vt:lpstr>seed7</vt:lpstr>
      <vt:lpstr>seed8</vt:lpstr>
      <vt:lpstr>seed9</vt:lpstr>
      <vt:lpstr>seed10</vt:lpstr>
      <vt:lpstr>average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山下 裕太郎</dc:creator>
  <cp:lastModifiedBy>山下 裕太郎</cp:lastModifiedBy>
  <dcterms:created xsi:type="dcterms:W3CDTF">2023-12-10T15:11:00Z</dcterms:created>
  <dcterms:modified xsi:type="dcterms:W3CDTF">2023-12-22T18:12:46Z</dcterms:modified>
</cp:coreProperties>
</file>