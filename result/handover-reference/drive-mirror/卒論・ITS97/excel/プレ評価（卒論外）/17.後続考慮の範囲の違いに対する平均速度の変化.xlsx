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1D956EF9-8729-614F-A2F1-D08FA359A7D7}" xr6:coauthVersionLast="47" xr6:coauthVersionMax="47" xr10:uidLastSave="{00000000-0000-0000-0000-000000000000}"/>
  <bookViews>
    <workbookView xWindow="0" yWindow="0" windowWidth="28800" windowHeight="18000" activeTab="8" xr2:uid="{D3F6690C-2DDD-9047-BEFA-6327AF57E5F4}"/>
  </bookViews>
  <sheets>
    <sheet name="seed1" sheetId="1" r:id="rId1"/>
    <sheet name="seed2" sheetId="2" r:id="rId2"/>
    <sheet name="seed4" sheetId="3" r:id="rId3"/>
    <sheet name="seed5" sheetId="5" r:id="rId4"/>
    <sheet name="seed7" sheetId="4" r:id="rId5"/>
    <sheet name="seed8" sheetId="6" r:id="rId6"/>
    <sheet name="seed9" sheetId="7" r:id="rId7"/>
    <sheet name="seed10" sheetId="8" r:id="rId8"/>
    <sheet name="averag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9" l="1"/>
  <c r="R27" i="9"/>
  <c r="S27" i="9"/>
  <c r="Q28" i="9"/>
  <c r="R28" i="9"/>
  <c r="S28" i="9"/>
  <c r="Q29" i="9"/>
  <c r="R29" i="9"/>
  <c r="S29" i="9"/>
  <c r="Q30" i="9"/>
  <c r="R30" i="9"/>
  <c r="S30" i="9"/>
  <c r="Q31" i="9"/>
  <c r="R31" i="9"/>
  <c r="S31" i="9"/>
  <c r="Q32" i="9"/>
  <c r="R32" i="9"/>
  <c r="S32" i="9"/>
  <c r="Q33" i="9"/>
  <c r="R33" i="9"/>
  <c r="S33" i="9"/>
  <c r="Q34" i="9"/>
  <c r="R34" i="9"/>
  <c r="S34" i="9"/>
  <c r="Q35" i="9"/>
  <c r="R35" i="9"/>
  <c r="S35" i="9"/>
  <c r="Q36" i="9"/>
  <c r="R36" i="9"/>
  <c r="S36" i="9"/>
  <c r="Q37" i="9"/>
  <c r="R37" i="9"/>
  <c r="S37" i="9"/>
  <c r="Q38" i="9"/>
  <c r="R38" i="9"/>
  <c r="S38" i="9"/>
  <c r="S26" i="9"/>
  <c r="R26" i="9"/>
  <c r="Q26" i="9"/>
  <c r="Q18" i="9"/>
  <c r="R18" i="9"/>
  <c r="S18" i="9"/>
  <c r="Q7" i="9"/>
  <c r="R7" i="9"/>
  <c r="S7" i="9"/>
  <c r="Q8" i="9"/>
  <c r="R8" i="9"/>
  <c r="S8" i="9"/>
  <c r="Q9" i="9"/>
  <c r="R9" i="9"/>
  <c r="S9" i="9"/>
  <c r="Q10" i="9"/>
  <c r="R10" i="9"/>
  <c r="S10" i="9"/>
  <c r="Q11" i="9"/>
  <c r="R11" i="9"/>
  <c r="S11" i="9"/>
  <c r="Q12" i="9"/>
  <c r="R12" i="9"/>
  <c r="S12" i="9"/>
  <c r="Q13" i="9"/>
  <c r="R13" i="9"/>
  <c r="S13" i="9"/>
  <c r="Q14" i="9"/>
  <c r="R14" i="9"/>
  <c r="S14" i="9"/>
  <c r="Q15" i="9"/>
  <c r="R15" i="9"/>
  <c r="S15" i="9"/>
  <c r="Q16" i="9"/>
  <c r="R16" i="9"/>
  <c r="S16" i="9"/>
  <c r="Q17" i="9"/>
  <c r="R17" i="9"/>
  <c r="S17" i="9"/>
  <c r="S6" i="9"/>
  <c r="R6" i="9"/>
  <c r="Q6" i="9"/>
  <c r="M29" i="9"/>
  <c r="M30" i="9"/>
  <c r="M31" i="9"/>
  <c r="M32" i="9"/>
  <c r="M33" i="9"/>
  <c r="M34" i="9"/>
  <c r="M35" i="9"/>
  <c r="M36" i="9"/>
  <c r="M37" i="9"/>
  <c r="M38" i="9"/>
  <c r="M7" i="9"/>
  <c r="M8" i="9"/>
  <c r="M9" i="9"/>
  <c r="M10" i="9"/>
  <c r="M11" i="9"/>
  <c r="M12" i="9"/>
  <c r="M13" i="9"/>
  <c r="M14" i="9"/>
  <c r="M15" i="9"/>
  <c r="M16" i="9"/>
  <c r="M17" i="9"/>
  <c r="M18" i="9"/>
  <c r="M26" i="9"/>
  <c r="M27" i="9"/>
  <c r="M28" i="9"/>
  <c r="M6" i="9"/>
  <c r="D26" i="9"/>
  <c r="E26" i="9"/>
  <c r="C26" i="9"/>
  <c r="D17" i="9"/>
  <c r="E17" i="9"/>
  <c r="D18" i="9"/>
  <c r="E18" i="9"/>
  <c r="C18" i="9"/>
  <c r="C25" i="9"/>
  <c r="D25" i="9"/>
  <c r="E25" i="9"/>
  <c r="C27" i="9"/>
  <c r="D27" i="9"/>
  <c r="E27" i="9"/>
  <c r="C28" i="9"/>
  <c r="D28" i="9"/>
  <c r="E28" i="9"/>
  <c r="C29" i="9"/>
  <c r="D29" i="9"/>
  <c r="E29" i="9"/>
  <c r="C30" i="9"/>
  <c r="D30" i="9"/>
  <c r="E30" i="9"/>
  <c r="C31" i="9"/>
  <c r="D31" i="9"/>
  <c r="E31" i="9"/>
  <c r="C32" i="9"/>
  <c r="D32" i="9"/>
  <c r="E32" i="9"/>
  <c r="C33" i="9"/>
  <c r="D33" i="9"/>
  <c r="E33" i="9"/>
  <c r="C34" i="9"/>
  <c r="D34" i="9"/>
  <c r="E34" i="9"/>
  <c r="C35" i="9"/>
  <c r="D35" i="9"/>
  <c r="E35" i="9"/>
  <c r="C36" i="9"/>
  <c r="D36" i="9"/>
  <c r="E36" i="9"/>
  <c r="C37" i="9"/>
  <c r="D37" i="9"/>
  <c r="E37" i="9"/>
  <c r="C38" i="9"/>
  <c r="D38" i="9"/>
  <c r="E38" i="9"/>
  <c r="D24" i="9"/>
  <c r="E24" i="9"/>
  <c r="C5" i="9"/>
  <c r="D5" i="9"/>
  <c r="E5" i="9"/>
  <c r="C6" i="9"/>
  <c r="D6" i="9"/>
  <c r="E6" i="9"/>
  <c r="C7" i="9"/>
  <c r="D7" i="9"/>
  <c r="E7" i="9"/>
  <c r="C8" i="9"/>
  <c r="D8" i="9"/>
  <c r="E8" i="9"/>
  <c r="C9" i="9"/>
  <c r="D9" i="9"/>
  <c r="E9" i="9"/>
  <c r="C10" i="9"/>
  <c r="D10" i="9"/>
  <c r="E10" i="9"/>
  <c r="C11" i="9"/>
  <c r="D11" i="9"/>
  <c r="E11" i="9"/>
  <c r="C12" i="9"/>
  <c r="D12" i="9"/>
  <c r="E12" i="9"/>
  <c r="C13" i="9"/>
  <c r="D13" i="9"/>
  <c r="E13" i="9"/>
  <c r="C14" i="9"/>
  <c r="D14" i="9"/>
  <c r="E14" i="9"/>
  <c r="C15" i="9"/>
  <c r="D15" i="9"/>
  <c r="E15" i="9"/>
  <c r="C16" i="9"/>
  <c r="D16" i="9"/>
  <c r="E16" i="9"/>
  <c r="C17" i="9"/>
  <c r="D4" i="9"/>
  <c r="E4" i="9"/>
  <c r="H24" i="9"/>
  <c r="C24" i="9"/>
  <c r="H4" i="9"/>
  <c r="C4" i="9"/>
</calcChain>
</file>

<file path=xl/sharedStrings.xml><?xml version="1.0" encoding="utf-8"?>
<sst xmlns="http://schemas.openxmlformats.org/spreadsheetml/2006/main" count="246" uniqueCount="16">
  <si>
    <t>1000/1000</t>
    <phoneticPr fontId="1"/>
  </si>
  <si>
    <t>a = 0.5</t>
    <phoneticPr fontId="1"/>
  </si>
  <si>
    <t>d</t>
    <phoneticPr fontId="1"/>
  </si>
  <si>
    <t>vehicle0</t>
  </si>
  <si>
    <t>vehicle1</t>
  </si>
  <si>
    <t>all</t>
  </si>
  <si>
    <t>a = 0.6</t>
  </si>
  <si>
    <t>a = 0.6</t>
    <phoneticPr fontId="1"/>
  </si>
  <si>
    <t>1000/1000</t>
  </si>
  <si>
    <t>a = 0.5</t>
  </si>
  <si>
    <t>d</t>
  </si>
  <si>
    <t>(30s以降)</t>
    <rPh sb="4" eb="6">
      <t>イコウ</t>
    </rPh>
    <phoneticPr fontId="1"/>
  </si>
  <si>
    <t>0.5メモ</t>
    <phoneticPr fontId="1"/>
  </si>
  <si>
    <t>all_speed</t>
    <phoneticPr fontId="1"/>
  </si>
  <si>
    <t>cav0_speed</t>
    <phoneticPr fontId="1"/>
  </si>
  <si>
    <t>cav1_speed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</si>
</sst>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average!$M$5</c:f>
              <c:strCache>
                <c:ptCount val="1"/>
                <c:pt idx="0">
                  <c:v>all_speed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average!$L$6:$L$18</c:f>
              <c:numCache>
                <c:formatCode>General</c:formatCode>
                <c:ptCount val="13"/>
                <c:pt idx="0">
                  <c:v>180</c:v>
                </c:pt>
                <c:pt idx="1">
                  <c:v>170</c:v>
                </c:pt>
                <c:pt idx="2">
                  <c:v>160</c:v>
                </c:pt>
                <c:pt idx="3">
                  <c:v>150</c:v>
                </c:pt>
                <c:pt idx="4">
                  <c:v>140</c:v>
                </c:pt>
                <c:pt idx="5">
                  <c:v>130</c:v>
                </c:pt>
                <c:pt idx="6">
                  <c:v>120</c:v>
                </c:pt>
                <c:pt idx="7">
                  <c:v>110</c:v>
                </c:pt>
                <c:pt idx="8">
                  <c:v>100</c:v>
                </c:pt>
                <c:pt idx="9">
                  <c:v>90</c:v>
                </c:pt>
                <c:pt idx="10">
                  <c:v>80</c:v>
                </c:pt>
                <c:pt idx="11">
                  <c:v>70</c:v>
                </c:pt>
                <c:pt idx="12">
                  <c:v>60</c:v>
                </c:pt>
              </c:numCache>
            </c:numRef>
          </c:xVal>
          <c:yVal>
            <c:numRef>
              <c:f>average!$M$6:$M$18</c:f>
              <c:numCache>
                <c:formatCode>General</c:formatCode>
                <c:ptCount val="13"/>
                <c:pt idx="0">
                  <c:v>15.1608</c:v>
                </c:pt>
                <c:pt idx="1">
                  <c:v>15.2019</c:v>
                </c:pt>
                <c:pt idx="2">
                  <c:v>14.939500000000001</c:v>
                </c:pt>
                <c:pt idx="3">
                  <c:v>14.9533</c:v>
                </c:pt>
                <c:pt idx="4">
                  <c:v>15.130699999999999</c:v>
                </c:pt>
                <c:pt idx="5">
                  <c:v>15.0579</c:v>
                </c:pt>
                <c:pt idx="6">
                  <c:v>15.311999999999999</c:v>
                </c:pt>
                <c:pt idx="7">
                  <c:v>15.3909</c:v>
                </c:pt>
                <c:pt idx="8">
                  <c:v>15.097300000000001</c:v>
                </c:pt>
                <c:pt idx="9">
                  <c:v>15.1389</c:v>
                </c:pt>
                <c:pt idx="10">
                  <c:v>15.260899999999999</c:v>
                </c:pt>
                <c:pt idx="11">
                  <c:v>14.956899999999999</c:v>
                </c:pt>
                <c:pt idx="12">
                  <c:v>15.007999999999999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9F-F34E-9B38-43AB93D7F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273216"/>
        <c:axId val="878216992"/>
      </c:scatterChart>
      <c:valAx>
        <c:axId val="878273216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後続考慮範囲</a:t>
                </a:r>
                <a:r>
                  <a:rPr lang="en-US" altLang="ja-JP"/>
                  <a:t>d 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8216992"/>
        <c:crosses val="autoZero"/>
        <c:crossBetween val="midCat"/>
      </c:valAx>
      <c:valAx>
        <c:axId val="878216992"/>
        <c:scaling>
          <c:orientation val="minMax"/>
          <c:min val="14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8273216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01159230096237"/>
          <c:y val="5.0925925925925923E-2"/>
          <c:w val="0.79343285214348203"/>
          <c:h val="0.77408136482939649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average!$Q$5</c:f>
              <c:strCache>
                <c:ptCount val="1"/>
                <c:pt idx="0">
                  <c:v>all_speed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average!$P$6:$P$18</c:f>
              <c:numCache>
                <c:formatCode>General</c:formatCode>
                <c:ptCount val="13"/>
                <c:pt idx="0">
                  <c:v>180</c:v>
                </c:pt>
                <c:pt idx="1">
                  <c:v>170</c:v>
                </c:pt>
                <c:pt idx="2">
                  <c:v>160</c:v>
                </c:pt>
                <c:pt idx="3">
                  <c:v>150</c:v>
                </c:pt>
                <c:pt idx="4">
                  <c:v>140</c:v>
                </c:pt>
                <c:pt idx="5">
                  <c:v>130</c:v>
                </c:pt>
                <c:pt idx="6">
                  <c:v>120</c:v>
                </c:pt>
                <c:pt idx="7">
                  <c:v>110</c:v>
                </c:pt>
                <c:pt idx="8">
                  <c:v>100</c:v>
                </c:pt>
                <c:pt idx="9">
                  <c:v>90</c:v>
                </c:pt>
                <c:pt idx="10">
                  <c:v>80</c:v>
                </c:pt>
                <c:pt idx="11">
                  <c:v>70</c:v>
                </c:pt>
                <c:pt idx="12">
                  <c:v>60</c:v>
                </c:pt>
              </c:numCache>
            </c:numRef>
          </c:xVal>
          <c:yVal>
            <c:numRef>
              <c:f>average!$Q$6:$Q$18</c:f>
              <c:numCache>
                <c:formatCode>General</c:formatCode>
                <c:ptCount val="13"/>
                <c:pt idx="0">
                  <c:v>15.1608</c:v>
                </c:pt>
                <c:pt idx="1">
                  <c:v>15.2019</c:v>
                </c:pt>
                <c:pt idx="2">
                  <c:v>14.939500000000001</c:v>
                </c:pt>
                <c:pt idx="3">
                  <c:v>14.9533</c:v>
                </c:pt>
                <c:pt idx="4">
                  <c:v>15.130699999999999</c:v>
                </c:pt>
                <c:pt idx="5">
                  <c:v>15.0579</c:v>
                </c:pt>
                <c:pt idx="6">
                  <c:v>15.311999999999999</c:v>
                </c:pt>
                <c:pt idx="7">
                  <c:v>15.3909</c:v>
                </c:pt>
                <c:pt idx="8">
                  <c:v>15.097300000000001</c:v>
                </c:pt>
                <c:pt idx="9">
                  <c:v>15.1389</c:v>
                </c:pt>
                <c:pt idx="10">
                  <c:v>15.260899999999999</c:v>
                </c:pt>
                <c:pt idx="11">
                  <c:v>14.956899999999999</c:v>
                </c:pt>
                <c:pt idx="12">
                  <c:v>15.007999999999999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C-6941-80B0-4C7B1BC15D08}"/>
            </c:ext>
          </c:extLst>
        </c:ser>
        <c:ser>
          <c:idx val="1"/>
          <c:order val="1"/>
          <c:tx>
            <c:strRef>
              <c:f>average!$R$5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average!$P$6:$P$18</c:f>
              <c:numCache>
                <c:formatCode>General</c:formatCode>
                <c:ptCount val="13"/>
                <c:pt idx="0">
                  <c:v>180</c:v>
                </c:pt>
                <c:pt idx="1">
                  <c:v>170</c:v>
                </c:pt>
                <c:pt idx="2">
                  <c:v>160</c:v>
                </c:pt>
                <c:pt idx="3">
                  <c:v>150</c:v>
                </c:pt>
                <c:pt idx="4">
                  <c:v>140</c:v>
                </c:pt>
                <c:pt idx="5">
                  <c:v>130</c:v>
                </c:pt>
                <c:pt idx="6">
                  <c:v>120</c:v>
                </c:pt>
                <c:pt idx="7">
                  <c:v>110</c:v>
                </c:pt>
                <c:pt idx="8">
                  <c:v>100</c:v>
                </c:pt>
                <c:pt idx="9">
                  <c:v>90</c:v>
                </c:pt>
                <c:pt idx="10">
                  <c:v>80</c:v>
                </c:pt>
                <c:pt idx="11">
                  <c:v>70</c:v>
                </c:pt>
                <c:pt idx="12">
                  <c:v>60</c:v>
                </c:pt>
              </c:numCache>
            </c:numRef>
          </c:xVal>
          <c:yVal>
            <c:numRef>
              <c:f>average!$R$6:$R$18</c:f>
              <c:numCache>
                <c:formatCode>General</c:formatCode>
                <c:ptCount val="13"/>
                <c:pt idx="0">
                  <c:v>14.949400000000001</c:v>
                </c:pt>
                <c:pt idx="1">
                  <c:v>14.8818</c:v>
                </c:pt>
                <c:pt idx="2">
                  <c:v>14.867000000000001</c:v>
                </c:pt>
                <c:pt idx="3">
                  <c:v>14.7644</c:v>
                </c:pt>
                <c:pt idx="4">
                  <c:v>14.813499999999999</c:v>
                </c:pt>
                <c:pt idx="5">
                  <c:v>14.827299999999999</c:v>
                </c:pt>
                <c:pt idx="6">
                  <c:v>14.8988</c:v>
                </c:pt>
                <c:pt idx="7">
                  <c:v>14.9025</c:v>
                </c:pt>
                <c:pt idx="8">
                  <c:v>14.6938</c:v>
                </c:pt>
                <c:pt idx="9">
                  <c:v>14.7356</c:v>
                </c:pt>
                <c:pt idx="10">
                  <c:v>14.673400000000001</c:v>
                </c:pt>
                <c:pt idx="11">
                  <c:v>14.5502</c:v>
                </c:pt>
                <c:pt idx="12">
                  <c:v>14.618499999999999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6C-6941-80B0-4C7B1BC15D08}"/>
            </c:ext>
          </c:extLst>
        </c:ser>
        <c:ser>
          <c:idx val="2"/>
          <c:order val="2"/>
          <c:tx>
            <c:strRef>
              <c:f>average!$S$5</c:f>
              <c:strCache>
                <c:ptCount val="1"/>
                <c:pt idx="0">
                  <c:v>cav1_speed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average!$P$6:$P$18</c:f>
              <c:numCache>
                <c:formatCode>General</c:formatCode>
                <c:ptCount val="13"/>
                <c:pt idx="0">
                  <c:v>180</c:v>
                </c:pt>
                <c:pt idx="1">
                  <c:v>170</c:v>
                </c:pt>
                <c:pt idx="2">
                  <c:v>160</c:v>
                </c:pt>
                <c:pt idx="3">
                  <c:v>150</c:v>
                </c:pt>
                <c:pt idx="4">
                  <c:v>140</c:v>
                </c:pt>
                <c:pt idx="5">
                  <c:v>130</c:v>
                </c:pt>
                <c:pt idx="6">
                  <c:v>120</c:v>
                </c:pt>
                <c:pt idx="7">
                  <c:v>110</c:v>
                </c:pt>
                <c:pt idx="8">
                  <c:v>100</c:v>
                </c:pt>
                <c:pt idx="9">
                  <c:v>90</c:v>
                </c:pt>
                <c:pt idx="10">
                  <c:v>80</c:v>
                </c:pt>
                <c:pt idx="11">
                  <c:v>70</c:v>
                </c:pt>
                <c:pt idx="12">
                  <c:v>60</c:v>
                </c:pt>
              </c:numCache>
            </c:numRef>
          </c:xVal>
          <c:yVal>
            <c:numRef>
              <c:f>average!$S$6:$S$18</c:f>
              <c:numCache>
                <c:formatCode>General</c:formatCode>
                <c:ptCount val="13"/>
                <c:pt idx="0">
                  <c:v>15.378299999999999</c:v>
                </c:pt>
                <c:pt idx="1">
                  <c:v>15.548299999999999</c:v>
                </c:pt>
                <c:pt idx="2">
                  <c:v>15.0075</c:v>
                </c:pt>
                <c:pt idx="3">
                  <c:v>15.146000000000001</c:v>
                </c:pt>
                <c:pt idx="4">
                  <c:v>15.4573</c:v>
                </c:pt>
                <c:pt idx="5">
                  <c:v>15.2944</c:v>
                </c:pt>
                <c:pt idx="6">
                  <c:v>15.758100000000001</c:v>
                </c:pt>
                <c:pt idx="7">
                  <c:v>15.9156</c:v>
                </c:pt>
                <c:pt idx="8">
                  <c:v>15.533200000000001</c:v>
                </c:pt>
                <c:pt idx="9">
                  <c:v>15.557600000000001</c:v>
                </c:pt>
                <c:pt idx="10">
                  <c:v>15.8919</c:v>
                </c:pt>
                <c:pt idx="11">
                  <c:v>15.383599999999999</c:v>
                </c:pt>
                <c:pt idx="12">
                  <c:v>15.414400000000001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6C-6941-80B0-4C7B1BC15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069792"/>
        <c:axId val="1980236287"/>
      </c:scatterChart>
      <c:valAx>
        <c:axId val="1090069792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後続考慮範囲</a:t>
                </a:r>
                <a:r>
                  <a:rPr lang="en-US" altLang="ja-JP"/>
                  <a:t>d 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0236287"/>
        <c:crosses val="autoZero"/>
        <c:crossBetween val="midCat"/>
      </c:valAx>
      <c:valAx>
        <c:axId val="1980236287"/>
        <c:scaling>
          <c:orientation val="minMax"/>
          <c:max val="16"/>
          <c:min val="1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0069792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1804461942257214"/>
          <c:y val="0.61631889763779535"/>
          <c:w val="0.20557720909886268"/>
          <c:h val="0.189236657917760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average!$M$25</c:f>
              <c:strCache>
                <c:ptCount val="1"/>
                <c:pt idx="0">
                  <c:v>all_speed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average!$L$26:$L$38</c:f>
              <c:numCache>
                <c:formatCode>General</c:formatCode>
                <c:ptCount val="13"/>
                <c:pt idx="0">
                  <c:v>180</c:v>
                </c:pt>
                <c:pt idx="1">
                  <c:v>170</c:v>
                </c:pt>
                <c:pt idx="2">
                  <c:v>160</c:v>
                </c:pt>
                <c:pt idx="3">
                  <c:v>150</c:v>
                </c:pt>
                <c:pt idx="4">
                  <c:v>140</c:v>
                </c:pt>
                <c:pt idx="5">
                  <c:v>130</c:v>
                </c:pt>
                <c:pt idx="6">
                  <c:v>120</c:v>
                </c:pt>
                <c:pt idx="7">
                  <c:v>110</c:v>
                </c:pt>
                <c:pt idx="8">
                  <c:v>100</c:v>
                </c:pt>
                <c:pt idx="9">
                  <c:v>90</c:v>
                </c:pt>
                <c:pt idx="10">
                  <c:v>80</c:v>
                </c:pt>
                <c:pt idx="11">
                  <c:v>70</c:v>
                </c:pt>
                <c:pt idx="12">
                  <c:v>60</c:v>
                </c:pt>
              </c:numCache>
            </c:numRef>
          </c:xVal>
          <c:yVal>
            <c:numRef>
              <c:f>average!$M$26:$M$38</c:f>
              <c:numCache>
                <c:formatCode>General</c:formatCode>
                <c:ptCount val="13"/>
                <c:pt idx="0">
                  <c:v>14.510999999999999</c:v>
                </c:pt>
                <c:pt idx="1">
                  <c:v>14.5733</c:v>
                </c:pt>
                <c:pt idx="2">
                  <c:v>14.1831</c:v>
                </c:pt>
                <c:pt idx="3">
                  <c:v>14.186400000000001</c:v>
                </c:pt>
                <c:pt idx="4">
                  <c:v>14.470599999999999</c:v>
                </c:pt>
                <c:pt idx="5">
                  <c:v>14.3614</c:v>
                </c:pt>
                <c:pt idx="6">
                  <c:v>14.750299999999999</c:v>
                </c:pt>
                <c:pt idx="7">
                  <c:v>14.8691</c:v>
                </c:pt>
                <c:pt idx="8">
                  <c:v>14.389699999999999</c:v>
                </c:pt>
                <c:pt idx="9">
                  <c:v>14.472899999999999</c:v>
                </c:pt>
                <c:pt idx="10">
                  <c:v>14.658099999999999</c:v>
                </c:pt>
                <c:pt idx="11">
                  <c:v>14.1792</c:v>
                </c:pt>
                <c:pt idx="12">
                  <c:v>14.386699999999999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88-0245-A440-C36633FE9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088287"/>
        <c:axId val="346743856"/>
      </c:scatterChart>
      <c:valAx>
        <c:axId val="1848088287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後続考慮範囲</a:t>
                </a:r>
                <a:r>
                  <a:rPr lang="en-US" altLang="ja-JP"/>
                  <a:t>d 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743856"/>
        <c:crosses val="autoZero"/>
        <c:crossBetween val="midCat"/>
      </c:valAx>
      <c:valAx>
        <c:axId val="346743856"/>
        <c:scaling>
          <c:orientation val="minMax"/>
          <c:min val="13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aseline="0"/>
                  <a:t>平均速度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8088287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01159230096237"/>
          <c:y val="5.0925925925925923E-2"/>
          <c:w val="0.79343285214348203"/>
          <c:h val="0.7370443277923594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average!$Q$25</c:f>
              <c:strCache>
                <c:ptCount val="1"/>
                <c:pt idx="0">
                  <c:v>all_speed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average!$P$26:$P$38</c:f>
              <c:numCache>
                <c:formatCode>General</c:formatCode>
                <c:ptCount val="13"/>
                <c:pt idx="0">
                  <c:v>180</c:v>
                </c:pt>
                <c:pt idx="1">
                  <c:v>170</c:v>
                </c:pt>
                <c:pt idx="2">
                  <c:v>160</c:v>
                </c:pt>
                <c:pt idx="3">
                  <c:v>150</c:v>
                </c:pt>
                <c:pt idx="4">
                  <c:v>140</c:v>
                </c:pt>
                <c:pt idx="5">
                  <c:v>130</c:v>
                </c:pt>
                <c:pt idx="6">
                  <c:v>120</c:v>
                </c:pt>
                <c:pt idx="7">
                  <c:v>110</c:v>
                </c:pt>
                <c:pt idx="8">
                  <c:v>100</c:v>
                </c:pt>
                <c:pt idx="9">
                  <c:v>90</c:v>
                </c:pt>
                <c:pt idx="10">
                  <c:v>80</c:v>
                </c:pt>
                <c:pt idx="11">
                  <c:v>70</c:v>
                </c:pt>
                <c:pt idx="12">
                  <c:v>60</c:v>
                </c:pt>
              </c:numCache>
            </c:numRef>
          </c:xVal>
          <c:yVal>
            <c:numRef>
              <c:f>average!$Q$26:$Q$38</c:f>
              <c:numCache>
                <c:formatCode>General</c:formatCode>
                <c:ptCount val="13"/>
                <c:pt idx="0">
                  <c:v>14.510999999999999</c:v>
                </c:pt>
                <c:pt idx="1">
                  <c:v>14.5733</c:v>
                </c:pt>
                <c:pt idx="2">
                  <c:v>14.1831</c:v>
                </c:pt>
                <c:pt idx="3">
                  <c:v>14.186400000000001</c:v>
                </c:pt>
                <c:pt idx="4">
                  <c:v>14.470599999999999</c:v>
                </c:pt>
                <c:pt idx="5">
                  <c:v>14.3614</c:v>
                </c:pt>
                <c:pt idx="6">
                  <c:v>14.750299999999999</c:v>
                </c:pt>
                <c:pt idx="7">
                  <c:v>14.8691</c:v>
                </c:pt>
                <c:pt idx="8">
                  <c:v>14.389699999999999</c:v>
                </c:pt>
                <c:pt idx="9">
                  <c:v>14.472899999999999</c:v>
                </c:pt>
                <c:pt idx="10">
                  <c:v>14.658099999999999</c:v>
                </c:pt>
                <c:pt idx="11">
                  <c:v>14.1792</c:v>
                </c:pt>
                <c:pt idx="12">
                  <c:v>14.386699999999999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8-F547-B576-D9E1DB0DB9F0}"/>
            </c:ext>
          </c:extLst>
        </c:ser>
        <c:ser>
          <c:idx val="1"/>
          <c:order val="1"/>
          <c:tx>
            <c:strRef>
              <c:f>average!$R$25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average!$P$26:$P$38</c:f>
              <c:numCache>
                <c:formatCode>General</c:formatCode>
                <c:ptCount val="13"/>
                <c:pt idx="0">
                  <c:v>180</c:v>
                </c:pt>
                <c:pt idx="1">
                  <c:v>170</c:v>
                </c:pt>
                <c:pt idx="2">
                  <c:v>160</c:v>
                </c:pt>
                <c:pt idx="3">
                  <c:v>150</c:v>
                </c:pt>
                <c:pt idx="4">
                  <c:v>140</c:v>
                </c:pt>
                <c:pt idx="5">
                  <c:v>130</c:v>
                </c:pt>
                <c:pt idx="6">
                  <c:v>120</c:v>
                </c:pt>
                <c:pt idx="7">
                  <c:v>110</c:v>
                </c:pt>
                <c:pt idx="8">
                  <c:v>100</c:v>
                </c:pt>
                <c:pt idx="9">
                  <c:v>90</c:v>
                </c:pt>
                <c:pt idx="10">
                  <c:v>80</c:v>
                </c:pt>
                <c:pt idx="11">
                  <c:v>70</c:v>
                </c:pt>
                <c:pt idx="12">
                  <c:v>60</c:v>
                </c:pt>
              </c:numCache>
            </c:numRef>
          </c:xVal>
          <c:yVal>
            <c:numRef>
              <c:f>average!$R$26:$R$38</c:f>
              <c:numCache>
                <c:formatCode>General</c:formatCode>
                <c:ptCount val="13"/>
                <c:pt idx="0">
                  <c:v>14.133800000000001</c:v>
                </c:pt>
                <c:pt idx="1">
                  <c:v>14.027200000000001</c:v>
                </c:pt>
                <c:pt idx="2">
                  <c:v>14.000500000000001</c:v>
                </c:pt>
                <c:pt idx="3">
                  <c:v>13.834899999999999</c:v>
                </c:pt>
                <c:pt idx="4">
                  <c:v>13.9201</c:v>
                </c:pt>
                <c:pt idx="5">
                  <c:v>13.9434</c:v>
                </c:pt>
                <c:pt idx="6">
                  <c:v>14.0678</c:v>
                </c:pt>
                <c:pt idx="7">
                  <c:v>14.0733</c:v>
                </c:pt>
                <c:pt idx="8">
                  <c:v>13.7658</c:v>
                </c:pt>
                <c:pt idx="9">
                  <c:v>13.809200000000001</c:v>
                </c:pt>
                <c:pt idx="10">
                  <c:v>13.7082</c:v>
                </c:pt>
                <c:pt idx="11">
                  <c:v>13.5227</c:v>
                </c:pt>
                <c:pt idx="12">
                  <c:v>13.9405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E8-F547-B576-D9E1DB0DB9F0}"/>
            </c:ext>
          </c:extLst>
        </c:ser>
        <c:ser>
          <c:idx val="2"/>
          <c:order val="2"/>
          <c:tx>
            <c:strRef>
              <c:f>average!$S$25</c:f>
              <c:strCache>
                <c:ptCount val="1"/>
                <c:pt idx="0">
                  <c:v>cav1_speed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average!$P$26:$P$38</c:f>
              <c:numCache>
                <c:formatCode>General</c:formatCode>
                <c:ptCount val="13"/>
                <c:pt idx="0">
                  <c:v>180</c:v>
                </c:pt>
                <c:pt idx="1">
                  <c:v>170</c:v>
                </c:pt>
                <c:pt idx="2">
                  <c:v>160</c:v>
                </c:pt>
                <c:pt idx="3">
                  <c:v>150</c:v>
                </c:pt>
                <c:pt idx="4">
                  <c:v>140</c:v>
                </c:pt>
                <c:pt idx="5">
                  <c:v>130</c:v>
                </c:pt>
                <c:pt idx="6">
                  <c:v>120</c:v>
                </c:pt>
                <c:pt idx="7">
                  <c:v>110</c:v>
                </c:pt>
                <c:pt idx="8">
                  <c:v>100</c:v>
                </c:pt>
                <c:pt idx="9">
                  <c:v>90</c:v>
                </c:pt>
                <c:pt idx="10">
                  <c:v>80</c:v>
                </c:pt>
                <c:pt idx="11">
                  <c:v>70</c:v>
                </c:pt>
                <c:pt idx="12">
                  <c:v>60</c:v>
                </c:pt>
              </c:numCache>
            </c:numRef>
          </c:xVal>
          <c:yVal>
            <c:numRef>
              <c:f>average!$S$26:$S$38</c:f>
              <c:numCache>
                <c:formatCode>General</c:formatCode>
                <c:ptCount val="13"/>
                <c:pt idx="0">
                  <c:v>14.81</c:v>
                </c:pt>
                <c:pt idx="1">
                  <c:v>15.053599999999999</c:v>
                </c:pt>
                <c:pt idx="2">
                  <c:v>14.303000000000001</c:v>
                </c:pt>
                <c:pt idx="3">
                  <c:v>14.4635</c:v>
                </c:pt>
                <c:pt idx="4">
                  <c:v>14.956899999999999</c:v>
                </c:pt>
                <c:pt idx="5">
                  <c:v>14.710599999999999</c:v>
                </c:pt>
                <c:pt idx="6">
                  <c:v>15.381500000000001</c:v>
                </c:pt>
                <c:pt idx="7">
                  <c:v>15.6187</c:v>
                </c:pt>
                <c:pt idx="8">
                  <c:v>15.0473</c:v>
                </c:pt>
                <c:pt idx="9">
                  <c:v>15.105499999999999</c:v>
                </c:pt>
                <c:pt idx="10">
                  <c:v>15.5763</c:v>
                </c:pt>
                <c:pt idx="11">
                  <c:v>14.8156</c:v>
                </c:pt>
                <c:pt idx="12">
                  <c:v>14.8977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E8-F547-B576-D9E1DB0DB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728304"/>
        <c:axId val="1090265920"/>
      </c:scatterChart>
      <c:valAx>
        <c:axId val="1358728304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後続考慮範囲</a:t>
                </a:r>
                <a:r>
                  <a:rPr lang="en-US" altLang="ja-JP"/>
                  <a:t>d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0265920"/>
        <c:crosses val="autoZero"/>
        <c:crossBetween val="midCat"/>
      </c:valAx>
      <c:valAx>
        <c:axId val="10902659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8728304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0025524934383199"/>
          <c:y val="0.59317074948964721"/>
          <c:w val="0.23560061242344707"/>
          <c:h val="0.193866287547389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368300</xdr:colOff>
      <xdr:row>8</xdr:row>
      <xdr:rowOff>107950</xdr:rowOff>
    </xdr:from>
    <xdr:to>
      <xdr:col>14</xdr:col>
      <xdr:colOff>177800</xdr:colOff>
      <xdr:row>19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1A6FAD6-F3D3-FE4A-530E-69A7B38E6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692150</xdr:colOff>
      <xdr:row>9</xdr:row>
      <xdr:rowOff>95250</xdr:rowOff>
    </xdr:from>
    <xdr:to>
      <xdr:col>20</xdr:col>
      <xdr:colOff>501650</xdr:colOff>
      <xdr:row>20</xdr:row>
      <xdr:rowOff>44450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1B90813-72B2-DA87-4A62-990B17F72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273050</xdr:colOff>
      <xdr:row>25</xdr:row>
      <xdr:rowOff>69850</xdr:rowOff>
    </xdr:from>
    <xdr:to>
      <xdr:col>14</xdr:col>
      <xdr:colOff>82550</xdr:colOff>
      <xdr:row>36</xdr:row>
      <xdr:rowOff>19050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6D7E89B-B4E2-DFB5-1796-60633E416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882650</xdr:colOff>
      <xdr:row>22</xdr:row>
      <xdr:rowOff>31750</xdr:rowOff>
    </xdr:from>
    <xdr:to>
      <xdr:col>19</xdr:col>
      <xdr:colOff>692150</xdr:colOff>
      <xdr:row>32</xdr:row>
      <xdr:rowOff>234950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2443EF7-E4C8-700B-E8AC-8245B90B3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72CB-3D5A-9B41-A83D-D355657227B7}">
  <dimension ref="B2:J38"/>
  <sheetViews>
    <sheetView workbookViewId="0">
      <selection activeCell="E39" sqref="E39"/>
    </sheetView>
  </sheetViews>
  <sheetFormatPr baseColWidth="10" defaultRowHeight="20"/>
  <sheetData>
    <row r="2" spans="2:10">
      <c r="C2" s="1" t="s">
        <v>0</v>
      </c>
      <c r="D2" s="1" t="s">
        <v>1</v>
      </c>
      <c r="E2" s="1"/>
      <c r="H2" s="1" t="s">
        <v>0</v>
      </c>
      <c r="I2" s="1" t="s">
        <v>7</v>
      </c>
      <c r="J2" s="1"/>
    </row>
    <row r="3" spans="2:10">
      <c r="B3" t="s">
        <v>2</v>
      </c>
      <c r="C3" s="1" t="s">
        <v>3</v>
      </c>
      <c r="D3" s="1" t="s">
        <v>4</v>
      </c>
      <c r="E3" s="1" t="s">
        <v>5</v>
      </c>
      <c r="G3" t="s">
        <v>2</v>
      </c>
      <c r="H3" s="1" t="s">
        <v>3</v>
      </c>
      <c r="I3" s="1" t="s">
        <v>4</v>
      </c>
      <c r="J3" s="1" t="s">
        <v>5</v>
      </c>
    </row>
    <row r="4" spans="2:10">
      <c r="B4">
        <v>200</v>
      </c>
      <c r="G4">
        <v>200</v>
      </c>
    </row>
    <row r="5" spans="2:10">
      <c r="B5">
        <v>190</v>
      </c>
      <c r="G5">
        <v>190</v>
      </c>
    </row>
    <row r="6" spans="2:10">
      <c r="B6">
        <v>180</v>
      </c>
      <c r="C6">
        <v>14.4062</v>
      </c>
      <c r="D6">
        <v>13.6768</v>
      </c>
      <c r="E6">
        <v>14.0458</v>
      </c>
      <c r="G6">
        <v>180</v>
      </c>
    </row>
    <row r="7" spans="2:10">
      <c r="B7">
        <v>170</v>
      </c>
      <c r="C7">
        <v>14.4062</v>
      </c>
      <c r="D7">
        <v>13.6768</v>
      </c>
      <c r="E7">
        <v>14.0458</v>
      </c>
      <c r="G7">
        <v>170</v>
      </c>
    </row>
    <row r="8" spans="2:10">
      <c r="B8">
        <v>160</v>
      </c>
      <c r="C8">
        <v>14.4062</v>
      </c>
      <c r="D8">
        <v>13.6768</v>
      </c>
      <c r="E8">
        <v>14.0458</v>
      </c>
      <c r="G8">
        <v>160</v>
      </c>
    </row>
    <row r="9" spans="2:10">
      <c r="B9">
        <v>150</v>
      </c>
      <c r="C9">
        <v>14.3002</v>
      </c>
      <c r="D9">
        <v>13.998699999999999</v>
      </c>
      <c r="E9">
        <v>14.152100000000001</v>
      </c>
      <c r="G9">
        <v>150</v>
      </c>
    </row>
    <row r="10" spans="2:10">
      <c r="B10">
        <v>140</v>
      </c>
      <c r="C10">
        <v>14.2668</v>
      </c>
      <c r="D10">
        <v>14.979100000000001</v>
      </c>
      <c r="E10">
        <v>14.6145</v>
      </c>
      <c r="G10">
        <v>140</v>
      </c>
    </row>
    <row r="11" spans="2:10">
      <c r="B11">
        <v>130</v>
      </c>
      <c r="C11">
        <v>14.2485</v>
      </c>
      <c r="D11">
        <v>14.189399999999999</v>
      </c>
      <c r="E11">
        <v>14.2195</v>
      </c>
      <c r="G11">
        <v>130</v>
      </c>
    </row>
    <row r="12" spans="2:10">
      <c r="B12">
        <v>120</v>
      </c>
      <c r="C12">
        <v>14.2485</v>
      </c>
      <c r="D12">
        <v>14.189399999999999</v>
      </c>
      <c r="E12">
        <v>14.2195</v>
      </c>
      <c r="G12">
        <v>120</v>
      </c>
    </row>
    <row r="13" spans="2:10">
      <c r="B13">
        <v>110</v>
      </c>
      <c r="C13">
        <v>14.2668</v>
      </c>
      <c r="D13">
        <v>14.979100000000001</v>
      </c>
      <c r="E13">
        <v>14.6145</v>
      </c>
      <c r="G13">
        <v>110</v>
      </c>
    </row>
    <row r="14" spans="2:10">
      <c r="B14">
        <v>100</v>
      </c>
      <c r="C14">
        <v>13.993399999999999</v>
      </c>
      <c r="D14">
        <v>14.8691</v>
      </c>
      <c r="E14">
        <v>14.416700000000001</v>
      </c>
      <c r="G14">
        <v>100</v>
      </c>
    </row>
    <row r="15" spans="2:10">
      <c r="B15">
        <v>90</v>
      </c>
      <c r="C15">
        <v>14.3057</v>
      </c>
      <c r="D15">
        <v>15.131600000000001</v>
      </c>
      <c r="E15">
        <v>14.7087</v>
      </c>
      <c r="G15">
        <v>90</v>
      </c>
    </row>
    <row r="16" spans="2:10">
      <c r="B16">
        <v>80</v>
      </c>
      <c r="C16">
        <v>14.3057</v>
      </c>
      <c r="D16">
        <v>15.131600000000001</v>
      </c>
      <c r="E16">
        <v>14.7087</v>
      </c>
      <c r="G16">
        <v>80</v>
      </c>
    </row>
    <row r="17" spans="2:10">
      <c r="B17">
        <v>70</v>
      </c>
      <c r="C17">
        <v>13.588699999999999</v>
      </c>
      <c r="D17">
        <v>14.9785</v>
      </c>
      <c r="E17">
        <v>14.2531</v>
      </c>
      <c r="G17">
        <v>70</v>
      </c>
    </row>
    <row r="18" spans="2:10">
      <c r="B18">
        <v>60</v>
      </c>
      <c r="C18">
        <v>13.7882</v>
      </c>
      <c r="D18">
        <v>15.367800000000001</v>
      </c>
      <c r="E18">
        <v>14.5434</v>
      </c>
      <c r="G18">
        <v>60</v>
      </c>
    </row>
    <row r="22" spans="2:10">
      <c r="C22" s="1" t="s">
        <v>0</v>
      </c>
      <c r="D22" s="1" t="s">
        <v>1</v>
      </c>
      <c r="E22" s="1" t="s">
        <v>11</v>
      </c>
      <c r="H22" s="1" t="s">
        <v>0</v>
      </c>
      <c r="I22" s="1" t="s">
        <v>7</v>
      </c>
      <c r="J22" s="1" t="s">
        <v>11</v>
      </c>
    </row>
    <row r="23" spans="2:10">
      <c r="B23" t="s">
        <v>2</v>
      </c>
      <c r="C23" s="1" t="s">
        <v>3</v>
      </c>
      <c r="D23" s="1" t="s">
        <v>4</v>
      </c>
      <c r="E23" s="1" t="s">
        <v>5</v>
      </c>
      <c r="G23" t="s">
        <v>2</v>
      </c>
      <c r="H23" s="1" t="s">
        <v>3</v>
      </c>
      <c r="I23" s="1" t="s">
        <v>4</v>
      </c>
      <c r="J23" s="1" t="s">
        <v>5</v>
      </c>
    </row>
    <row r="24" spans="2:10">
      <c r="B24">
        <v>200</v>
      </c>
      <c r="G24">
        <v>200</v>
      </c>
    </row>
    <row r="25" spans="2:10">
      <c r="B25">
        <v>190</v>
      </c>
      <c r="G25">
        <v>190</v>
      </c>
    </row>
    <row r="26" spans="2:10">
      <c r="B26">
        <v>180</v>
      </c>
      <c r="C26">
        <v>13.3446</v>
      </c>
      <c r="D26">
        <v>12.309900000000001</v>
      </c>
      <c r="E26">
        <v>12.8294</v>
      </c>
      <c r="G26">
        <v>180</v>
      </c>
    </row>
    <row r="27" spans="2:10">
      <c r="B27">
        <v>170</v>
      </c>
      <c r="C27">
        <v>13.3446</v>
      </c>
      <c r="D27">
        <v>12.309900000000001</v>
      </c>
      <c r="E27">
        <v>12.8294</v>
      </c>
      <c r="G27">
        <v>170</v>
      </c>
    </row>
    <row r="28" spans="2:10">
      <c r="B28">
        <v>160</v>
      </c>
      <c r="C28">
        <v>13.3446</v>
      </c>
      <c r="D28">
        <v>12.309900000000001</v>
      </c>
      <c r="E28">
        <v>12.8294</v>
      </c>
      <c r="G28">
        <v>160</v>
      </c>
    </row>
    <row r="29" spans="2:10">
      <c r="B29">
        <v>150</v>
      </c>
      <c r="C29">
        <v>13.1921</v>
      </c>
      <c r="D29">
        <v>12.7864</v>
      </c>
      <c r="E29">
        <v>12.992000000000001</v>
      </c>
      <c r="G29">
        <v>150</v>
      </c>
    </row>
    <row r="30" spans="2:10">
      <c r="B30">
        <v>140</v>
      </c>
      <c r="C30">
        <v>13.1404</v>
      </c>
      <c r="D30">
        <v>14.263400000000001</v>
      </c>
      <c r="E30">
        <v>13.689500000000001</v>
      </c>
      <c r="G30">
        <v>140</v>
      </c>
    </row>
    <row r="31" spans="2:10">
      <c r="B31">
        <v>130</v>
      </c>
      <c r="C31">
        <v>13.113</v>
      </c>
      <c r="D31">
        <v>13.074</v>
      </c>
      <c r="E31">
        <v>13.0938</v>
      </c>
      <c r="G31">
        <v>130</v>
      </c>
    </row>
    <row r="32" spans="2:10">
      <c r="B32">
        <v>120</v>
      </c>
      <c r="C32">
        <v>13.113</v>
      </c>
      <c r="D32">
        <v>13.074</v>
      </c>
      <c r="E32">
        <v>13.0938</v>
      </c>
      <c r="G32">
        <v>120</v>
      </c>
    </row>
    <row r="33" spans="2:7">
      <c r="B33">
        <v>110</v>
      </c>
      <c r="C33">
        <v>13.1404</v>
      </c>
      <c r="D33">
        <v>14.263400000000001</v>
      </c>
      <c r="E33">
        <v>13.689500000000001</v>
      </c>
      <c r="G33">
        <v>110</v>
      </c>
    </row>
    <row r="34" spans="2:7">
      <c r="B34">
        <v>100</v>
      </c>
      <c r="C34">
        <v>12.7371</v>
      </c>
      <c r="D34">
        <v>14.0817</v>
      </c>
      <c r="E34">
        <v>13.384499999999999</v>
      </c>
      <c r="G34">
        <v>100</v>
      </c>
    </row>
    <row r="35" spans="2:7">
      <c r="B35">
        <v>90</v>
      </c>
      <c r="C35">
        <v>13.200100000000001</v>
      </c>
      <c r="D35">
        <v>14.4953</v>
      </c>
      <c r="E35">
        <v>13.832800000000001</v>
      </c>
      <c r="G35">
        <v>90</v>
      </c>
    </row>
    <row r="36" spans="2:7">
      <c r="B36">
        <v>80</v>
      </c>
      <c r="C36">
        <v>13.200100000000001</v>
      </c>
      <c r="D36">
        <v>14.4953</v>
      </c>
      <c r="E36">
        <v>13.832800000000001</v>
      </c>
      <c r="G36">
        <v>80</v>
      </c>
    </row>
    <row r="37" spans="2:7">
      <c r="B37">
        <v>70</v>
      </c>
      <c r="C37">
        <v>12.143599999999999</v>
      </c>
      <c r="D37">
        <v>14.238300000000001</v>
      </c>
      <c r="E37">
        <v>13.135300000000001</v>
      </c>
      <c r="G37">
        <v>70</v>
      </c>
    </row>
    <row r="38" spans="2:7">
      <c r="B38">
        <v>60</v>
      </c>
      <c r="C38">
        <v>12.446400000000001</v>
      </c>
      <c r="D38">
        <v>14.840299999999999</v>
      </c>
      <c r="E38">
        <v>13.579700000000001</v>
      </c>
      <c r="G38">
        <v>60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599E-420F-8043-97BE-F76E1C841FED}">
  <dimension ref="B2:J38"/>
  <sheetViews>
    <sheetView workbookViewId="0">
      <selection activeCell="N21" sqref="N21"/>
    </sheetView>
  </sheetViews>
  <sheetFormatPr baseColWidth="10" defaultRowHeight="20"/>
  <sheetData>
    <row r="2" spans="2:10">
      <c r="B2" s="1"/>
      <c r="C2" s="1" t="s">
        <v>8</v>
      </c>
      <c r="D2" s="1" t="s">
        <v>9</v>
      </c>
      <c r="E2" s="1"/>
      <c r="F2" s="1"/>
      <c r="G2" s="1"/>
      <c r="H2" s="1" t="s">
        <v>8</v>
      </c>
      <c r="I2" s="1" t="s">
        <v>6</v>
      </c>
      <c r="J2" s="1"/>
    </row>
    <row r="3" spans="2:10">
      <c r="B3" s="1" t="s">
        <v>10</v>
      </c>
      <c r="C3" s="1" t="s">
        <v>3</v>
      </c>
      <c r="D3" s="1" t="s">
        <v>4</v>
      </c>
      <c r="E3" s="1" t="s">
        <v>5</v>
      </c>
      <c r="F3" s="1"/>
      <c r="G3" s="1" t="s">
        <v>10</v>
      </c>
      <c r="H3" s="1" t="s">
        <v>3</v>
      </c>
      <c r="I3" s="1" t="s">
        <v>4</v>
      </c>
      <c r="J3" s="1" t="s">
        <v>5</v>
      </c>
    </row>
    <row r="4" spans="2:10">
      <c r="B4" s="1">
        <v>200</v>
      </c>
      <c r="C4" s="1"/>
      <c r="D4" s="1"/>
      <c r="E4" s="1"/>
      <c r="F4" s="1"/>
      <c r="G4" s="1">
        <v>200</v>
      </c>
      <c r="H4" s="1"/>
      <c r="I4" s="1"/>
      <c r="J4" s="1"/>
    </row>
    <row r="5" spans="2:10">
      <c r="B5" s="1">
        <v>190</v>
      </c>
      <c r="C5" s="1"/>
      <c r="D5" s="1"/>
      <c r="E5" s="1"/>
      <c r="F5" s="1"/>
      <c r="G5" s="1">
        <v>190</v>
      </c>
      <c r="H5" s="1"/>
      <c r="I5" s="1"/>
      <c r="J5" s="1"/>
    </row>
    <row r="6" spans="2:10">
      <c r="B6" s="1">
        <v>180</v>
      </c>
      <c r="C6" s="1">
        <v>14.247400000000001</v>
      </c>
      <c r="D6" s="1">
        <v>16.3505</v>
      </c>
      <c r="E6" s="1">
        <v>15.276</v>
      </c>
      <c r="F6" s="1"/>
      <c r="G6" s="1">
        <v>180</v>
      </c>
      <c r="H6" s="1"/>
      <c r="I6" s="1"/>
      <c r="J6" s="1"/>
    </row>
    <row r="7" spans="2:10">
      <c r="B7" s="1">
        <v>170</v>
      </c>
      <c r="C7" s="1">
        <v>14.3178</v>
      </c>
      <c r="D7" s="1">
        <v>16.227399999999999</v>
      </c>
      <c r="E7" s="1">
        <v>15.251799999999999</v>
      </c>
      <c r="F7" s="1"/>
      <c r="G7" s="1">
        <v>170</v>
      </c>
      <c r="H7" s="1"/>
      <c r="I7" s="1"/>
      <c r="J7" s="1"/>
    </row>
    <row r="8" spans="2:10">
      <c r="B8" s="1">
        <v>160</v>
      </c>
      <c r="C8" s="1">
        <v>14.241899999999999</v>
      </c>
      <c r="D8" s="1">
        <v>16.289200000000001</v>
      </c>
      <c r="E8" s="1">
        <v>15.2433</v>
      </c>
      <c r="F8" s="1"/>
      <c r="G8" s="1">
        <v>160</v>
      </c>
      <c r="H8" s="1"/>
      <c r="I8" s="1"/>
      <c r="J8" s="1"/>
    </row>
    <row r="9" spans="2:10">
      <c r="B9" s="1">
        <v>150</v>
      </c>
      <c r="C9" s="1">
        <v>14.3041</v>
      </c>
      <c r="D9" s="1">
        <v>16.382899999999999</v>
      </c>
      <c r="E9" s="1">
        <v>15.3209</v>
      </c>
      <c r="F9" s="1"/>
      <c r="G9" s="1">
        <v>150</v>
      </c>
      <c r="H9" s="1"/>
      <c r="I9" s="1"/>
      <c r="J9" s="1"/>
    </row>
    <row r="10" spans="2:10">
      <c r="B10" s="1">
        <v>140</v>
      </c>
      <c r="C10" s="1">
        <v>14.3041</v>
      </c>
      <c r="D10" s="1">
        <v>16.382899999999999</v>
      </c>
      <c r="E10" s="1">
        <v>15.3209</v>
      </c>
      <c r="F10" s="1"/>
      <c r="G10" s="1">
        <v>140</v>
      </c>
      <c r="H10" s="1"/>
      <c r="I10" s="1"/>
      <c r="J10" s="1"/>
    </row>
    <row r="11" spans="2:10">
      <c r="B11" s="1">
        <v>130</v>
      </c>
      <c r="C11" s="1">
        <v>14.321</v>
      </c>
      <c r="D11" s="1">
        <v>16.386800000000001</v>
      </c>
      <c r="E11" s="1">
        <v>15.331300000000001</v>
      </c>
      <c r="F11" s="1"/>
      <c r="G11" s="1">
        <v>130</v>
      </c>
      <c r="H11" s="1"/>
      <c r="I11" s="1"/>
      <c r="J11" s="1"/>
    </row>
    <row r="12" spans="2:10">
      <c r="B12" s="1">
        <v>120</v>
      </c>
      <c r="C12" s="1">
        <v>14.459</v>
      </c>
      <c r="D12" s="1">
        <v>16.3002</v>
      </c>
      <c r="E12" s="1">
        <v>15.3596</v>
      </c>
      <c r="F12" s="1"/>
      <c r="G12" s="1">
        <v>120</v>
      </c>
      <c r="H12" s="1"/>
      <c r="I12" s="1"/>
      <c r="J12" s="1"/>
    </row>
    <row r="13" spans="2:10">
      <c r="B13" s="1">
        <v>110</v>
      </c>
      <c r="C13" s="1">
        <v>14.459</v>
      </c>
      <c r="D13" s="1">
        <v>16.3002</v>
      </c>
      <c r="E13" s="1">
        <v>15.3596</v>
      </c>
      <c r="F13" s="1"/>
      <c r="G13" s="1">
        <v>110</v>
      </c>
      <c r="H13" s="1"/>
      <c r="I13" s="1"/>
      <c r="J13" s="1"/>
    </row>
    <row r="14" spans="2:10">
      <c r="B14" s="1">
        <v>100</v>
      </c>
      <c r="C14" s="1">
        <v>15.2865</v>
      </c>
      <c r="D14" s="1">
        <v>15.5626</v>
      </c>
      <c r="E14" s="1">
        <v>15.4277</v>
      </c>
      <c r="F14" s="1"/>
      <c r="G14" s="1">
        <v>100</v>
      </c>
      <c r="H14" s="1"/>
      <c r="I14" s="1"/>
      <c r="J14" s="1"/>
    </row>
    <row r="15" spans="2:10">
      <c r="B15" s="1">
        <v>90</v>
      </c>
      <c r="C15" s="1">
        <v>14.391500000000001</v>
      </c>
      <c r="D15" s="1">
        <v>16.3719</v>
      </c>
      <c r="E15" s="1">
        <v>15.360200000000001</v>
      </c>
      <c r="F15" s="1"/>
      <c r="G15" s="1">
        <v>90</v>
      </c>
      <c r="H15" s="1"/>
      <c r="I15" s="1"/>
      <c r="J15" s="1"/>
    </row>
    <row r="16" spans="2:10">
      <c r="B16" s="1">
        <v>80</v>
      </c>
      <c r="C16" s="1">
        <v>14.3909</v>
      </c>
      <c r="D16" s="1">
        <v>16.3735</v>
      </c>
      <c r="E16" s="1">
        <v>15.3606</v>
      </c>
      <c r="F16" s="1"/>
      <c r="G16" s="1">
        <v>80</v>
      </c>
      <c r="H16" s="1"/>
      <c r="I16" s="1"/>
      <c r="J16" s="1"/>
    </row>
    <row r="17" spans="2:10">
      <c r="B17" s="1">
        <v>70</v>
      </c>
      <c r="C17" s="1">
        <v>14.3675</v>
      </c>
      <c r="D17" s="1">
        <v>16.303999999999998</v>
      </c>
      <c r="E17" s="1">
        <v>15.3147</v>
      </c>
      <c r="F17" s="1"/>
      <c r="G17" s="1">
        <v>70</v>
      </c>
      <c r="H17" s="1"/>
      <c r="I17" s="1"/>
      <c r="J17" s="1"/>
    </row>
    <row r="18" spans="2:10">
      <c r="B18" s="1">
        <v>60</v>
      </c>
      <c r="C18">
        <v>14.394500000000001</v>
      </c>
      <c r="D18">
        <v>16.274000000000001</v>
      </c>
      <c r="E18">
        <v>15.313800000000001</v>
      </c>
      <c r="F18" s="1"/>
      <c r="G18" s="1">
        <v>60</v>
      </c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2" spans="2:10">
      <c r="C22" s="1" t="s">
        <v>0</v>
      </c>
      <c r="D22" s="1" t="s">
        <v>1</v>
      </c>
      <c r="E22" s="1" t="s">
        <v>11</v>
      </c>
      <c r="H22" s="1" t="s">
        <v>0</v>
      </c>
      <c r="I22" s="1" t="s">
        <v>7</v>
      </c>
      <c r="J22" s="1" t="s">
        <v>11</v>
      </c>
    </row>
    <row r="23" spans="2:10">
      <c r="B23" t="s">
        <v>2</v>
      </c>
      <c r="C23" s="1" t="s">
        <v>3</v>
      </c>
      <c r="D23" s="1" t="s">
        <v>4</v>
      </c>
      <c r="E23" s="1" t="s">
        <v>5</v>
      </c>
      <c r="G23" t="s">
        <v>2</v>
      </c>
      <c r="H23" s="1" t="s">
        <v>3</v>
      </c>
      <c r="I23" s="1" t="s">
        <v>4</v>
      </c>
      <c r="J23" s="1" t="s">
        <v>5</v>
      </c>
    </row>
    <row r="24" spans="2:10">
      <c r="B24">
        <v>200</v>
      </c>
      <c r="G24">
        <v>200</v>
      </c>
    </row>
    <row r="25" spans="2:10">
      <c r="B25">
        <v>190</v>
      </c>
      <c r="G25">
        <v>190</v>
      </c>
    </row>
    <row r="26" spans="2:10">
      <c r="B26">
        <v>180</v>
      </c>
      <c r="C26">
        <v>12.582800000000001</v>
      </c>
      <c r="D26">
        <v>16.237300000000001</v>
      </c>
      <c r="E26">
        <v>14.609500000000001</v>
      </c>
      <c r="G26">
        <v>180</v>
      </c>
    </row>
    <row r="27" spans="2:10">
      <c r="B27">
        <v>170</v>
      </c>
      <c r="C27">
        <v>12.706899999999999</v>
      </c>
      <c r="D27">
        <v>16.070699999999999</v>
      </c>
      <c r="E27">
        <v>14.5723</v>
      </c>
      <c r="G27">
        <v>170</v>
      </c>
    </row>
    <row r="28" spans="2:10">
      <c r="B28">
        <v>160</v>
      </c>
      <c r="C28">
        <v>12.5733</v>
      </c>
      <c r="D28">
        <v>16.154399999999999</v>
      </c>
      <c r="E28">
        <v>14.559200000000001</v>
      </c>
      <c r="G28">
        <v>160</v>
      </c>
    </row>
    <row r="29" spans="2:10">
      <c r="B29">
        <v>150</v>
      </c>
      <c r="C29">
        <v>12.6828</v>
      </c>
      <c r="D29">
        <v>16.281300000000002</v>
      </c>
      <c r="E29">
        <v>14.6784</v>
      </c>
      <c r="G29">
        <v>150</v>
      </c>
    </row>
    <row r="30" spans="2:10">
      <c r="B30">
        <v>140</v>
      </c>
      <c r="C30">
        <v>12.6828</v>
      </c>
      <c r="D30">
        <v>16.281300000000002</v>
      </c>
      <c r="E30">
        <v>14.6784</v>
      </c>
      <c r="G30">
        <v>140</v>
      </c>
    </row>
    <row r="31" spans="2:10">
      <c r="B31">
        <v>130</v>
      </c>
      <c r="C31">
        <v>12.7126</v>
      </c>
      <c r="D31">
        <v>16.2864</v>
      </c>
      <c r="E31">
        <v>14.694100000000001</v>
      </c>
      <c r="G31">
        <v>130</v>
      </c>
    </row>
    <row r="32" spans="2:10">
      <c r="B32">
        <v>120</v>
      </c>
      <c r="C32">
        <v>12.9556</v>
      </c>
      <c r="D32">
        <v>16.1693</v>
      </c>
      <c r="E32">
        <v>14.7377</v>
      </c>
      <c r="G32">
        <v>120</v>
      </c>
    </row>
    <row r="33" spans="2:7">
      <c r="B33">
        <v>110</v>
      </c>
      <c r="C33">
        <v>12.9556</v>
      </c>
      <c r="D33">
        <v>16.1693</v>
      </c>
      <c r="E33">
        <v>14.7377</v>
      </c>
      <c r="G33">
        <v>110</v>
      </c>
    </row>
    <row r="34" spans="2:7">
      <c r="B34">
        <v>100</v>
      </c>
      <c r="C34">
        <v>14.341100000000001</v>
      </c>
      <c r="D34">
        <v>15.1936</v>
      </c>
      <c r="E34">
        <v>14.8429</v>
      </c>
      <c r="G34">
        <v>100</v>
      </c>
    </row>
    <row r="35" spans="2:7">
      <c r="B35">
        <v>90</v>
      </c>
      <c r="C35">
        <v>12.836600000000001</v>
      </c>
      <c r="D35">
        <v>16.266300000000001</v>
      </c>
      <c r="E35">
        <v>14.7386</v>
      </c>
      <c r="G35">
        <v>90</v>
      </c>
    </row>
    <row r="36" spans="2:7">
      <c r="B36">
        <v>80</v>
      </c>
      <c r="C36">
        <v>12.835599999999999</v>
      </c>
      <c r="D36">
        <v>16.2685</v>
      </c>
      <c r="E36">
        <v>14.7393</v>
      </c>
      <c r="G36">
        <v>80</v>
      </c>
    </row>
    <row r="37" spans="2:7">
      <c r="B37">
        <v>70</v>
      </c>
      <c r="C37">
        <v>12.7944</v>
      </c>
      <c r="D37">
        <v>16.174499999999998</v>
      </c>
      <c r="E37">
        <v>14.668900000000001</v>
      </c>
      <c r="G37">
        <v>70</v>
      </c>
    </row>
    <row r="38" spans="2:7">
      <c r="B38">
        <v>60</v>
      </c>
      <c r="C38">
        <v>12.841900000000001</v>
      </c>
      <c r="D38">
        <v>16.133700000000001</v>
      </c>
      <c r="E38">
        <v>14.667400000000001</v>
      </c>
      <c r="G38">
        <v>60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5BB3-88C7-0649-85DD-1C32001BA9C0}">
  <dimension ref="B2:J38"/>
  <sheetViews>
    <sheetView workbookViewId="0">
      <selection activeCell="J27" sqref="J27"/>
    </sheetView>
  </sheetViews>
  <sheetFormatPr baseColWidth="10" defaultRowHeight="20"/>
  <sheetData>
    <row r="2" spans="2:10">
      <c r="B2" s="1"/>
      <c r="C2" s="1" t="s">
        <v>8</v>
      </c>
      <c r="D2" s="1" t="s">
        <v>9</v>
      </c>
      <c r="E2" s="1"/>
      <c r="F2" s="1"/>
      <c r="G2" s="1"/>
      <c r="H2" s="1" t="s">
        <v>8</v>
      </c>
      <c r="I2" s="1" t="s">
        <v>6</v>
      </c>
      <c r="J2" s="1"/>
    </row>
    <row r="3" spans="2:10">
      <c r="B3" s="1" t="s">
        <v>10</v>
      </c>
      <c r="C3" s="1" t="s">
        <v>3</v>
      </c>
      <c r="D3" s="1" t="s">
        <v>4</v>
      </c>
      <c r="E3" s="1" t="s">
        <v>5</v>
      </c>
      <c r="F3" s="1"/>
      <c r="G3" s="1" t="s">
        <v>10</v>
      </c>
      <c r="H3" s="1" t="s">
        <v>3</v>
      </c>
      <c r="I3" s="1" t="s">
        <v>4</v>
      </c>
      <c r="J3" s="1" t="s">
        <v>5</v>
      </c>
    </row>
    <row r="4" spans="2:10">
      <c r="B4" s="1">
        <v>200</v>
      </c>
      <c r="C4" s="1"/>
      <c r="D4" s="1"/>
      <c r="E4" s="1"/>
      <c r="F4" s="1"/>
      <c r="G4" s="1">
        <v>200</v>
      </c>
      <c r="H4" s="1"/>
      <c r="I4" s="1"/>
      <c r="J4" s="1"/>
    </row>
    <row r="5" spans="2:10">
      <c r="B5" s="1">
        <v>190</v>
      </c>
      <c r="C5" s="1"/>
      <c r="D5" s="1"/>
      <c r="E5" s="1"/>
      <c r="F5" s="1"/>
      <c r="G5" s="1">
        <v>190</v>
      </c>
      <c r="H5" s="1"/>
      <c r="I5" s="1"/>
      <c r="J5" s="1"/>
    </row>
    <row r="6" spans="2:10">
      <c r="B6" s="1">
        <v>180</v>
      </c>
      <c r="C6" s="1">
        <v>15.107100000000001</v>
      </c>
      <c r="D6" s="1">
        <v>15.6166</v>
      </c>
      <c r="E6" s="1">
        <v>15.3527</v>
      </c>
      <c r="F6" s="1"/>
      <c r="G6" s="1">
        <v>180</v>
      </c>
      <c r="H6" s="1"/>
      <c r="I6" s="1"/>
      <c r="J6" s="1"/>
    </row>
    <row r="7" spans="2:10">
      <c r="B7" s="1">
        <v>170</v>
      </c>
      <c r="C7" s="1">
        <v>15.107100000000001</v>
      </c>
      <c r="D7" s="1">
        <v>15.6166</v>
      </c>
      <c r="E7" s="1">
        <v>15.3527</v>
      </c>
      <c r="F7" s="1"/>
      <c r="G7" s="1">
        <v>170</v>
      </c>
      <c r="H7" s="1"/>
      <c r="I7" s="1"/>
      <c r="J7" s="1"/>
    </row>
    <row r="8" spans="2:10">
      <c r="B8" s="1">
        <v>160</v>
      </c>
      <c r="C8" s="1">
        <v>15.109299999999999</v>
      </c>
      <c r="D8" s="1">
        <v>15.582000000000001</v>
      </c>
      <c r="E8" s="1">
        <v>15.337199999999999</v>
      </c>
      <c r="F8" s="1"/>
      <c r="G8" s="1">
        <v>160</v>
      </c>
      <c r="H8" s="1"/>
      <c r="I8" s="1"/>
      <c r="J8" s="1"/>
    </row>
    <row r="9" spans="2:10">
      <c r="B9" s="1">
        <v>150</v>
      </c>
      <c r="C9" s="1">
        <v>14.8178</v>
      </c>
      <c r="D9" s="1">
        <v>15.0007</v>
      </c>
      <c r="E9" s="1">
        <v>14.906000000000001</v>
      </c>
      <c r="F9" s="1"/>
      <c r="G9" s="1">
        <v>150</v>
      </c>
      <c r="H9" s="1"/>
      <c r="I9" s="1"/>
      <c r="J9" s="1"/>
    </row>
    <row r="10" spans="2:10">
      <c r="B10" s="1">
        <v>140</v>
      </c>
      <c r="C10" s="1">
        <v>15.109299999999999</v>
      </c>
      <c r="D10" s="1">
        <v>15.582000000000001</v>
      </c>
      <c r="E10" s="1">
        <v>15.337199999999999</v>
      </c>
      <c r="F10" s="1"/>
      <c r="G10" s="1">
        <v>140</v>
      </c>
      <c r="H10" s="1"/>
      <c r="I10" s="1"/>
      <c r="J10" s="1"/>
    </row>
    <row r="11" spans="2:10">
      <c r="B11" s="1">
        <v>130</v>
      </c>
      <c r="C11" s="1">
        <v>15.109299999999999</v>
      </c>
      <c r="D11" s="1">
        <v>15.582000000000001</v>
      </c>
      <c r="E11" s="1">
        <v>15.337199999999999</v>
      </c>
      <c r="F11" s="1"/>
      <c r="G11" s="1">
        <v>130</v>
      </c>
      <c r="H11" s="1"/>
      <c r="I11" s="1"/>
      <c r="J11" s="1"/>
    </row>
    <row r="12" spans="2:10">
      <c r="B12" s="1">
        <v>120</v>
      </c>
      <c r="C12" s="1">
        <v>15.2087</v>
      </c>
      <c r="D12" s="1">
        <v>16.080100000000002</v>
      </c>
      <c r="E12" s="1">
        <v>15.621700000000001</v>
      </c>
      <c r="F12" s="1"/>
      <c r="G12" s="1">
        <v>120</v>
      </c>
      <c r="H12" s="1"/>
      <c r="I12" s="1"/>
      <c r="J12" s="1"/>
    </row>
    <row r="13" spans="2:10">
      <c r="B13" s="1">
        <v>110</v>
      </c>
      <c r="C13" s="1">
        <v>15.2087</v>
      </c>
      <c r="D13" s="1">
        <v>16.080100000000002</v>
      </c>
      <c r="E13" s="1">
        <v>15.621700000000001</v>
      </c>
      <c r="F13" s="1"/>
      <c r="G13" s="1">
        <v>110</v>
      </c>
      <c r="H13" s="1"/>
      <c r="I13" s="1"/>
      <c r="J13" s="1"/>
    </row>
    <row r="14" spans="2:10">
      <c r="B14" s="1">
        <v>100</v>
      </c>
      <c r="C14" s="1">
        <v>14.8178</v>
      </c>
      <c r="D14" s="1">
        <v>15.0007</v>
      </c>
      <c r="E14" s="1">
        <v>14.906000000000001</v>
      </c>
      <c r="F14" s="1"/>
      <c r="G14" s="1">
        <v>100</v>
      </c>
      <c r="H14" s="1"/>
      <c r="I14" s="1"/>
      <c r="J14" s="1"/>
    </row>
    <row r="15" spans="2:10">
      <c r="B15" s="1">
        <v>90</v>
      </c>
      <c r="C15" s="1">
        <v>15.109299999999999</v>
      </c>
      <c r="D15" s="1">
        <v>15.582000000000001</v>
      </c>
      <c r="E15" s="1">
        <v>15.337199999999999</v>
      </c>
      <c r="F15" s="1"/>
      <c r="G15" s="1">
        <v>90</v>
      </c>
      <c r="H15" s="1"/>
      <c r="I15" s="1"/>
      <c r="J15" s="1"/>
    </row>
    <row r="16" spans="2:10">
      <c r="B16" s="1">
        <v>80</v>
      </c>
      <c r="C16" s="1">
        <v>15.109299999999999</v>
      </c>
      <c r="D16" s="1">
        <v>15.582000000000001</v>
      </c>
      <c r="E16" s="1">
        <v>15.337199999999999</v>
      </c>
      <c r="F16" s="1"/>
      <c r="G16" s="1">
        <v>80</v>
      </c>
      <c r="H16" s="1"/>
      <c r="I16" s="1"/>
      <c r="J16" s="1"/>
    </row>
    <row r="17" spans="2:10">
      <c r="B17" s="1">
        <v>70</v>
      </c>
      <c r="C17" s="1">
        <v>14.8178</v>
      </c>
      <c r="D17" s="1">
        <v>15.0007</v>
      </c>
      <c r="E17" s="1">
        <v>14.906000000000001</v>
      </c>
      <c r="F17" s="1"/>
      <c r="G17" s="1">
        <v>70</v>
      </c>
      <c r="H17" s="1"/>
      <c r="I17" s="1"/>
      <c r="J17" s="1"/>
    </row>
    <row r="18" spans="2:10">
      <c r="B18" s="1">
        <v>60</v>
      </c>
      <c r="C18" s="1">
        <v>14.8178</v>
      </c>
      <c r="D18" s="1">
        <v>15.0007</v>
      </c>
      <c r="E18" s="1">
        <v>14.906000000000001</v>
      </c>
      <c r="F18" s="1"/>
      <c r="G18" s="1">
        <v>60</v>
      </c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2" spans="2:10">
      <c r="C22" s="1" t="s">
        <v>0</v>
      </c>
      <c r="D22" s="1" t="s">
        <v>1</v>
      </c>
      <c r="E22" s="1" t="s">
        <v>11</v>
      </c>
      <c r="H22" s="1" t="s">
        <v>0</v>
      </c>
      <c r="I22" s="1" t="s">
        <v>7</v>
      </c>
      <c r="J22" s="1" t="s">
        <v>11</v>
      </c>
    </row>
    <row r="23" spans="2:10">
      <c r="B23" t="s">
        <v>2</v>
      </c>
      <c r="C23" s="1" t="s">
        <v>3</v>
      </c>
      <c r="D23" s="1" t="s">
        <v>4</v>
      </c>
      <c r="E23" s="1" t="s">
        <v>5</v>
      </c>
      <c r="G23" t="s">
        <v>2</v>
      </c>
      <c r="H23" s="1" t="s">
        <v>3</v>
      </c>
      <c r="I23" s="1" t="s">
        <v>4</v>
      </c>
      <c r="J23" s="1" t="s">
        <v>5</v>
      </c>
    </row>
    <row r="24" spans="2:10">
      <c r="B24">
        <v>200</v>
      </c>
      <c r="G24">
        <v>200</v>
      </c>
    </row>
    <row r="25" spans="2:10">
      <c r="B25">
        <v>190</v>
      </c>
      <c r="G25">
        <v>190</v>
      </c>
    </row>
    <row r="26" spans="2:10">
      <c r="B26">
        <v>180</v>
      </c>
      <c r="C26">
        <v>14.3925</v>
      </c>
      <c r="D26">
        <v>14.9473</v>
      </c>
      <c r="E26">
        <v>14.6609</v>
      </c>
      <c r="G26">
        <v>180</v>
      </c>
    </row>
    <row r="27" spans="2:10">
      <c r="B27">
        <v>170</v>
      </c>
      <c r="C27">
        <v>14.3925</v>
      </c>
      <c r="D27">
        <v>14.9473</v>
      </c>
      <c r="E27">
        <v>14.6609</v>
      </c>
      <c r="G27">
        <v>170</v>
      </c>
    </row>
    <row r="28" spans="2:10">
      <c r="B28">
        <v>160</v>
      </c>
      <c r="C28">
        <v>14.3964</v>
      </c>
      <c r="D28">
        <v>14.888299999999999</v>
      </c>
      <c r="E28">
        <v>14.634399999999999</v>
      </c>
      <c r="G28">
        <v>160</v>
      </c>
    </row>
    <row r="29" spans="2:10">
      <c r="B29">
        <v>150</v>
      </c>
      <c r="C29">
        <v>13.8965</v>
      </c>
      <c r="D29">
        <v>13.898199999999999</v>
      </c>
      <c r="E29">
        <v>13.8973</v>
      </c>
      <c r="G29">
        <v>150</v>
      </c>
    </row>
    <row r="30" spans="2:10">
      <c r="B30">
        <v>140</v>
      </c>
      <c r="C30">
        <v>14.3964</v>
      </c>
      <c r="D30">
        <v>14.888299999999999</v>
      </c>
      <c r="E30">
        <v>14.634399999999999</v>
      </c>
      <c r="G30">
        <v>140</v>
      </c>
    </row>
    <row r="31" spans="2:10">
      <c r="B31">
        <v>130</v>
      </c>
      <c r="C31">
        <v>14.3964</v>
      </c>
      <c r="D31">
        <v>14.888299999999999</v>
      </c>
      <c r="E31">
        <v>14.634399999999999</v>
      </c>
      <c r="G31">
        <v>130</v>
      </c>
    </row>
    <row r="32" spans="2:10">
      <c r="B32">
        <v>120</v>
      </c>
      <c r="C32">
        <v>14.578200000000001</v>
      </c>
      <c r="D32">
        <v>15.723800000000001</v>
      </c>
      <c r="E32">
        <v>15.116099999999999</v>
      </c>
      <c r="G32">
        <v>120</v>
      </c>
    </row>
    <row r="33" spans="2:7">
      <c r="B33">
        <v>110</v>
      </c>
      <c r="C33">
        <v>14.578200000000001</v>
      </c>
      <c r="D33">
        <v>15.723800000000001</v>
      </c>
      <c r="E33">
        <v>15.116099999999999</v>
      </c>
      <c r="G33">
        <v>110</v>
      </c>
    </row>
    <row r="34" spans="2:7">
      <c r="B34">
        <v>100</v>
      </c>
      <c r="C34">
        <v>13.8965</v>
      </c>
      <c r="D34">
        <v>13.898199999999999</v>
      </c>
      <c r="E34">
        <v>13.8973</v>
      </c>
      <c r="G34">
        <v>100</v>
      </c>
    </row>
    <row r="35" spans="2:7">
      <c r="B35">
        <v>90</v>
      </c>
      <c r="C35">
        <v>14.3964</v>
      </c>
      <c r="D35">
        <v>14.888299999999999</v>
      </c>
      <c r="E35">
        <v>14.634399999999999</v>
      </c>
      <c r="G35">
        <v>90</v>
      </c>
    </row>
    <row r="36" spans="2:7">
      <c r="B36">
        <v>80</v>
      </c>
      <c r="C36">
        <v>14.3964</v>
      </c>
      <c r="D36">
        <v>14.888299999999999</v>
      </c>
      <c r="E36">
        <v>14.634399999999999</v>
      </c>
      <c r="G36">
        <v>80</v>
      </c>
    </row>
    <row r="37" spans="2:7">
      <c r="B37">
        <v>70</v>
      </c>
      <c r="C37">
        <v>13.8965</v>
      </c>
      <c r="D37">
        <v>13.898199999999999</v>
      </c>
      <c r="E37">
        <v>13.8973</v>
      </c>
      <c r="G37">
        <v>70</v>
      </c>
    </row>
    <row r="38" spans="2:7">
      <c r="B38">
        <v>60</v>
      </c>
      <c r="C38">
        <v>13.8965</v>
      </c>
      <c r="D38">
        <v>13.898199999999999</v>
      </c>
      <c r="E38">
        <v>13.8973</v>
      </c>
      <c r="G38">
        <v>60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9928-5EDF-8346-B43E-899A967F685A}">
  <dimension ref="B2:J38"/>
  <sheetViews>
    <sheetView workbookViewId="0">
      <selection activeCell="F21" sqref="F21"/>
    </sheetView>
  </sheetViews>
  <sheetFormatPr baseColWidth="10" defaultRowHeight="20"/>
  <sheetData>
    <row r="2" spans="2:10">
      <c r="B2" s="1"/>
      <c r="C2" s="1" t="s">
        <v>8</v>
      </c>
      <c r="D2" s="1" t="s">
        <v>9</v>
      </c>
      <c r="E2" s="1"/>
      <c r="F2" s="1"/>
      <c r="G2" s="1"/>
      <c r="H2" s="1" t="s">
        <v>8</v>
      </c>
      <c r="I2" s="1" t="s">
        <v>6</v>
      </c>
      <c r="J2" s="1"/>
    </row>
    <row r="3" spans="2:10">
      <c r="B3" s="1" t="s">
        <v>10</v>
      </c>
      <c r="C3" s="1" t="s">
        <v>3</v>
      </c>
      <c r="D3" s="1" t="s">
        <v>4</v>
      </c>
      <c r="E3" s="1" t="s">
        <v>5</v>
      </c>
      <c r="F3" s="1"/>
      <c r="G3" s="1" t="s">
        <v>10</v>
      </c>
      <c r="H3" s="1" t="s">
        <v>3</v>
      </c>
      <c r="I3" s="1" t="s">
        <v>4</v>
      </c>
      <c r="J3" s="1" t="s">
        <v>5</v>
      </c>
    </row>
    <row r="4" spans="2:10">
      <c r="B4" s="1">
        <v>200</v>
      </c>
      <c r="C4" s="1"/>
      <c r="D4" s="1"/>
      <c r="E4" s="1"/>
      <c r="F4" s="1"/>
      <c r="G4" s="1">
        <v>200</v>
      </c>
      <c r="H4" s="1"/>
      <c r="I4" s="1"/>
      <c r="J4" s="1"/>
    </row>
    <row r="5" spans="2:10">
      <c r="B5" s="1">
        <v>190</v>
      </c>
      <c r="C5" s="1"/>
      <c r="D5" s="1"/>
      <c r="E5" s="1"/>
      <c r="F5" s="1"/>
      <c r="G5" s="1">
        <v>190</v>
      </c>
      <c r="H5" s="1"/>
      <c r="I5" s="1"/>
      <c r="J5" s="1"/>
    </row>
    <row r="6" spans="2:10">
      <c r="B6" s="1">
        <v>180</v>
      </c>
      <c r="C6" s="1">
        <v>15.3392</v>
      </c>
      <c r="D6" s="1">
        <v>14.959099999999999</v>
      </c>
      <c r="E6" s="1">
        <v>15.163600000000001</v>
      </c>
      <c r="F6" s="1"/>
      <c r="G6" s="1">
        <v>180</v>
      </c>
      <c r="H6" s="1"/>
      <c r="I6" s="1"/>
      <c r="J6" s="1"/>
    </row>
    <row r="7" spans="2:10">
      <c r="B7" s="1">
        <v>170</v>
      </c>
      <c r="C7" s="1">
        <v>14.9306</v>
      </c>
      <c r="D7" s="1">
        <v>15.9321</v>
      </c>
      <c r="E7" s="1">
        <v>15.3933</v>
      </c>
      <c r="F7" s="1"/>
      <c r="G7" s="1">
        <v>170</v>
      </c>
      <c r="H7" s="1"/>
      <c r="I7" s="1"/>
      <c r="J7" s="1"/>
    </row>
    <row r="8" spans="2:10">
      <c r="B8" s="1">
        <v>160</v>
      </c>
      <c r="C8">
        <v>14.9305</v>
      </c>
      <c r="D8" s="1">
        <v>13.200900000000001</v>
      </c>
      <c r="E8" s="1">
        <v>14.1053</v>
      </c>
      <c r="F8" s="1"/>
      <c r="G8" s="1">
        <v>160</v>
      </c>
      <c r="H8" s="1"/>
      <c r="I8" s="1"/>
      <c r="J8" s="1"/>
    </row>
    <row r="9" spans="2:10">
      <c r="B9" s="1">
        <v>150</v>
      </c>
      <c r="C9" s="1">
        <v>14.752599999999999</v>
      </c>
      <c r="D9" s="1">
        <v>14.0589</v>
      </c>
      <c r="E9" s="1">
        <v>14.4216</v>
      </c>
      <c r="F9" s="1"/>
      <c r="G9" s="1">
        <v>150</v>
      </c>
      <c r="H9" s="1"/>
      <c r="I9" s="1"/>
      <c r="J9" s="1"/>
    </row>
    <row r="10" spans="2:10">
      <c r="B10" s="1">
        <v>140</v>
      </c>
      <c r="C10" s="1">
        <v>14.810499999999999</v>
      </c>
      <c r="D10" s="1">
        <v>14.024900000000001</v>
      </c>
      <c r="E10" s="1">
        <v>14.435499999999999</v>
      </c>
      <c r="F10" s="1"/>
      <c r="G10" s="1">
        <v>140</v>
      </c>
      <c r="H10" s="1"/>
      <c r="I10" s="1"/>
      <c r="J10" s="1"/>
    </row>
    <row r="11" spans="2:10">
      <c r="B11" s="1">
        <v>130</v>
      </c>
      <c r="C11" s="1">
        <v>14.810499999999999</v>
      </c>
      <c r="D11" s="1">
        <v>14.024900000000001</v>
      </c>
      <c r="E11" s="1">
        <v>14.435499999999999</v>
      </c>
      <c r="F11" s="1"/>
      <c r="G11" s="1">
        <v>130</v>
      </c>
      <c r="H11" s="1"/>
      <c r="I11" s="1"/>
      <c r="J11" s="1"/>
    </row>
    <row r="12" spans="2:10">
      <c r="B12" s="1">
        <v>120</v>
      </c>
      <c r="C12" s="1">
        <v>14.9305</v>
      </c>
      <c r="D12" s="1">
        <v>15.9321</v>
      </c>
      <c r="E12" s="1">
        <v>15.3933</v>
      </c>
      <c r="F12" s="1"/>
      <c r="G12" s="1">
        <v>120</v>
      </c>
      <c r="H12" s="1"/>
      <c r="I12" s="1"/>
      <c r="J12" s="1"/>
    </row>
    <row r="13" spans="2:10">
      <c r="B13" s="1">
        <v>110</v>
      </c>
      <c r="C13" s="1">
        <v>14.9308</v>
      </c>
      <c r="D13" s="1">
        <v>15.9299</v>
      </c>
      <c r="E13" s="1">
        <v>15.3924</v>
      </c>
      <c r="F13" s="1"/>
      <c r="G13" s="1">
        <v>110</v>
      </c>
      <c r="H13" s="1"/>
      <c r="I13" s="1"/>
      <c r="J13" s="1"/>
    </row>
    <row r="14" spans="2:10">
      <c r="B14" s="1">
        <v>100</v>
      </c>
      <c r="C14" s="1">
        <v>15.4971</v>
      </c>
      <c r="D14" s="1">
        <v>15.646000000000001</v>
      </c>
      <c r="E14" s="1">
        <v>15.565899999999999</v>
      </c>
      <c r="F14" s="1"/>
      <c r="G14" s="1">
        <v>100</v>
      </c>
      <c r="H14" s="1"/>
      <c r="I14" s="1"/>
      <c r="J14" s="1"/>
    </row>
    <row r="15" spans="2:10">
      <c r="B15" s="1">
        <v>90</v>
      </c>
      <c r="C15" s="1">
        <v>15.4642</v>
      </c>
      <c r="D15" s="1">
        <v>14.200699999999999</v>
      </c>
      <c r="E15" s="1">
        <v>14.8752</v>
      </c>
      <c r="F15" s="1"/>
      <c r="G15" s="1">
        <v>90</v>
      </c>
      <c r="H15" s="1"/>
      <c r="I15" s="1"/>
      <c r="J15" s="1"/>
    </row>
    <row r="16" spans="2:10">
      <c r="B16" s="1">
        <v>80</v>
      </c>
      <c r="C16" s="1">
        <v>15.048400000000001</v>
      </c>
      <c r="D16" s="1">
        <v>15.9382</v>
      </c>
      <c r="E16" s="1">
        <v>15.462199999999999</v>
      </c>
      <c r="F16" s="1"/>
      <c r="G16" s="1">
        <v>80</v>
      </c>
      <c r="H16" s="1"/>
      <c r="I16" s="1"/>
      <c r="J16" s="1"/>
    </row>
    <row r="17" spans="2:10">
      <c r="B17" s="1">
        <v>70</v>
      </c>
      <c r="C17" s="1">
        <v>15.4642</v>
      </c>
      <c r="D17" s="1">
        <v>14.200699999999999</v>
      </c>
      <c r="E17" s="1">
        <v>14.8752</v>
      </c>
      <c r="F17" s="1"/>
      <c r="G17" s="1">
        <v>70</v>
      </c>
      <c r="H17" s="1"/>
      <c r="I17" s="1"/>
      <c r="J17" s="1"/>
    </row>
    <row r="18" spans="2:10">
      <c r="B18" s="1">
        <v>60</v>
      </c>
      <c r="C18" s="1">
        <v>15.5794</v>
      </c>
      <c r="D18" s="1">
        <v>13.9954</v>
      </c>
      <c r="E18" s="1">
        <v>14.841100000000001</v>
      </c>
      <c r="F18" s="1"/>
      <c r="G18" s="1">
        <v>60</v>
      </c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2" spans="2:10">
      <c r="C22" s="1" t="s">
        <v>0</v>
      </c>
      <c r="D22" s="1" t="s">
        <v>1</v>
      </c>
      <c r="E22" s="1" t="s">
        <v>11</v>
      </c>
      <c r="H22" s="1" t="s">
        <v>0</v>
      </c>
      <c r="I22" s="1" t="s">
        <v>7</v>
      </c>
      <c r="J22" s="1" t="s">
        <v>11</v>
      </c>
    </row>
    <row r="23" spans="2:10">
      <c r="B23" t="s">
        <v>2</v>
      </c>
      <c r="C23" s="1" t="s">
        <v>3</v>
      </c>
      <c r="D23" s="1" t="s">
        <v>4</v>
      </c>
      <c r="E23" s="1" t="s">
        <v>5</v>
      </c>
      <c r="G23" t="s">
        <v>2</v>
      </c>
      <c r="H23" s="1" t="s">
        <v>3</v>
      </c>
      <c r="I23" s="1" t="s">
        <v>4</v>
      </c>
      <c r="J23" s="1" t="s">
        <v>5</v>
      </c>
    </row>
    <row r="24" spans="2:10">
      <c r="B24">
        <v>200</v>
      </c>
      <c r="G24">
        <v>200</v>
      </c>
    </row>
    <row r="25" spans="2:10">
      <c r="B25">
        <v>190</v>
      </c>
      <c r="G25">
        <v>190</v>
      </c>
    </row>
    <row r="26" spans="2:10">
      <c r="B26">
        <v>180</v>
      </c>
      <c r="C26">
        <v>15.066800000000001</v>
      </c>
      <c r="D26">
        <v>14.477499999999999</v>
      </c>
      <c r="E26">
        <v>14.7766</v>
      </c>
      <c r="G26">
        <v>180</v>
      </c>
    </row>
    <row r="27" spans="2:10">
      <c r="B27">
        <v>170</v>
      </c>
      <c r="C27">
        <v>14.409800000000001</v>
      </c>
      <c r="D27">
        <v>15.8622</v>
      </c>
      <c r="E27">
        <v>15.125</v>
      </c>
      <c r="G27">
        <v>170</v>
      </c>
    </row>
    <row r="28" spans="2:10">
      <c r="B28">
        <v>160</v>
      </c>
      <c r="C28">
        <v>14.405799999999999</v>
      </c>
      <c r="D28">
        <v>12.0844</v>
      </c>
      <c r="E28">
        <v>13.213900000000001</v>
      </c>
      <c r="G28">
        <v>160</v>
      </c>
    </row>
    <row r="29" spans="2:10">
      <c r="B29">
        <v>150</v>
      </c>
      <c r="C29">
        <v>14.1205</v>
      </c>
      <c r="D29">
        <v>13.2737</v>
      </c>
      <c r="E29">
        <v>13.685700000000001</v>
      </c>
      <c r="G29">
        <v>150</v>
      </c>
    </row>
    <row r="30" spans="2:10">
      <c r="B30">
        <v>140</v>
      </c>
      <c r="C30">
        <v>14.212400000000001</v>
      </c>
      <c r="D30">
        <v>13.2265</v>
      </c>
      <c r="E30">
        <v>13.7058</v>
      </c>
      <c r="G30">
        <v>140</v>
      </c>
    </row>
    <row r="31" spans="2:10">
      <c r="B31">
        <v>130</v>
      </c>
      <c r="C31">
        <v>14.212400000000001</v>
      </c>
      <c r="D31">
        <v>13.2265</v>
      </c>
      <c r="E31">
        <v>13.7058</v>
      </c>
      <c r="G31">
        <v>130</v>
      </c>
    </row>
    <row r="32" spans="2:10">
      <c r="B32">
        <v>120</v>
      </c>
      <c r="C32">
        <v>14.409800000000001</v>
      </c>
      <c r="D32">
        <v>15.8622</v>
      </c>
      <c r="E32">
        <v>15.125</v>
      </c>
      <c r="G32">
        <v>120</v>
      </c>
    </row>
    <row r="33" spans="2:7">
      <c r="B33">
        <v>110</v>
      </c>
      <c r="C33">
        <v>14.4101</v>
      </c>
      <c r="D33">
        <v>15.8591</v>
      </c>
      <c r="E33">
        <v>15.123699999999999</v>
      </c>
      <c r="G33">
        <v>110</v>
      </c>
    </row>
    <row r="34" spans="2:7">
      <c r="B34">
        <v>100</v>
      </c>
      <c r="C34">
        <v>15.3207</v>
      </c>
      <c r="D34">
        <v>15.4549</v>
      </c>
      <c r="E34">
        <v>15.386699999999999</v>
      </c>
      <c r="G34">
        <v>100</v>
      </c>
    </row>
    <row r="35" spans="2:7">
      <c r="B35">
        <v>90</v>
      </c>
      <c r="C35">
        <v>15.265599999999999</v>
      </c>
      <c r="D35">
        <v>13.4092</v>
      </c>
      <c r="E35">
        <v>14.3399</v>
      </c>
      <c r="G35">
        <v>90</v>
      </c>
    </row>
    <row r="36" spans="2:7">
      <c r="B36">
        <v>80</v>
      </c>
      <c r="C36">
        <v>14.595599999999999</v>
      </c>
      <c r="D36">
        <v>15.871499999999999</v>
      </c>
      <c r="E36">
        <v>15.229799999999999</v>
      </c>
      <c r="G36">
        <v>80</v>
      </c>
    </row>
    <row r="37" spans="2:7">
      <c r="B37">
        <v>70</v>
      </c>
      <c r="C37">
        <v>15.265599999999999</v>
      </c>
      <c r="D37">
        <v>13.4092</v>
      </c>
      <c r="E37">
        <v>14.3399</v>
      </c>
      <c r="G37">
        <v>70</v>
      </c>
    </row>
    <row r="38" spans="2:7">
      <c r="B38">
        <v>60</v>
      </c>
      <c r="C38">
        <v>15.451700000000001</v>
      </c>
      <c r="D38">
        <v>13.1182</v>
      </c>
      <c r="E38">
        <v>14.2881</v>
      </c>
      <c r="G38">
        <v>60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421D-C8BF-C444-9EA0-EE4B6A2F36BE}">
  <dimension ref="B2:L38"/>
  <sheetViews>
    <sheetView topLeftCell="A2" workbookViewId="0">
      <selection activeCell="K20" sqref="K20"/>
    </sheetView>
  </sheetViews>
  <sheetFormatPr baseColWidth="10" defaultRowHeight="20"/>
  <sheetData>
    <row r="2" spans="2:12">
      <c r="B2" s="1"/>
      <c r="C2" s="1" t="s">
        <v>8</v>
      </c>
      <c r="D2" s="1" t="s">
        <v>9</v>
      </c>
      <c r="E2" s="1"/>
      <c r="F2" s="1"/>
      <c r="G2" s="1"/>
      <c r="H2" s="1" t="s">
        <v>8</v>
      </c>
      <c r="I2" s="1" t="s">
        <v>6</v>
      </c>
      <c r="J2" s="1"/>
    </row>
    <row r="3" spans="2:12">
      <c r="B3" s="1" t="s">
        <v>10</v>
      </c>
      <c r="C3" s="1" t="s">
        <v>3</v>
      </c>
      <c r="D3" s="1" t="s">
        <v>4</v>
      </c>
      <c r="E3" s="1" t="s">
        <v>5</v>
      </c>
      <c r="F3" s="1"/>
      <c r="G3" s="1" t="s">
        <v>10</v>
      </c>
      <c r="H3" s="1" t="s">
        <v>3</v>
      </c>
      <c r="I3" s="1" t="s">
        <v>4</v>
      </c>
      <c r="J3" s="1" t="s">
        <v>5</v>
      </c>
    </row>
    <row r="4" spans="2:12">
      <c r="B4" s="1">
        <v>200</v>
      </c>
      <c r="C4" s="1"/>
      <c r="D4" s="1"/>
      <c r="E4" s="1"/>
      <c r="F4" s="1"/>
      <c r="G4" s="1">
        <v>200</v>
      </c>
      <c r="H4" s="1"/>
      <c r="I4" s="1"/>
      <c r="J4" s="1"/>
    </row>
    <row r="5" spans="2:12">
      <c r="B5" s="1">
        <v>190</v>
      </c>
      <c r="C5" s="1"/>
      <c r="D5" s="1"/>
      <c r="E5" s="1"/>
      <c r="F5" s="1"/>
      <c r="G5" s="1">
        <v>190</v>
      </c>
      <c r="H5" s="1"/>
      <c r="I5" s="1"/>
      <c r="J5" s="1"/>
    </row>
    <row r="6" spans="2:12">
      <c r="B6" s="1">
        <v>180</v>
      </c>
      <c r="C6" s="1"/>
      <c r="D6" s="1"/>
      <c r="E6" s="1"/>
      <c r="F6" s="1"/>
      <c r="G6" s="1">
        <v>180</v>
      </c>
      <c r="H6" s="1"/>
      <c r="I6" s="1"/>
      <c r="J6" s="1"/>
    </row>
    <row r="7" spans="2:12">
      <c r="B7" s="1">
        <v>170</v>
      </c>
      <c r="C7" s="1"/>
      <c r="D7" s="1"/>
      <c r="E7" s="1"/>
      <c r="F7" s="1"/>
      <c r="G7" s="1">
        <v>170</v>
      </c>
      <c r="H7" s="1"/>
      <c r="I7" s="1"/>
      <c r="J7" s="1"/>
    </row>
    <row r="8" spans="2:12">
      <c r="B8" s="1">
        <v>160</v>
      </c>
      <c r="C8" s="1"/>
      <c r="D8" s="1"/>
      <c r="E8" s="1"/>
      <c r="F8" s="1"/>
      <c r="G8" s="1">
        <v>160</v>
      </c>
      <c r="H8" s="1"/>
      <c r="I8" s="1"/>
      <c r="J8" s="1"/>
    </row>
    <row r="9" spans="2:12">
      <c r="B9" s="1">
        <v>150</v>
      </c>
      <c r="C9" s="1"/>
      <c r="D9" s="1"/>
      <c r="E9" s="1"/>
      <c r="F9" s="1"/>
      <c r="G9" s="1">
        <v>150</v>
      </c>
      <c r="H9" s="1"/>
      <c r="I9" s="1"/>
      <c r="J9" s="1"/>
    </row>
    <row r="10" spans="2:12">
      <c r="B10" s="1">
        <v>140</v>
      </c>
      <c r="C10" s="1"/>
      <c r="D10" s="1"/>
      <c r="E10" s="1"/>
      <c r="F10" s="1"/>
      <c r="G10" s="1">
        <v>140</v>
      </c>
      <c r="H10" s="1"/>
      <c r="I10" s="1"/>
      <c r="J10" s="1"/>
    </row>
    <row r="11" spans="2:12">
      <c r="B11" s="1">
        <v>130</v>
      </c>
      <c r="C11" s="1"/>
      <c r="D11" s="1"/>
      <c r="E11" s="1"/>
      <c r="F11" s="1"/>
      <c r="G11" s="1">
        <v>130</v>
      </c>
      <c r="H11" s="1"/>
      <c r="I11" s="1"/>
      <c r="J11" s="1"/>
    </row>
    <row r="12" spans="2:12">
      <c r="B12" s="1">
        <v>120</v>
      </c>
      <c r="C12" s="1"/>
      <c r="D12" s="1"/>
      <c r="E12" s="1"/>
      <c r="F12" s="1"/>
      <c r="G12" s="1">
        <v>120</v>
      </c>
      <c r="H12" s="1"/>
      <c r="I12" s="1"/>
      <c r="J12" s="1"/>
    </row>
    <row r="13" spans="2:12">
      <c r="B13" s="1">
        <v>110</v>
      </c>
      <c r="C13" s="1"/>
      <c r="D13" s="1"/>
      <c r="E13" s="1"/>
      <c r="F13" s="1"/>
      <c r="G13" s="1">
        <v>110</v>
      </c>
      <c r="H13" s="1">
        <v>11.169600000000001</v>
      </c>
      <c r="I13" s="1">
        <v>14.2544</v>
      </c>
      <c r="J13" s="1">
        <v>12.648899999999999</v>
      </c>
      <c r="L13" t="s">
        <v>12</v>
      </c>
    </row>
    <row r="14" spans="2:12">
      <c r="B14" s="1">
        <v>100</v>
      </c>
      <c r="C14" s="1"/>
      <c r="D14" s="1"/>
      <c r="E14" s="1"/>
      <c r="F14" s="1"/>
      <c r="G14" s="1">
        <v>100</v>
      </c>
      <c r="H14" s="1"/>
      <c r="I14" s="1"/>
      <c r="J14" s="1"/>
    </row>
    <row r="15" spans="2:12">
      <c r="B15" s="1">
        <v>90</v>
      </c>
      <c r="C15" s="1"/>
      <c r="D15" s="1"/>
      <c r="E15" s="1"/>
      <c r="F15" s="1"/>
      <c r="G15" s="1">
        <v>90</v>
      </c>
      <c r="H15" s="1"/>
      <c r="I15" s="1"/>
      <c r="J15" s="1"/>
    </row>
    <row r="16" spans="2:12">
      <c r="B16" s="1">
        <v>80</v>
      </c>
      <c r="C16" s="1"/>
      <c r="D16" s="1"/>
      <c r="E16" s="1"/>
      <c r="F16" s="1"/>
      <c r="G16" s="1">
        <v>80</v>
      </c>
      <c r="H16" s="1">
        <v>13.6785</v>
      </c>
      <c r="I16" s="1">
        <v>15.2346</v>
      </c>
      <c r="J16" s="1">
        <v>14.4213</v>
      </c>
      <c r="L16" t="s">
        <v>12</v>
      </c>
    </row>
    <row r="17" spans="2:10">
      <c r="B17" s="1">
        <v>70</v>
      </c>
      <c r="C17" s="1"/>
      <c r="D17" s="1"/>
      <c r="E17" s="1"/>
      <c r="F17" s="1"/>
      <c r="G17" s="1">
        <v>70</v>
      </c>
      <c r="H17" s="1"/>
      <c r="I17" s="1"/>
      <c r="J17" s="1"/>
    </row>
    <row r="18" spans="2:10">
      <c r="B18" s="1">
        <v>60</v>
      </c>
      <c r="C18" s="1"/>
      <c r="D18" s="1"/>
      <c r="E18" s="1"/>
      <c r="F18" s="1"/>
      <c r="G18" s="1">
        <v>60</v>
      </c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2" spans="2:10">
      <c r="C22" s="1" t="s">
        <v>0</v>
      </c>
      <c r="D22" s="1" t="s">
        <v>1</v>
      </c>
      <c r="E22" s="1" t="s">
        <v>11</v>
      </c>
      <c r="H22" s="1" t="s">
        <v>0</v>
      </c>
      <c r="I22" s="1" t="s">
        <v>7</v>
      </c>
      <c r="J22" s="1" t="s">
        <v>11</v>
      </c>
    </row>
    <row r="23" spans="2:10">
      <c r="B23" t="s">
        <v>2</v>
      </c>
      <c r="C23" s="1" t="s">
        <v>3</v>
      </c>
      <c r="D23" s="1" t="s">
        <v>4</v>
      </c>
      <c r="E23" s="1" t="s">
        <v>5</v>
      </c>
      <c r="G23" t="s">
        <v>2</v>
      </c>
      <c r="H23" s="1" t="s">
        <v>3</v>
      </c>
      <c r="I23" s="1" t="s">
        <v>4</v>
      </c>
      <c r="J23" s="1" t="s">
        <v>5</v>
      </c>
    </row>
    <row r="24" spans="2:10">
      <c r="B24">
        <v>200</v>
      </c>
      <c r="G24">
        <v>200</v>
      </c>
    </row>
    <row r="25" spans="2:10">
      <c r="B25">
        <v>190</v>
      </c>
      <c r="G25">
        <v>190</v>
      </c>
    </row>
    <row r="26" spans="2:10">
      <c r="B26">
        <v>180</v>
      </c>
      <c r="G26">
        <v>180</v>
      </c>
    </row>
    <row r="27" spans="2:10">
      <c r="B27">
        <v>170</v>
      </c>
      <c r="G27">
        <v>170</v>
      </c>
    </row>
    <row r="28" spans="2:10">
      <c r="B28">
        <v>160</v>
      </c>
      <c r="G28">
        <v>160</v>
      </c>
    </row>
    <row r="29" spans="2:10">
      <c r="B29">
        <v>150</v>
      </c>
      <c r="G29">
        <v>150</v>
      </c>
    </row>
    <row r="30" spans="2:10">
      <c r="B30">
        <v>140</v>
      </c>
      <c r="G30">
        <v>140</v>
      </c>
    </row>
    <row r="31" spans="2:10">
      <c r="B31">
        <v>130</v>
      </c>
      <c r="G31">
        <v>130</v>
      </c>
    </row>
    <row r="32" spans="2:10">
      <c r="B32">
        <v>120</v>
      </c>
      <c r="G32">
        <v>120</v>
      </c>
    </row>
    <row r="33" spans="2:10">
      <c r="B33">
        <v>110</v>
      </c>
      <c r="G33">
        <v>110</v>
      </c>
      <c r="H33">
        <v>10.049899999999999</v>
      </c>
      <c r="I33">
        <v>13.026300000000001</v>
      </c>
      <c r="J33">
        <v>11.3467</v>
      </c>
    </row>
    <row r="34" spans="2:10">
      <c r="B34">
        <v>100</v>
      </c>
      <c r="G34">
        <v>100</v>
      </c>
    </row>
    <row r="35" spans="2:10">
      <c r="B35">
        <v>90</v>
      </c>
      <c r="G35">
        <v>90</v>
      </c>
    </row>
    <row r="36" spans="2:10">
      <c r="B36">
        <v>80</v>
      </c>
      <c r="G36">
        <v>80</v>
      </c>
      <c r="H36">
        <v>13.005800000000001</v>
      </c>
      <c r="I36">
        <v>14.680999999999999</v>
      </c>
      <c r="J36">
        <v>13.717700000000001</v>
      </c>
    </row>
    <row r="37" spans="2:10">
      <c r="B37">
        <v>70</v>
      </c>
      <c r="G37">
        <v>70</v>
      </c>
    </row>
    <row r="38" spans="2:10">
      <c r="B38">
        <v>60</v>
      </c>
      <c r="G38">
        <v>60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78EF-C3B0-CC43-9C63-4E6A029B5B24}">
  <dimension ref="B2:L39"/>
  <sheetViews>
    <sheetView topLeftCell="A7" workbookViewId="0">
      <selection activeCell="C37" sqref="C37:E39"/>
    </sheetView>
  </sheetViews>
  <sheetFormatPr baseColWidth="10" defaultRowHeight="20"/>
  <sheetData>
    <row r="2" spans="2:12">
      <c r="B2" s="1"/>
      <c r="C2" s="1" t="s">
        <v>8</v>
      </c>
      <c r="D2" s="1" t="s">
        <v>9</v>
      </c>
      <c r="E2" s="1"/>
      <c r="F2" s="1"/>
      <c r="G2" s="1"/>
      <c r="H2" s="1" t="s">
        <v>8</v>
      </c>
      <c r="I2" s="1" t="s">
        <v>6</v>
      </c>
      <c r="J2" s="1"/>
    </row>
    <row r="3" spans="2:12">
      <c r="B3" s="1" t="s">
        <v>10</v>
      </c>
      <c r="C3" s="1" t="s">
        <v>3</v>
      </c>
      <c r="D3" s="1" t="s">
        <v>4</v>
      </c>
      <c r="E3" s="1" t="s">
        <v>5</v>
      </c>
      <c r="F3" s="1"/>
      <c r="G3" s="1" t="s">
        <v>10</v>
      </c>
      <c r="H3" s="1" t="s">
        <v>3</v>
      </c>
      <c r="I3" s="1" t="s">
        <v>4</v>
      </c>
      <c r="J3" s="1" t="s">
        <v>5</v>
      </c>
    </row>
    <row r="4" spans="2:12">
      <c r="B4" s="1">
        <v>200</v>
      </c>
      <c r="C4" s="1"/>
      <c r="D4" s="1"/>
      <c r="E4" s="1"/>
      <c r="F4" s="1"/>
      <c r="G4" s="1">
        <v>200</v>
      </c>
      <c r="H4" s="1"/>
      <c r="I4" s="1"/>
      <c r="J4" s="1"/>
    </row>
    <row r="5" spans="2:12">
      <c r="B5" s="1">
        <v>190</v>
      </c>
      <c r="C5" s="1"/>
      <c r="D5" s="1"/>
      <c r="E5" s="1"/>
      <c r="F5" s="1"/>
      <c r="G5" s="1">
        <v>190</v>
      </c>
      <c r="H5" s="1"/>
      <c r="I5" s="1"/>
      <c r="J5" s="1"/>
    </row>
    <row r="6" spans="2:12">
      <c r="B6" s="1">
        <v>180</v>
      </c>
      <c r="C6" s="1">
        <v>15.6473</v>
      </c>
      <c r="D6" s="1">
        <v>16.288699999999999</v>
      </c>
      <c r="E6" s="1">
        <v>15.966100000000001</v>
      </c>
      <c r="F6" s="1"/>
      <c r="G6" s="1">
        <v>180</v>
      </c>
    </row>
    <row r="7" spans="2:12">
      <c r="B7" s="1">
        <v>170</v>
      </c>
      <c r="C7" s="1">
        <v>15.6473</v>
      </c>
      <c r="D7" s="1">
        <v>16.288699999999999</v>
      </c>
      <c r="E7" s="1">
        <v>15.966100000000001</v>
      </c>
      <c r="F7" s="1"/>
      <c r="G7" s="1">
        <v>170</v>
      </c>
      <c r="H7" s="1"/>
      <c r="I7" s="1"/>
      <c r="J7" s="1"/>
    </row>
    <row r="8" spans="2:12">
      <c r="B8" s="1">
        <v>160</v>
      </c>
      <c r="C8" s="1">
        <v>15.6473</v>
      </c>
      <c r="D8" s="1">
        <v>16.288699999999999</v>
      </c>
      <c r="E8" s="1">
        <v>15.966100000000001</v>
      </c>
      <c r="F8" s="1"/>
      <c r="G8" s="1">
        <v>160</v>
      </c>
      <c r="H8" s="1"/>
      <c r="I8" s="1"/>
      <c r="J8" s="1"/>
    </row>
    <row r="9" spans="2:12">
      <c r="B9" s="1">
        <v>150</v>
      </c>
      <c r="C9" s="1">
        <v>15.6473</v>
      </c>
      <c r="D9" s="1">
        <v>16.288699999999999</v>
      </c>
      <c r="E9" s="1">
        <v>15.966100000000001</v>
      </c>
      <c r="F9" s="1"/>
      <c r="G9" s="1">
        <v>150</v>
      </c>
      <c r="H9" s="1"/>
      <c r="I9" s="1"/>
      <c r="J9" s="1"/>
    </row>
    <row r="10" spans="2:12">
      <c r="B10" s="1">
        <v>140</v>
      </c>
      <c r="C10" s="1">
        <v>15.577</v>
      </c>
      <c r="D10" s="1">
        <v>16.317799999999998</v>
      </c>
      <c r="E10" s="1">
        <v>15.9452</v>
      </c>
      <c r="F10" s="1"/>
      <c r="G10" s="1">
        <v>140</v>
      </c>
      <c r="H10" s="1"/>
      <c r="I10" s="1"/>
      <c r="J10" s="1"/>
    </row>
    <row r="11" spans="2:12">
      <c r="B11" s="1">
        <v>130</v>
      </c>
      <c r="C11" s="1">
        <v>15.6473</v>
      </c>
      <c r="D11" s="1">
        <v>16.288699999999999</v>
      </c>
      <c r="E11" s="1">
        <v>15.966100000000001</v>
      </c>
      <c r="F11" s="1"/>
      <c r="G11" s="1">
        <v>130</v>
      </c>
      <c r="H11" s="1"/>
      <c r="I11" s="1"/>
      <c r="J11" s="1"/>
    </row>
    <row r="12" spans="2:12">
      <c r="B12" s="1">
        <v>120</v>
      </c>
      <c r="C12" s="1">
        <v>15.6473</v>
      </c>
      <c r="D12" s="1">
        <v>16.288699999999999</v>
      </c>
      <c r="E12" s="1">
        <v>15.966100000000001</v>
      </c>
      <c r="F12" s="1"/>
      <c r="G12" s="1">
        <v>120</v>
      </c>
      <c r="H12" s="1"/>
      <c r="I12" s="1"/>
      <c r="J12" s="1"/>
    </row>
    <row r="13" spans="2:12">
      <c r="B13" s="1">
        <v>110</v>
      </c>
      <c r="C13" s="1">
        <v>15.6473</v>
      </c>
      <c r="D13" s="1">
        <v>16.288699999999999</v>
      </c>
      <c r="E13" s="1">
        <v>15.966100000000001</v>
      </c>
      <c r="F13" s="1"/>
      <c r="G13" s="1">
        <v>110</v>
      </c>
      <c r="H13" s="1">
        <v>15.6473</v>
      </c>
      <c r="I13" s="1">
        <v>16.288699999999999</v>
      </c>
      <c r="J13" s="1">
        <v>15.961</v>
      </c>
      <c r="L13" t="s">
        <v>12</v>
      </c>
    </row>
    <row r="14" spans="2:12">
      <c r="B14" s="1">
        <v>100</v>
      </c>
      <c r="C14" s="1">
        <v>13.8741</v>
      </c>
      <c r="D14" s="1">
        <v>16.587700000000002</v>
      </c>
      <c r="E14" s="1">
        <v>15.1701</v>
      </c>
      <c r="F14" s="1"/>
      <c r="G14" s="1">
        <v>100</v>
      </c>
      <c r="H14" s="1"/>
      <c r="I14" s="1"/>
      <c r="J14" s="1"/>
    </row>
    <row r="15" spans="2:12">
      <c r="B15" s="1">
        <v>90</v>
      </c>
      <c r="C15" s="1">
        <v>14.4071</v>
      </c>
      <c r="D15" s="1">
        <v>16.501999999999999</v>
      </c>
      <c r="E15" s="1">
        <v>15.4133</v>
      </c>
      <c r="F15" s="1"/>
      <c r="G15" s="1">
        <v>90</v>
      </c>
      <c r="H15" s="1"/>
      <c r="I15" s="1"/>
      <c r="J15" s="1"/>
    </row>
    <row r="16" spans="2:12">
      <c r="B16" s="1">
        <v>80</v>
      </c>
      <c r="C16" s="1">
        <v>14.5128</v>
      </c>
      <c r="D16" s="1">
        <v>16.434000000000001</v>
      </c>
      <c r="E16" s="1">
        <v>15.435700000000001</v>
      </c>
      <c r="F16" s="1"/>
      <c r="G16" s="1">
        <v>80</v>
      </c>
      <c r="H16" s="1">
        <v>14.5128</v>
      </c>
      <c r="I16" s="1">
        <v>16.434000000000001</v>
      </c>
      <c r="J16" s="1">
        <v>15.435700000000001</v>
      </c>
      <c r="L16" t="s">
        <v>12</v>
      </c>
    </row>
    <row r="17" spans="2:10">
      <c r="B17" s="1">
        <v>70</v>
      </c>
      <c r="C17" s="1">
        <v>14.5128</v>
      </c>
      <c r="D17" s="1">
        <v>16.434000000000001</v>
      </c>
      <c r="E17" s="1">
        <v>15.435700000000001</v>
      </c>
      <c r="F17" s="1"/>
      <c r="G17" s="1">
        <v>70</v>
      </c>
      <c r="H17" s="1"/>
      <c r="I17" s="1"/>
      <c r="J17" s="1"/>
    </row>
    <row r="18" spans="2:10">
      <c r="B18" s="1">
        <v>60</v>
      </c>
      <c r="C18" s="1">
        <v>14.5128</v>
      </c>
      <c r="D18" s="1">
        <v>16.434000000000001</v>
      </c>
      <c r="E18" s="1">
        <v>15.435700000000001</v>
      </c>
      <c r="F18" s="1"/>
      <c r="G18" s="1">
        <v>60</v>
      </c>
      <c r="H18" s="1"/>
      <c r="I18" s="1"/>
      <c r="J18" s="1"/>
    </row>
    <row r="19" spans="2:10">
      <c r="B19" s="1"/>
      <c r="C19" s="1">
        <v>14.5128</v>
      </c>
      <c r="D19" s="1">
        <v>16.434000000000001</v>
      </c>
      <c r="E19" s="1">
        <v>15.435700000000001</v>
      </c>
      <c r="F19" s="1"/>
      <c r="G19" s="1"/>
      <c r="H19" s="1"/>
      <c r="I19" s="1"/>
      <c r="J19" s="1"/>
    </row>
    <row r="22" spans="2:10">
      <c r="C22" s="1" t="s">
        <v>0</v>
      </c>
      <c r="D22" s="1" t="s">
        <v>1</v>
      </c>
      <c r="E22" s="1" t="s">
        <v>11</v>
      </c>
      <c r="H22" s="1" t="s">
        <v>0</v>
      </c>
      <c r="I22" s="1" t="s">
        <v>7</v>
      </c>
      <c r="J22" s="1" t="s">
        <v>11</v>
      </c>
    </row>
    <row r="23" spans="2:10">
      <c r="B23" t="s">
        <v>2</v>
      </c>
      <c r="C23" s="1" t="s">
        <v>3</v>
      </c>
      <c r="D23" s="1" t="s">
        <v>4</v>
      </c>
      <c r="E23" s="1" t="s">
        <v>5</v>
      </c>
      <c r="G23" t="s">
        <v>2</v>
      </c>
      <c r="H23" s="1" t="s">
        <v>3</v>
      </c>
      <c r="I23" s="1" t="s">
        <v>4</v>
      </c>
      <c r="J23" s="1" t="s">
        <v>5</v>
      </c>
    </row>
    <row r="24" spans="2:10">
      <c r="B24">
        <v>200</v>
      </c>
      <c r="G24">
        <v>200</v>
      </c>
    </row>
    <row r="25" spans="2:10">
      <c r="B25">
        <v>190</v>
      </c>
      <c r="G25">
        <v>190</v>
      </c>
    </row>
    <row r="26" spans="2:10">
      <c r="B26">
        <v>180</v>
      </c>
      <c r="C26" s="1">
        <v>15.282400000000001</v>
      </c>
      <c r="D26" s="1">
        <v>16.077999999999999</v>
      </c>
      <c r="E26" s="1">
        <v>15.678699999999999</v>
      </c>
      <c r="G26">
        <v>180</v>
      </c>
    </row>
    <row r="27" spans="2:10">
      <c r="B27">
        <v>170</v>
      </c>
      <c r="C27" s="1">
        <v>15.282400000000001</v>
      </c>
      <c r="D27" s="1">
        <v>16.077999999999999</v>
      </c>
      <c r="E27" s="1">
        <v>15.678699999999999</v>
      </c>
      <c r="G27">
        <v>170</v>
      </c>
    </row>
    <row r="28" spans="2:10">
      <c r="B28">
        <v>160</v>
      </c>
      <c r="C28" s="1">
        <v>15.282400000000001</v>
      </c>
      <c r="D28" s="1">
        <v>16.077999999999999</v>
      </c>
      <c r="E28" s="1">
        <v>15.678699999999999</v>
      </c>
      <c r="G28">
        <v>160</v>
      </c>
    </row>
    <row r="29" spans="2:10">
      <c r="B29">
        <v>150</v>
      </c>
      <c r="C29" s="1">
        <v>15.282400000000001</v>
      </c>
      <c r="D29" s="1">
        <v>16.077999999999999</v>
      </c>
      <c r="E29" s="1">
        <v>15.678699999999999</v>
      </c>
      <c r="G29">
        <v>150</v>
      </c>
    </row>
    <row r="30" spans="2:10">
      <c r="B30">
        <v>140</v>
      </c>
      <c r="C30" s="1">
        <v>15.1685</v>
      </c>
      <c r="D30" s="1">
        <v>16.125</v>
      </c>
      <c r="E30" s="1">
        <v>15.645</v>
      </c>
      <c r="G30">
        <v>140</v>
      </c>
    </row>
    <row r="31" spans="2:10">
      <c r="B31">
        <v>130</v>
      </c>
      <c r="C31" s="1">
        <v>15.282400000000001</v>
      </c>
      <c r="D31">
        <v>16.077999999999999</v>
      </c>
      <c r="E31">
        <v>15.678699999999999</v>
      </c>
      <c r="G31">
        <v>130</v>
      </c>
    </row>
    <row r="32" spans="2:10">
      <c r="B32">
        <v>120</v>
      </c>
      <c r="C32">
        <v>15.282400000000001</v>
      </c>
      <c r="D32">
        <v>16.077999999999999</v>
      </c>
      <c r="E32">
        <v>15.678699999999999</v>
      </c>
      <c r="G32">
        <v>120</v>
      </c>
    </row>
    <row r="33" spans="2:10">
      <c r="B33">
        <v>110</v>
      </c>
      <c r="C33">
        <v>15.282400000000001</v>
      </c>
      <c r="D33">
        <v>16.077999999999999</v>
      </c>
      <c r="E33">
        <v>15.678699999999999</v>
      </c>
      <c r="G33">
        <v>110</v>
      </c>
      <c r="H33">
        <v>15.282400000000001</v>
      </c>
      <c r="I33">
        <v>16.077999999999999</v>
      </c>
      <c r="J33">
        <v>15.678699999999999</v>
      </c>
    </row>
    <row r="34" spans="2:10">
      <c r="B34">
        <v>100</v>
      </c>
      <c r="C34" s="1">
        <v>12.5334</v>
      </c>
      <c r="D34">
        <v>16.607900000000001</v>
      </c>
      <c r="E34">
        <v>14.4369</v>
      </c>
      <c r="G34">
        <v>100</v>
      </c>
    </row>
    <row r="35" spans="2:10">
      <c r="B35">
        <v>90</v>
      </c>
      <c r="C35" s="1">
        <v>13.347300000000001</v>
      </c>
      <c r="D35">
        <v>16.468399999999999</v>
      </c>
      <c r="E35">
        <v>14.8187</v>
      </c>
      <c r="G35">
        <v>90</v>
      </c>
    </row>
    <row r="36" spans="2:10">
      <c r="B36">
        <v>80</v>
      </c>
      <c r="C36">
        <v>13.513400000000001</v>
      </c>
      <c r="D36">
        <v>16.357800000000001</v>
      </c>
      <c r="E36">
        <v>14.8544</v>
      </c>
      <c r="G36">
        <v>80</v>
      </c>
      <c r="H36">
        <v>13.513400000000001</v>
      </c>
      <c r="I36">
        <v>16.357800000000001</v>
      </c>
      <c r="J36">
        <v>14.8544</v>
      </c>
    </row>
    <row r="37" spans="2:10">
      <c r="B37">
        <v>70</v>
      </c>
      <c r="C37">
        <v>13.513400000000001</v>
      </c>
      <c r="D37">
        <v>16.357800000000001</v>
      </c>
      <c r="E37">
        <v>14.8544</v>
      </c>
      <c r="G37">
        <v>70</v>
      </c>
    </row>
    <row r="38" spans="2:10">
      <c r="B38">
        <v>60</v>
      </c>
      <c r="C38">
        <v>13.513400000000001</v>
      </c>
      <c r="D38">
        <v>16.357800000000001</v>
      </c>
      <c r="E38">
        <v>14.8544</v>
      </c>
      <c r="G38">
        <v>60</v>
      </c>
    </row>
    <row r="39" spans="2:10">
      <c r="C39">
        <v>13.513400000000001</v>
      </c>
      <c r="D39">
        <v>16.357800000000001</v>
      </c>
      <c r="E39">
        <v>14.8544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46AF-205F-404B-BDBE-FB1EA25B196E}">
  <dimension ref="B2:J38"/>
  <sheetViews>
    <sheetView workbookViewId="0">
      <selection activeCell="B22" sqref="B22:J39"/>
    </sheetView>
  </sheetViews>
  <sheetFormatPr baseColWidth="10" defaultRowHeight="20"/>
  <sheetData>
    <row r="2" spans="2:10">
      <c r="B2" s="1"/>
      <c r="C2" s="1" t="s">
        <v>8</v>
      </c>
      <c r="D2" s="1" t="s">
        <v>9</v>
      </c>
      <c r="E2" s="1"/>
      <c r="F2" s="1"/>
      <c r="G2" s="1"/>
      <c r="H2" s="1" t="s">
        <v>8</v>
      </c>
      <c r="I2" s="1" t="s">
        <v>6</v>
      </c>
      <c r="J2" s="1"/>
    </row>
    <row r="3" spans="2:10">
      <c r="B3" s="1" t="s">
        <v>10</v>
      </c>
      <c r="C3" s="1" t="s">
        <v>3</v>
      </c>
      <c r="D3" s="1" t="s">
        <v>4</v>
      </c>
      <c r="E3" s="1" t="s">
        <v>5</v>
      </c>
      <c r="F3" s="1"/>
      <c r="G3" s="1" t="s">
        <v>10</v>
      </c>
      <c r="H3" s="1" t="s">
        <v>3</v>
      </c>
      <c r="I3" s="1" t="s">
        <v>4</v>
      </c>
      <c r="J3" s="1" t="s">
        <v>5</v>
      </c>
    </row>
    <row r="4" spans="2:10">
      <c r="B4" s="1">
        <v>200</v>
      </c>
      <c r="C4" s="1"/>
      <c r="D4" s="1"/>
      <c r="E4" s="1"/>
      <c r="F4" s="1"/>
      <c r="G4" s="1">
        <v>200</v>
      </c>
      <c r="H4" s="1"/>
      <c r="I4" s="1"/>
      <c r="J4" s="1"/>
    </row>
    <row r="5" spans="2:10">
      <c r="B5" s="1">
        <v>190</v>
      </c>
      <c r="C5" s="1"/>
      <c r="D5" s="1"/>
      <c r="E5" s="1"/>
      <c r="F5" s="1"/>
      <c r="G5" s="1">
        <v>190</v>
      </c>
      <c r="H5" s="1"/>
      <c r="I5" s="1"/>
      <c r="J5" s="1"/>
    </row>
    <row r="6" spans="2:10">
      <c r="B6" s="1">
        <v>180</v>
      </c>
      <c r="C6" s="1"/>
      <c r="D6" s="1"/>
      <c r="E6" s="1"/>
      <c r="F6" s="1"/>
      <c r="G6" s="1">
        <v>180</v>
      </c>
      <c r="H6" s="1"/>
      <c r="I6" s="1"/>
      <c r="J6" s="1"/>
    </row>
    <row r="7" spans="2:10">
      <c r="B7" s="1">
        <v>170</v>
      </c>
      <c r="C7" s="1"/>
      <c r="D7" s="1"/>
      <c r="E7" s="1"/>
      <c r="F7" s="1"/>
      <c r="G7" s="1">
        <v>170</v>
      </c>
      <c r="H7" s="1"/>
      <c r="I7" s="1"/>
      <c r="J7" s="1"/>
    </row>
    <row r="8" spans="2:10">
      <c r="B8" s="1">
        <v>160</v>
      </c>
      <c r="C8" s="1"/>
      <c r="D8" s="1"/>
      <c r="E8" s="1"/>
      <c r="F8" s="1"/>
      <c r="G8" s="1">
        <v>160</v>
      </c>
      <c r="H8" s="1"/>
      <c r="I8" s="1"/>
      <c r="J8" s="1"/>
    </row>
    <row r="9" spans="2:10">
      <c r="B9" s="1">
        <v>150</v>
      </c>
      <c r="C9" s="1"/>
      <c r="D9" s="1"/>
      <c r="E9" s="1"/>
      <c r="F9" s="1"/>
      <c r="G9" s="1">
        <v>150</v>
      </c>
      <c r="H9" s="1"/>
      <c r="I9" s="1"/>
      <c r="J9" s="1"/>
    </row>
    <row r="10" spans="2:10">
      <c r="B10" s="1">
        <v>140</v>
      </c>
      <c r="C10" s="1"/>
      <c r="D10" s="1"/>
      <c r="E10" s="1"/>
      <c r="F10" s="1"/>
      <c r="G10" s="1">
        <v>140</v>
      </c>
      <c r="H10" s="1"/>
      <c r="I10" s="1"/>
      <c r="J10" s="1"/>
    </row>
    <row r="11" spans="2:10">
      <c r="B11" s="1">
        <v>130</v>
      </c>
      <c r="C11" s="1"/>
      <c r="D11" s="1"/>
      <c r="E11" s="1"/>
      <c r="F11" s="1"/>
      <c r="G11" s="1">
        <v>130</v>
      </c>
      <c r="H11" s="1"/>
      <c r="I11" s="1"/>
      <c r="J11" s="1"/>
    </row>
    <row r="12" spans="2:10">
      <c r="B12" s="1">
        <v>120</v>
      </c>
      <c r="C12" s="1"/>
      <c r="D12" s="1"/>
      <c r="E12" s="1"/>
      <c r="F12" s="1"/>
      <c r="G12" s="1">
        <v>120</v>
      </c>
      <c r="H12" s="1"/>
      <c r="I12" s="1"/>
      <c r="J12" s="1"/>
    </row>
    <row r="13" spans="2:10">
      <c r="B13" s="1">
        <v>110</v>
      </c>
      <c r="C13" s="1"/>
      <c r="D13" s="1"/>
      <c r="E13" s="1"/>
      <c r="F13" s="1"/>
      <c r="G13" s="1">
        <v>110</v>
      </c>
      <c r="H13" s="1"/>
      <c r="I13" s="1"/>
      <c r="J13" s="1"/>
    </row>
    <row r="14" spans="2:10">
      <c r="B14" s="1">
        <v>100</v>
      </c>
      <c r="C14" s="1"/>
      <c r="D14" s="1"/>
      <c r="E14" s="1"/>
      <c r="F14" s="1"/>
      <c r="G14" s="1">
        <v>100</v>
      </c>
      <c r="H14" s="1"/>
      <c r="I14" s="1"/>
      <c r="J14" s="1"/>
    </row>
    <row r="15" spans="2:10">
      <c r="B15" s="1">
        <v>90</v>
      </c>
      <c r="C15" s="1"/>
      <c r="D15" s="1"/>
      <c r="E15" s="1"/>
      <c r="F15" s="1"/>
      <c r="G15" s="1">
        <v>90</v>
      </c>
      <c r="H15" s="1"/>
      <c r="I15" s="1"/>
      <c r="J15" s="1"/>
    </row>
    <row r="16" spans="2:10">
      <c r="B16" s="1">
        <v>80</v>
      </c>
      <c r="C16" s="1"/>
      <c r="D16" s="1"/>
      <c r="E16" s="1"/>
      <c r="F16" s="1"/>
      <c r="G16" s="1">
        <v>80</v>
      </c>
      <c r="H16" s="1"/>
      <c r="I16" s="1"/>
      <c r="J16" s="1"/>
    </row>
    <row r="17" spans="2:10">
      <c r="B17" s="1">
        <v>70</v>
      </c>
      <c r="C17" s="1"/>
      <c r="D17" s="1"/>
      <c r="E17" s="1"/>
      <c r="F17" s="1"/>
      <c r="G17" s="1">
        <v>70</v>
      </c>
      <c r="H17" s="1"/>
      <c r="I17" s="1"/>
      <c r="J17" s="1"/>
    </row>
    <row r="18" spans="2:10">
      <c r="B18" s="1">
        <v>60</v>
      </c>
      <c r="C18" s="1"/>
      <c r="D18" s="1"/>
      <c r="E18" s="1"/>
      <c r="F18" s="1"/>
      <c r="G18" s="1">
        <v>60</v>
      </c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2" spans="2:10">
      <c r="C22" s="1" t="s">
        <v>0</v>
      </c>
      <c r="D22" s="1" t="s">
        <v>1</v>
      </c>
      <c r="E22" s="1" t="s">
        <v>11</v>
      </c>
      <c r="H22" s="1" t="s">
        <v>0</v>
      </c>
      <c r="I22" s="1" t="s">
        <v>7</v>
      </c>
      <c r="J22" s="1" t="s">
        <v>11</v>
      </c>
    </row>
    <row r="23" spans="2:10">
      <c r="B23" t="s">
        <v>2</v>
      </c>
      <c r="C23" s="1" t="s">
        <v>3</v>
      </c>
      <c r="D23" s="1" t="s">
        <v>4</v>
      </c>
      <c r="E23" s="1" t="s">
        <v>5</v>
      </c>
      <c r="G23" t="s">
        <v>2</v>
      </c>
      <c r="H23" s="1" t="s">
        <v>3</v>
      </c>
      <c r="I23" s="1" t="s">
        <v>4</v>
      </c>
      <c r="J23" s="1" t="s">
        <v>5</v>
      </c>
    </row>
    <row r="24" spans="2:10">
      <c r="B24">
        <v>200</v>
      </c>
      <c r="G24">
        <v>200</v>
      </c>
    </row>
    <row r="25" spans="2:10">
      <c r="B25">
        <v>190</v>
      </c>
      <c r="G25">
        <v>190</v>
      </c>
    </row>
    <row r="26" spans="2:10">
      <c r="B26">
        <v>180</v>
      </c>
      <c r="G26">
        <v>180</v>
      </c>
    </row>
    <row r="27" spans="2:10">
      <c r="B27">
        <v>170</v>
      </c>
      <c r="G27">
        <v>170</v>
      </c>
    </row>
    <row r="28" spans="2:10">
      <c r="B28">
        <v>160</v>
      </c>
      <c r="G28">
        <v>160</v>
      </c>
    </row>
    <row r="29" spans="2:10">
      <c r="B29">
        <v>150</v>
      </c>
      <c r="G29">
        <v>150</v>
      </c>
    </row>
    <row r="30" spans="2:10">
      <c r="B30">
        <v>140</v>
      </c>
      <c r="G30">
        <v>140</v>
      </c>
    </row>
    <row r="31" spans="2:10">
      <c r="B31">
        <v>130</v>
      </c>
      <c r="G31">
        <v>130</v>
      </c>
    </row>
    <row r="32" spans="2:10">
      <c r="B32">
        <v>120</v>
      </c>
      <c r="G32">
        <v>120</v>
      </c>
    </row>
    <row r="33" spans="2:7">
      <c r="B33">
        <v>110</v>
      </c>
      <c r="G33">
        <v>110</v>
      </c>
    </row>
    <row r="34" spans="2:7">
      <c r="B34">
        <v>100</v>
      </c>
      <c r="G34">
        <v>100</v>
      </c>
    </row>
    <row r="35" spans="2:7">
      <c r="B35">
        <v>90</v>
      </c>
      <c r="G35">
        <v>90</v>
      </c>
    </row>
    <row r="36" spans="2:7">
      <c r="B36">
        <v>80</v>
      </c>
      <c r="G36">
        <v>80</v>
      </c>
    </row>
    <row r="37" spans="2:7">
      <c r="B37">
        <v>70</v>
      </c>
      <c r="G37">
        <v>70</v>
      </c>
    </row>
    <row r="38" spans="2:7">
      <c r="B38">
        <v>60</v>
      </c>
      <c r="G38">
        <v>60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B133-94F1-6946-80AE-BF268DBBD2F4}">
  <dimension ref="B2:J38"/>
  <sheetViews>
    <sheetView workbookViewId="0">
      <selection activeCell="B22" sqref="B22:J39"/>
    </sheetView>
  </sheetViews>
  <sheetFormatPr baseColWidth="10" defaultRowHeight="20"/>
  <sheetData>
    <row r="2" spans="2:10">
      <c r="B2" s="1"/>
      <c r="C2" s="1" t="s">
        <v>8</v>
      </c>
      <c r="D2" s="1" t="s">
        <v>9</v>
      </c>
      <c r="E2" s="1"/>
      <c r="F2" s="1"/>
      <c r="G2" s="1"/>
      <c r="H2" s="1" t="s">
        <v>8</v>
      </c>
      <c r="I2" s="1" t="s">
        <v>6</v>
      </c>
      <c r="J2" s="1"/>
    </row>
    <row r="3" spans="2:10">
      <c r="B3" s="1" t="s">
        <v>10</v>
      </c>
      <c r="C3" s="1" t="s">
        <v>3</v>
      </c>
      <c r="D3" s="1" t="s">
        <v>4</v>
      </c>
      <c r="E3" s="1" t="s">
        <v>5</v>
      </c>
      <c r="F3" s="1"/>
      <c r="G3" s="1" t="s">
        <v>10</v>
      </c>
      <c r="H3" s="1" t="s">
        <v>3</v>
      </c>
      <c r="I3" s="1" t="s">
        <v>4</v>
      </c>
      <c r="J3" s="1" t="s">
        <v>5</v>
      </c>
    </row>
    <row r="4" spans="2:10">
      <c r="B4" s="1">
        <v>200</v>
      </c>
      <c r="C4" s="1"/>
      <c r="D4" s="1"/>
      <c r="E4" s="1"/>
      <c r="F4" s="1"/>
      <c r="G4" s="1">
        <v>200</v>
      </c>
      <c r="H4" s="1"/>
      <c r="I4" s="1"/>
      <c r="J4" s="1"/>
    </row>
    <row r="5" spans="2:10">
      <c r="B5" s="1">
        <v>190</v>
      </c>
      <c r="C5" s="1"/>
      <c r="D5" s="1"/>
      <c r="E5" s="1"/>
      <c r="F5" s="1"/>
      <c r="G5" s="1">
        <v>190</v>
      </c>
      <c r="H5" s="1"/>
      <c r="I5" s="1"/>
      <c r="J5" s="1"/>
    </row>
    <row r="6" spans="2:10">
      <c r="B6" s="1">
        <v>180</v>
      </c>
      <c r="C6" s="1"/>
      <c r="D6" s="1"/>
      <c r="E6" s="1"/>
      <c r="F6" s="1"/>
      <c r="G6" s="1">
        <v>180</v>
      </c>
      <c r="H6" s="1"/>
      <c r="I6" s="1"/>
      <c r="J6" s="1"/>
    </row>
    <row r="7" spans="2:10">
      <c r="B7" s="1">
        <v>170</v>
      </c>
      <c r="C7" s="1"/>
      <c r="D7" s="1"/>
      <c r="E7" s="1"/>
      <c r="F7" s="1"/>
      <c r="G7" s="1">
        <v>170</v>
      </c>
      <c r="H7" s="1"/>
      <c r="I7" s="1"/>
      <c r="J7" s="1"/>
    </row>
    <row r="8" spans="2:10">
      <c r="B8" s="1">
        <v>160</v>
      </c>
      <c r="C8" s="1"/>
      <c r="D8" s="1"/>
      <c r="E8" s="1"/>
      <c r="F8" s="1"/>
      <c r="G8" s="1">
        <v>160</v>
      </c>
      <c r="H8" s="1"/>
      <c r="I8" s="1"/>
      <c r="J8" s="1"/>
    </row>
    <row r="9" spans="2:10">
      <c r="B9" s="1">
        <v>150</v>
      </c>
      <c r="C9" s="1"/>
      <c r="D9" s="1"/>
      <c r="E9" s="1"/>
      <c r="F9" s="1"/>
      <c r="G9" s="1">
        <v>150</v>
      </c>
      <c r="H9" s="1"/>
      <c r="I9" s="1"/>
      <c r="J9" s="1"/>
    </row>
    <row r="10" spans="2:10">
      <c r="B10" s="1">
        <v>140</v>
      </c>
      <c r="C10" s="1"/>
      <c r="D10" s="1"/>
      <c r="E10" s="1"/>
      <c r="F10" s="1"/>
      <c r="G10" s="1">
        <v>140</v>
      </c>
      <c r="H10" s="1"/>
      <c r="I10" s="1"/>
      <c r="J10" s="1"/>
    </row>
    <row r="11" spans="2:10">
      <c r="B11" s="1">
        <v>130</v>
      </c>
      <c r="C11" s="1"/>
      <c r="D11" s="1"/>
      <c r="E11" s="1"/>
      <c r="F11" s="1"/>
      <c r="G11" s="1">
        <v>130</v>
      </c>
      <c r="H11" s="1"/>
      <c r="I11" s="1"/>
      <c r="J11" s="1"/>
    </row>
    <row r="12" spans="2:10">
      <c r="B12" s="1">
        <v>120</v>
      </c>
      <c r="C12" s="1"/>
      <c r="D12" s="1"/>
      <c r="E12" s="1"/>
      <c r="F12" s="1"/>
      <c r="G12" s="1">
        <v>120</v>
      </c>
      <c r="H12" s="1"/>
      <c r="I12" s="1"/>
      <c r="J12" s="1"/>
    </row>
    <row r="13" spans="2:10">
      <c r="B13" s="1">
        <v>110</v>
      </c>
      <c r="C13" s="1"/>
      <c r="D13" s="1"/>
      <c r="E13" s="1"/>
      <c r="F13" s="1"/>
      <c r="G13" s="1">
        <v>110</v>
      </c>
      <c r="H13" s="1"/>
      <c r="I13" s="1"/>
      <c r="J13" s="1"/>
    </row>
    <row r="14" spans="2:10">
      <c r="B14" s="1">
        <v>100</v>
      </c>
      <c r="C14" s="1"/>
      <c r="D14" s="1"/>
      <c r="E14" s="1"/>
      <c r="F14" s="1"/>
      <c r="G14" s="1">
        <v>100</v>
      </c>
      <c r="H14" s="1"/>
      <c r="I14" s="1"/>
      <c r="J14" s="1"/>
    </row>
    <row r="15" spans="2:10">
      <c r="B15" s="1">
        <v>90</v>
      </c>
      <c r="C15" s="1"/>
      <c r="D15" s="1"/>
      <c r="E15" s="1"/>
      <c r="F15" s="1"/>
      <c r="G15" s="1">
        <v>90</v>
      </c>
      <c r="H15" s="1"/>
      <c r="I15" s="1"/>
      <c r="J15" s="1"/>
    </row>
    <row r="16" spans="2:10">
      <c r="B16" s="1">
        <v>80</v>
      </c>
      <c r="C16" s="1"/>
      <c r="D16" s="1"/>
      <c r="E16" s="1"/>
      <c r="F16" s="1"/>
      <c r="G16" s="1">
        <v>80</v>
      </c>
      <c r="H16" s="1"/>
      <c r="I16" s="1"/>
      <c r="J16" s="1"/>
    </row>
    <row r="17" spans="2:10">
      <c r="B17" s="1">
        <v>70</v>
      </c>
      <c r="C17" s="1"/>
      <c r="D17" s="1"/>
      <c r="E17" s="1"/>
      <c r="F17" s="1"/>
      <c r="G17" s="1">
        <v>70</v>
      </c>
      <c r="H17" s="1"/>
      <c r="I17" s="1"/>
      <c r="J17" s="1"/>
    </row>
    <row r="18" spans="2:10">
      <c r="B18" s="1">
        <v>60</v>
      </c>
      <c r="C18" s="1"/>
      <c r="D18" s="1"/>
      <c r="E18" s="1"/>
      <c r="F18" s="1"/>
      <c r="G18" s="1">
        <v>60</v>
      </c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2" spans="2:10">
      <c r="C22" s="1" t="s">
        <v>0</v>
      </c>
      <c r="D22" s="1" t="s">
        <v>1</v>
      </c>
      <c r="E22" s="1" t="s">
        <v>11</v>
      </c>
      <c r="H22" s="1" t="s">
        <v>0</v>
      </c>
      <c r="I22" s="1" t="s">
        <v>7</v>
      </c>
      <c r="J22" s="1" t="s">
        <v>11</v>
      </c>
    </row>
    <row r="23" spans="2:10">
      <c r="B23" t="s">
        <v>2</v>
      </c>
      <c r="C23" s="1" t="s">
        <v>3</v>
      </c>
      <c r="D23" s="1" t="s">
        <v>4</v>
      </c>
      <c r="E23" s="1" t="s">
        <v>5</v>
      </c>
      <c r="G23" t="s">
        <v>2</v>
      </c>
      <c r="H23" s="1" t="s">
        <v>3</v>
      </c>
      <c r="I23" s="1" t="s">
        <v>4</v>
      </c>
      <c r="J23" s="1" t="s">
        <v>5</v>
      </c>
    </row>
    <row r="24" spans="2:10">
      <c r="B24">
        <v>200</v>
      </c>
      <c r="G24">
        <v>200</v>
      </c>
    </row>
    <row r="25" spans="2:10">
      <c r="B25">
        <v>190</v>
      </c>
      <c r="G25">
        <v>190</v>
      </c>
    </row>
    <row r="26" spans="2:10">
      <c r="B26">
        <v>180</v>
      </c>
      <c r="G26">
        <v>180</v>
      </c>
    </row>
    <row r="27" spans="2:10">
      <c r="B27">
        <v>170</v>
      </c>
      <c r="G27">
        <v>170</v>
      </c>
    </row>
    <row r="28" spans="2:10">
      <c r="B28">
        <v>160</v>
      </c>
      <c r="G28">
        <v>160</v>
      </c>
    </row>
    <row r="29" spans="2:10">
      <c r="B29">
        <v>150</v>
      </c>
      <c r="G29">
        <v>150</v>
      </c>
    </row>
    <row r="30" spans="2:10">
      <c r="B30">
        <v>140</v>
      </c>
      <c r="G30">
        <v>140</v>
      </c>
    </row>
    <row r="31" spans="2:10">
      <c r="B31">
        <v>130</v>
      </c>
      <c r="G31">
        <v>130</v>
      </c>
    </row>
    <row r="32" spans="2:10">
      <c r="B32">
        <v>120</v>
      </c>
      <c r="G32">
        <v>120</v>
      </c>
    </row>
    <row r="33" spans="2:7">
      <c r="B33">
        <v>110</v>
      </c>
      <c r="G33">
        <v>110</v>
      </c>
    </row>
    <row r="34" spans="2:7">
      <c r="B34">
        <v>100</v>
      </c>
      <c r="G34">
        <v>100</v>
      </c>
    </row>
    <row r="35" spans="2:7">
      <c r="B35">
        <v>90</v>
      </c>
      <c r="G35">
        <v>90</v>
      </c>
    </row>
    <row r="36" spans="2:7">
      <c r="B36">
        <v>80</v>
      </c>
      <c r="G36">
        <v>80</v>
      </c>
    </row>
    <row r="37" spans="2:7">
      <c r="B37">
        <v>70</v>
      </c>
      <c r="G37">
        <v>70</v>
      </c>
    </row>
    <row r="38" spans="2:7">
      <c r="B38">
        <v>60</v>
      </c>
      <c r="G38">
        <v>60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63AD-D7E3-9448-84E6-9609B2774DB2}">
  <dimension ref="B2:S38"/>
  <sheetViews>
    <sheetView tabSelected="1" workbookViewId="0">
      <selection activeCell="B26" sqref="B26:E38"/>
    </sheetView>
  </sheetViews>
  <sheetFormatPr baseColWidth="10" defaultRowHeight="20"/>
  <sheetData>
    <row r="2" spans="2:19">
      <c r="B2" s="1"/>
      <c r="C2" s="1" t="s">
        <v>8</v>
      </c>
      <c r="D2" s="1" t="s">
        <v>9</v>
      </c>
      <c r="E2" s="1"/>
      <c r="F2" s="1"/>
      <c r="G2" s="1"/>
      <c r="H2" s="1" t="s">
        <v>8</v>
      </c>
      <c r="I2" s="1" t="s">
        <v>6</v>
      </c>
      <c r="J2" s="1"/>
    </row>
    <row r="3" spans="2:19">
      <c r="B3" s="1" t="s">
        <v>10</v>
      </c>
      <c r="C3" s="1" t="s">
        <v>3</v>
      </c>
      <c r="D3" s="1" t="s">
        <v>4</v>
      </c>
      <c r="E3" s="1" t="s">
        <v>5</v>
      </c>
      <c r="F3" s="1"/>
      <c r="G3" s="1" t="s">
        <v>10</v>
      </c>
      <c r="H3" s="1" t="s">
        <v>3</v>
      </c>
      <c r="I3" s="1" t="s">
        <v>4</v>
      </c>
      <c r="J3" s="1" t="s">
        <v>5</v>
      </c>
    </row>
    <row r="4" spans="2:19">
      <c r="B4" s="1">
        <v>200</v>
      </c>
      <c r="C4" s="1" t="e">
        <f>ROUND(AVERAGE(seed1!C4,seed2!C4,seed4!C4,seed5!C4,seed7!C4,seed8!C4,seed9!C4,seed10!C4),4)</f>
        <v>#DIV/0!</v>
      </c>
      <c r="D4" s="1" t="e">
        <f>ROUND(AVERAGE(seed1!D4,seed2!D4,seed4!D4,seed5!D4,seed7!D4,seed8!D4,seed9!D4,seed10!D4),4)</f>
        <v>#DIV/0!</v>
      </c>
      <c r="E4" s="1" t="e">
        <f>ROUND(AVERAGE(seed1!E4,seed2!E4,seed4!E4,seed5!E4,seed7!E4,seed8!E4,seed9!E4,seed10!E4),4)</f>
        <v>#DIV/0!</v>
      </c>
      <c r="F4" s="1"/>
      <c r="G4" s="1">
        <v>200</v>
      </c>
      <c r="H4" s="1" t="e">
        <f>ROUND(AVERAGE(seed1!H4,seed2!H4,seed4!H4,seed5!H4,seed7!H4,seed8!H4,seed9!H4,seed10!H4),4)</f>
        <v>#DIV/0!</v>
      </c>
      <c r="I4" s="1"/>
      <c r="J4" s="1"/>
    </row>
    <row r="5" spans="2:19">
      <c r="B5" s="1">
        <v>190</v>
      </c>
      <c r="C5" s="1" t="e">
        <f>ROUND(AVERAGE(seed1!C5,seed2!C5,seed4!C5,seed5!C5,seed7!C5,seed8!C5,seed9!C5,seed10!C5),4)</f>
        <v>#DIV/0!</v>
      </c>
      <c r="D5" s="1" t="e">
        <f>ROUND(AVERAGE(seed1!D5,seed2!D5,seed4!D5,seed5!D5,seed7!D5,seed8!D5,seed9!D5,seed10!D5),4)</f>
        <v>#DIV/0!</v>
      </c>
      <c r="E5" s="1" t="e">
        <f>ROUND(AVERAGE(seed1!E5,seed2!E5,seed4!E5,seed5!E5,seed7!E5,seed8!E5,seed9!E5,seed10!E5),4)</f>
        <v>#DIV/0!</v>
      </c>
      <c r="F5" s="1"/>
      <c r="G5" s="1">
        <v>190</v>
      </c>
      <c r="H5" s="1"/>
      <c r="I5" s="1"/>
      <c r="J5" s="1"/>
      <c r="M5" t="s">
        <v>13</v>
      </c>
      <c r="Q5" t="s">
        <v>13</v>
      </c>
      <c r="R5" t="s">
        <v>14</v>
      </c>
      <c r="S5" t="s">
        <v>15</v>
      </c>
    </row>
    <row r="6" spans="2:19">
      <c r="B6" s="1">
        <v>180</v>
      </c>
      <c r="C6" s="1">
        <f>ROUND(AVERAGE(seed1!C6,seed2!C6,seed4!C6,seed5!C6,seed7!C6,seed8!C6,seed9!C6,seed10!C6),4)</f>
        <v>14.949400000000001</v>
      </c>
      <c r="D6" s="1">
        <f>ROUND(AVERAGE(seed1!D6,seed2!D6,seed4!D6,seed5!D6,seed7!D6,seed8!D6,seed9!D6,seed10!D6),4)</f>
        <v>15.378299999999999</v>
      </c>
      <c r="E6" s="1">
        <f>ROUND(AVERAGE(seed1!E6,seed2!E6,seed4!E6,seed5!E6,seed7!E6,seed8!E6,seed9!E6,seed10!E6),4)</f>
        <v>15.1608</v>
      </c>
      <c r="F6" s="1"/>
      <c r="G6" s="1">
        <v>180</v>
      </c>
      <c r="H6" s="1"/>
      <c r="I6" s="1"/>
      <c r="J6" s="1"/>
      <c r="L6">
        <v>180</v>
      </c>
      <c r="M6">
        <f>E6</f>
        <v>15.1608</v>
      </c>
      <c r="P6">
        <v>180</v>
      </c>
      <c r="Q6">
        <f>E6</f>
        <v>15.1608</v>
      </c>
      <c r="R6">
        <f>C6</f>
        <v>14.949400000000001</v>
      </c>
      <c r="S6">
        <f>D6</f>
        <v>15.378299999999999</v>
      </c>
    </row>
    <row r="7" spans="2:19">
      <c r="B7" s="1">
        <v>170</v>
      </c>
      <c r="C7" s="1">
        <f>ROUND(AVERAGE(seed1!C7,seed2!C7,seed4!C7,seed5!C7,seed7!C7,seed8!C7,seed9!C7,seed10!C7),4)</f>
        <v>14.8818</v>
      </c>
      <c r="D7" s="1">
        <f>ROUND(AVERAGE(seed1!D7,seed2!D7,seed4!D7,seed5!D7,seed7!D7,seed8!D7,seed9!D7,seed10!D7),4)</f>
        <v>15.548299999999999</v>
      </c>
      <c r="E7" s="1">
        <f>ROUND(AVERAGE(seed1!E7,seed2!E7,seed4!E7,seed5!E7,seed7!E7,seed8!E7,seed9!E7,seed10!E7),4)</f>
        <v>15.2019</v>
      </c>
      <c r="F7" s="1"/>
      <c r="G7" s="1">
        <v>170</v>
      </c>
      <c r="H7" s="1"/>
      <c r="I7" s="1"/>
      <c r="J7" s="1"/>
      <c r="L7">
        <v>170</v>
      </c>
      <c r="M7">
        <f t="shared" ref="M7:M38" si="0">E7</f>
        <v>15.2019</v>
      </c>
      <c r="P7">
        <v>170</v>
      </c>
      <c r="Q7">
        <f t="shared" ref="Q7:Q17" si="1">E7</f>
        <v>15.2019</v>
      </c>
      <c r="R7">
        <f t="shared" ref="R7:R17" si="2">C7</f>
        <v>14.8818</v>
      </c>
      <c r="S7">
        <f t="shared" ref="S7:S17" si="3">D7</f>
        <v>15.548299999999999</v>
      </c>
    </row>
    <row r="8" spans="2:19">
      <c r="B8" s="1">
        <v>160</v>
      </c>
      <c r="C8" s="1">
        <f>ROUND(AVERAGE(seed1!C8,seed2!C8,seed4!C8,seed5!C8,seed7!C8,seed8!C8,seed9!C8,seed10!C8),4)</f>
        <v>14.867000000000001</v>
      </c>
      <c r="D8" s="1">
        <f>ROUND(AVERAGE(seed1!D8,seed2!D8,seed4!D8,seed5!D8,seed7!D8,seed8!D8,seed9!D8,seed10!D8),4)</f>
        <v>15.0075</v>
      </c>
      <c r="E8" s="1">
        <f>ROUND(AVERAGE(seed1!E8,seed2!E8,seed4!E8,seed5!E8,seed7!E8,seed8!E8,seed9!E8,seed10!E8),4)</f>
        <v>14.939500000000001</v>
      </c>
      <c r="F8" s="1"/>
      <c r="G8" s="1">
        <v>160</v>
      </c>
      <c r="H8" s="1"/>
      <c r="I8" s="1"/>
      <c r="J8" s="1"/>
      <c r="L8">
        <v>160</v>
      </c>
      <c r="M8">
        <f t="shared" si="0"/>
        <v>14.939500000000001</v>
      </c>
      <c r="P8">
        <v>160</v>
      </c>
      <c r="Q8">
        <f t="shared" si="1"/>
        <v>14.939500000000001</v>
      </c>
      <c r="R8">
        <f t="shared" si="2"/>
        <v>14.867000000000001</v>
      </c>
      <c r="S8">
        <f t="shared" si="3"/>
        <v>15.0075</v>
      </c>
    </row>
    <row r="9" spans="2:19">
      <c r="B9" s="1">
        <v>150</v>
      </c>
      <c r="C9" s="1">
        <f>ROUND(AVERAGE(seed1!C9,seed2!C9,seed4!C9,seed5!C9,seed7!C9,seed8!C9,seed9!C9,seed10!C9),4)</f>
        <v>14.7644</v>
      </c>
      <c r="D9" s="1">
        <f>ROUND(AVERAGE(seed1!D9,seed2!D9,seed4!D9,seed5!D9,seed7!D9,seed8!D9,seed9!D9,seed10!D9),4)</f>
        <v>15.146000000000001</v>
      </c>
      <c r="E9" s="1">
        <f>ROUND(AVERAGE(seed1!E9,seed2!E9,seed4!E9,seed5!E9,seed7!E9,seed8!E9,seed9!E9,seed10!E9),4)</f>
        <v>14.9533</v>
      </c>
      <c r="F9" s="1"/>
      <c r="G9" s="1">
        <v>150</v>
      </c>
      <c r="H9" s="1"/>
      <c r="I9" s="1"/>
      <c r="J9" s="1"/>
      <c r="L9">
        <v>150</v>
      </c>
      <c r="M9">
        <f t="shared" si="0"/>
        <v>14.9533</v>
      </c>
      <c r="P9">
        <v>150</v>
      </c>
      <c r="Q9">
        <f t="shared" si="1"/>
        <v>14.9533</v>
      </c>
      <c r="R9">
        <f t="shared" si="2"/>
        <v>14.7644</v>
      </c>
      <c r="S9">
        <f t="shared" si="3"/>
        <v>15.146000000000001</v>
      </c>
    </row>
    <row r="10" spans="2:19">
      <c r="B10" s="1">
        <v>140</v>
      </c>
      <c r="C10" s="1">
        <f>ROUND(AVERAGE(seed1!C10,seed2!C10,seed4!C10,seed5!C10,seed7!C10,seed8!C10,seed9!C10,seed10!C10),4)</f>
        <v>14.813499999999999</v>
      </c>
      <c r="D10" s="1">
        <f>ROUND(AVERAGE(seed1!D10,seed2!D10,seed4!D10,seed5!D10,seed7!D10,seed8!D10,seed9!D10,seed10!D10),4)</f>
        <v>15.4573</v>
      </c>
      <c r="E10" s="1">
        <f>ROUND(AVERAGE(seed1!E10,seed2!E10,seed4!E10,seed5!E10,seed7!E10,seed8!E10,seed9!E10,seed10!E10),4)</f>
        <v>15.130699999999999</v>
      </c>
      <c r="F10" s="1"/>
      <c r="G10" s="1">
        <v>140</v>
      </c>
      <c r="H10" s="1"/>
      <c r="I10" s="1"/>
      <c r="J10" s="1"/>
      <c r="L10">
        <v>140</v>
      </c>
      <c r="M10">
        <f t="shared" si="0"/>
        <v>15.130699999999999</v>
      </c>
      <c r="P10">
        <v>140</v>
      </c>
      <c r="Q10">
        <f t="shared" si="1"/>
        <v>15.130699999999999</v>
      </c>
      <c r="R10">
        <f t="shared" si="2"/>
        <v>14.813499999999999</v>
      </c>
      <c r="S10">
        <f t="shared" si="3"/>
        <v>15.4573</v>
      </c>
    </row>
    <row r="11" spans="2:19">
      <c r="B11" s="1">
        <v>130</v>
      </c>
      <c r="C11" s="1">
        <f>ROUND(AVERAGE(seed1!C11,seed2!C11,seed4!C11,seed5!C11,seed7!C11,seed8!C11,seed9!C11,seed10!C11),4)</f>
        <v>14.827299999999999</v>
      </c>
      <c r="D11" s="1">
        <f>ROUND(AVERAGE(seed1!D11,seed2!D11,seed4!D11,seed5!D11,seed7!D11,seed8!D11,seed9!D11,seed10!D11),4)</f>
        <v>15.2944</v>
      </c>
      <c r="E11" s="1">
        <f>ROUND(AVERAGE(seed1!E11,seed2!E11,seed4!E11,seed5!E11,seed7!E11,seed8!E11,seed9!E11,seed10!E11),4)</f>
        <v>15.0579</v>
      </c>
      <c r="F11" s="1"/>
      <c r="G11" s="1">
        <v>130</v>
      </c>
      <c r="H11" s="1"/>
      <c r="I11" s="1"/>
      <c r="J11" s="1"/>
      <c r="L11">
        <v>130</v>
      </c>
      <c r="M11">
        <f t="shared" si="0"/>
        <v>15.0579</v>
      </c>
      <c r="P11">
        <v>130</v>
      </c>
      <c r="Q11">
        <f t="shared" si="1"/>
        <v>15.0579</v>
      </c>
      <c r="R11">
        <f t="shared" si="2"/>
        <v>14.827299999999999</v>
      </c>
      <c r="S11">
        <f t="shared" si="3"/>
        <v>15.2944</v>
      </c>
    </row>
    <row r="12" spans="2:19">
      <c r="B12" s="1">
        <v>120</v>
      </c>
      <c r="C12" s="1">
        <f>ROUND(AVERAGE(seed1!C12,seed2!C12,seed4!C12,seed5!C12,seed7!C12,seed8!C12,seed9!C12,seed10!C12),4)</f>
        <v>14.8988</v>
      </c>
      <c r="D12" s="1">
        <f>ROUND(AVERAGE(seed1!D12,seed2!D12,seed4!D12,seed5!D12,seed7!D12,seed8!D12,seed9!D12,seed10!D12),4)</f>
        <v>15.758100000000001</v>
      </c>
      <c r="E12" s="1">
        <f>ROUND(AVERAGE(seed1!E12,seed2!E12,seed4!E12,seed5!E12,seed7!E12,seed8!E12,seed9!E12,seed10!E12),4)</f>
        <v>15.311999999999999</v>
      </c>
      <c r="F12" s="1"/>
      <c r="G12" s="1">
        <v>120</v>
      </c>
      <c r="H12" s="1"/>
      <c r="I12" s="1"/>
      <c r="J12" s="1"/>
      <c r="L12">
        <v>120</v>
      </c>
      <c r="M12">
        <f t="shared" si="0"/>
        <v>15.311999999999999</v>
      </c>
      <c r="P12">
        <v>120</v>
      </c>
      <c r="Q12">
        <f t="shared" si="1"/>
        <v>15.311999999999999</v>
      </c>
      <c r="R12">
        <f t="shared" si="2"/>
        <v>14.8988</v>
      </c>
      <c r="S12">
        <f t="shared" si="3"/>
        <v>15.758100000000001</v>
      </c>
    </row>
    <row r="13" spans="2:19">
      <c r="B13" s="1">
        <v>110</v>
      </c>
      <c r="C13" s="1">
        <f>ROUND(AVERAGE(seed1!C13,seed2!C13,seed4!C13,seed5!C13,seed7!C13,seed8!C13,seed9!C13,seed10!C13),4)</f>
        <v>14.9025</v>
      </c>
      <c r="D13" s="1">
        <f>ROUND(AVERAGE(seed1!D13,seed2!D13,seed4!D13,seed5!D13,seed7!D13,seed8!D13,seed9!D13,seed10!D13),4)</f>
        <v>15.9156</v>
      </c>
      <c r="E13" s="1">
        <f>ROUND(AVERAGE(seed1!E13,seed2!E13,seed4!E13,seed5!E13,seed7!E13,seed8!E13,seed9!E13,seed10!E13),4)</f>
        <v>15.3909</v>
      </c>
      <c r="F13" s="1"/>
      <c r="G13" s="1">
        <v>110</v>
      </c>
      <c r="H13" s="1"/>
      <c r="I13" s="1"/>
      <c r="J13" s="1"/>
      <c r="L13">
        <v>110</v>
      </c>
      <c r="M13">
        <f t="shared" si="0"/>
        <v>15.3909</v>
      </c>
      <c r="P13">
        <v>110</v>
      </c>
      <c r="Q13">
        <f t="shared" si="1"/>
        <v>15.3909</v>
      </c>
      <c r="R13">
        <f t="shared" si="2"/>
        <v>14.9025</v>
      </c>
      <c r="S13">
        <f t="shared" si="3"/>
        <v>15.9156</v>
      </c>
    </row>
    <row r="14" spans="2:19">
      <c r="B14" s="1">
        <v>100</v>
      </c>
      <c r="C14" s="1">
        <f>ROUND(AVERAGE(seed1!C14,seed2!C14,seed4!C14,seed5!C14,seed7!C14,seed8!C14,seed9!C14,seed10!C14),4)</f>
        <v>14.6938</v>
      </c>
      <c r="D14" s="1">
        <f>ROUND(AVERAGE(seed1!D14,seed2!D14,seed4!D14,seed5!D14,seed7!D14,seed8!D14,seed9!D14,seed10!D14),4)</f>
        <v>15.533200000000001</v>
      </c>
      <c r="E14" s="1">
        <f>ROUND(AVERAGE(seed1!E14,seed2!E14,seed4!E14,seed5!E14,seed7!E14,seed8!E14,seed9!E14,seed10!E14),4)</f>
        <v>15.097300000000001</v>
      </c>
      <c r="F14" s="1"/>
      <c r="G14" s="1">
        <v>100</v>
      </c>
      <c r="H14" s="1"/>
      <c r="I14" s="1"/>
      <c r="J14" s="1"/>
      <c r="L14">
        <v>100</v>
      </c>
      <c r="M14">
        <f t="shared" si="0"/>
        <v>15.097300000000001</v>
      </c>
      <c r="P14">
        <v>100</v>
      </c>
      <c r="Q14">
        <f t="shared" si="1"/>
        <v>15.097300000000001</v>
      </c>
      <c r="R14">
        <f t="shared" si="2"/>
        <v>14.6938</v>
      </c>
      <c r="S14">
        <f t="shared" si="3"/>
        <v>15.533200000000001</v>
      </c>
    </row>
    <row r="15" spans="2:19">
      <c r="B15" s="1">
        <v>90</v>
      </c>
      <c r="C15" s="1">
        <f>ROUND(AVERAGE(seed1!C15,seed2!C15,seed4!C15,seed5!C15,seed7!C15,seed8!C15,seed9!C15,seed10!C15),4)</f>
        <v>14.7356</v>
      </c>
      <c r="D15" s="1">
        <f>ROUND(AVERAGE(seed1!D15,seed2!D15,seed4!D15,seed5!D15,seed7!D15,seed8!D15,seed9!D15,seed10!D15),4)</f>
        <v>15.557600000000001</v>
      </c>
      <c r="E15" s="1">
        <f>ROUND(AVERAGE(seed1!E15,seed2!E15,seed4!E15,seed5!E15,seed7!E15,seed8!E15,seed9!E15,seed10!E15),4)</f>
        <v>15.1389</v>
      </c>
      <c r="F15" s="1"/>
      <c r="G15" s="1">
        <v>90</v>
      </c>
      <c r="H15" s="1"/>
      <c r="I15" s="1"/>
      <c r="J15" s="1"/>
      <c r="L15">
        <v>90</v>
      </c>
      <c r="M15">
        <f t="shared" si="0"/>
        <v>15.1389</v>
      </c>
      <c r="P15">
        <v>90</v>
      </c>
      <c r="Q15">
        <f t="shared" si="1"/>
        <v>15.1389</v>
      </c>
      <c r="R15">
        <f t="shared" si="2"/>
        <v>14.7356</v>
      </c>
      <c r="S15">
        <f t="shared" si="3"/>
        <v>15.557600000000001</v>
      </c>
    </row>
    <row r="16" spans="2:19">
      <c r="B16" s="1">
        <v>80</v>
      </c>
      <c r="C16" s="1">
        <f>ROUND(AVERAGE(seed1!C16,seed2!C16,seed4!C16,seed5!C16,seed7!C16,seed8!C16,seed9!C16,seed10!C16),4)</f>
        <v>14.673400000000001</v>
      </c>
      <c r="D16" s="1">
        <f>ROUND(AVERAGE(seed1!D16,seed2!D16,seed4!D16,seed5!D16,seed7!D16,seed8!D16,seed9!D16,seed10!D16),4)</f>
        <v>15.8919</v>
      </c>
      <c r="E16" s="1">
        <f>ROUND(AVERAGE(seed1!E16,seed2!E16,seed4!E16,seed5!E16,seed7!E16,seed8!E16,seed9!E16,seed10!E16),4)</f>
        <v>15.260899999999999</v>
      </c>
      <c r="F16" s="1"/>
      <c r="G16" s="1">
        <v>80</v>
      </c>
      <c r="H16" s="1"/>
      <c r="I16" s="1"/>
      <c r="J16" s="1"/>
      <c r="L16">
        <v>80</v>
      </c>
      <c r="M16">
        <f t="shared" si="0"/>
        <v>15.260899999999999</v>
      </c>
      <c r="P16">
        <v>80</v>
      </c>
      <c r="Q16">
        <f t="shared" si="1"/>
        <v>15.260899999999999</v>
      </c>
      <c r="R16">
        <f t="shared" si="2"/>
        <v>14.673400000000001</v>
      </c>
      <c r="S16">
        <f t="shared" si="3"/>
        <v>15.8919</v>
      </c>
    </row>
    <row r="17" spans="2:19">
      <c r="B17" s="1">
        <v>70</v>
      </c>
      <c r="C17" s="1">
        <f>ROUND(AVERAGE(seed1!C17,seed2!C17,seed4!C17,seed5!C17,seed7!C17,seed8!C17,seed9!C17,seed10!C17),4)</f>
        <v>14.5502</v>
      </c>
      <c r="D17" s="1">
        <f>ROUND(AVERAGE(seed1!D17,seed2!D17,seed4!D17,seed5!D17,seed7!D17,seed8!D17,seed9!D17,seed10!D17),4)</f>
        <v>15.383599999999999</v>
      </c>
      <c r="E17" s="1">
        <f>ROUND(AVERAGE(seed1!E17,seed2!E17,seed4!E17,seed5!E17,seed7!E17,seed8!E17,seed9!E17,seed10!E17),4)</f>
        <v>14.956899999999999</v>
      </c>
      <c r="F17" s="1"/>
      <c r="G17" s="1">
        <v>70</v>
      </c>
      <c r="H17" s="1"/>
      <c r="I17" s="1"/>
      <c r="J17" s="1"/>
      <c r="L17">
        <v>70</v>
      </c>
      <c r="M17">
        <f t="shared" si="0"/>
        <v>14.956899999999999</v>
      </c>
      <c r="P17">
        <v>70</v>
      </c>
      <c r="Q17">
        <f t="shared" si="1"/>
        <v>14.956899999999999</v>
      </c>
      <c r="R17">
        <f t="shared" si="2"/>
        <v>14.5502</v>
      </c>
      <c r="S17">
        <f t="shared" si="3"/>
        <v>15.383599999999999</v>
      </c>
    </row>
    <row r="18" spans="2:19">
      <c r="B18" s="1">
        <v>60</v>
      </c>
      <c r="C18" s="1">
        <f>ROUND(AVERAGE(seed1!C18,seed2!C18,seed4!C18,seed5!C18,seed7!C18,seed8!C18,seed9!C18,seed10!C18),4)</f>
        <v>14.618499999999999</v>
      </c>
      <c r="D18" s="1">
        <f>ROUND(AVERAGE(seed1!D18,seed2!D18,seed4!D18,seed5!D18,seed7!D18,seed8!D18,seed9!D18,seed10!D18),4)</f>
        <v>15.414400000000001</v>
      </c>
      <c r="E18" s="1">
        <f>ROUND(AVERAGE(seed1!E18,seed2!E18,seed4!E18,seed5!E18,seed7!E18,seed8!E18,seed9!E18,seed10!E18),4)</f>
        <v>15.007999999999999</v>
      </c>
      <c r="F18" s="1"/>
      <c r="G18" s="1">
        <v>60</v>
      </c>
      <c r="H18" s="1"/>
      <c r="I18" s="1"/>
      <c r="J18" s="1"/>
      <c r="L18">
        <v>60</v>
      </c>
      <c r="M18">
        <f t="shared" si="0"/>
        <v>15.007999999999999</v>
      </c>
      <c r="P18">
        <v>60</v>
      </c>
      <c r="Q18">
        <f>E18</f>
        <v>15.007999999999999</v>
      </c>
      <c r="R18">
        <f>C18</f>
        <v>14.618499999999999</v>
      </c>
      <c r="S18">
        <f>D18</f>
        <v>15.414400000000001</v>
      </c>
    </row>
    <row r="19" spans="2:19">
      <c r="B19" s="1"/>
      <c r="C19" s="1"/>
      <c r="D19" s="1"/>
      <c r="E19" s="1"/>
      <c r="F19" s="1"/>
      <c r="G19" s="1"/>
      <c r="H19" s="1"/>
      <c r="I19" s="1"/>
      <c r="J19" s="1"/>
    </row>
    <row r="22" spans="2:19">
      <c r="C22" s="1" t="s">
        <v>0</v>
      </c>
      <c r="D22" s="1" t="s">
        <v>1</v>
      </c>
      <c r="E22" s="1" t="s">
        <v>11</v>
      </c>
      <c r="H22" s="1" t="s">
        <v>0</v>
      </c>
      <c r="I22" s="1" t="s">
        <v>7</v>
      </c>
      <c r="J22" s="1" t="s">
        <v>11</v>
      </c>
    </row>
    <row r="23" spans="2:19">
      <c r="B23" t="s">
        <v>2</v>
      </c>
      <c r="C23" s="1" t="s">
        <v>3</v>
      </c>
      <c r="D23" s="1" t="s">
        <v>4</v>
      </c>
      <c r="E23" s="1" t="s">
        <v>5</v>
      </c>
      <c r="G23" t="s">
        <v>2</v>
      </c>
      <c r="H23" s="1" t="s">
        <v>3</v>
      </c>
      <c r="I23" s="1" t="s">
        <v>4</v>
      </c>
      <c r="J23" s="1" t="s">
        <v>5</v>
      </c>
    </row>
    <row r="24" spans="2:19">
      <c r="B24">
        <v>200</v>
      </c>
      <c r="C24" s="1" t="e">
        <f>ROUND(AVERAGE(seed1!C24,seed2!C24,seed4!C24,seed5!C24,seed7!C24,seed8!C24,seed9!C24,seed10!C24),4)</f>
        <v>#DIV/0!</v>
      </c>
      <c r="D24" s="1" t="e">
        <f>ROUND(AVERAGE(seed1!D24,seed2!D24,seed4!D24,seed5!D24,seed7!D24,seed8!D24,seed9!D24,seed10!D24),4)</f>
        <v>#DIV/0!</v>
      </c>
      <c r="E24" s="1" t="e">
        <f>ROUND(AVERAGE(seed1!E24,seed2!E24,seed4!E24,seed5!E24,seed7!E24,seed8!E24,seed9!E24,seed10!E24),4)</f>
        <v>#DIV/0!</v>
      </c>
      <c r="G24">
        <v>200</v>
      </c>
      <c r="H24" s="1" t="e">
        <f>ROUND(AVERAGE(seed1!H24,seed2!H24,seed4!H24,seed5!H24,seed7!H24,seed8!H24,seed9!H24,seed10!H24),4)</f>
        <v>#DIV/0!</v>
      </c>
    </row>
    <row r="25" spans="2:19">
      <c r="B25">
        <v>190</v>
      </c>
      <c r="C25" s="1" t="e">
        <f>ROUND(AVERAGE(seed1!C25,seed2!C25,seed4!C25,seed5!C25,seed7!C25,seed8!C25,seed9!C25,seed10!C25),4)</f>
        <v>#DIV/0!</v>
      </c>
      <c r="D25" s="1" t="e">
        <f>ROUND(AVERAGE(seed1!D25,seed2!D25,seed4!D25,seed5!D25,seed7!D25,seed8!D25,seed9!D25,seed10!D25),4)</f>
        <v>#DIV/0!</v>
      </c>
      <c r="E25" s="1" t="e">
        <f>ROUND(AVERAGE(seed1!E25,seed2!E25,seed4!E25,seed5!E25,seed7!E25,seed8!E25,seed9!E25,seed10!E25),4)</f>
        <v>#DIV/0!</v>
      </c>
      <c r="G25">
        <v>190</v>
      </c>
      <c r="M25" t="s">
        <v>13</v>
      </c>
      <c r="Q25" t="s">
        <v>13</v>
      </c>
      <c r="R25" t="s">
        <v>14</v>
      </c>
      <c r="S25" t="s">
        <v>15</v>
      </c>
    </row>
    <row r="26" spans="2:19">
      <c r="B26">
        <v>180</v>
      </c>
      <c r="C26" s="1">
        <f>ROUND(AVERAGE(seed1!C26,seed2!C26,seed4!C26,seed5!C26,seed7!C26,seed8!C26,seed9!C26,seed10!C26),4)</f>
        <v>14.133800000000001</v>
      </c>
      <c r="D26" s="1">
        <f>ROUND(AVERAGE(seed1!D26,seed2!D26,seed4!D26,seed5!D26,seed7!D26,seed8!D26,seed9!D26,seed10!D26),4)</f>
        <v>14.81</v>
      </c>
      <c r="E26" s="1">
        <f>ROUND(AVERAGE(seed1!E26,seed2!E26,seed4!E26,seed5!E26,seed7!E26,seed8!E26,seed9!E26,seed10!E26),4)</f>
        <v>14.510999999999999</v>
      </c>
      <c r="G26">
        <v>180</v>
      </c>
      <c r="L26">
        <v>180</v>
      </c>
      <c r="M26">
        <f t="shared" si="0"/>
        <v>14.510999999999999</v>
      </c>
      <c r="P26">
        <v>180</v>
      </c>
      <c r="Q26">
        <f>E26</f>
        <v>14.510999999999999</v>
      </c>
      <c r="R26">
        <f>C26</f>
        <v>14.133800000000001</v>
      </c>
      <c r="S26">
        <f>D26</f>
        <v>14.81</v>
      </c>
    </row>
    <row r="27" spans="2:19">
      <c r="B27">
        <v>170</v>
      </c>
      <c r="C27" s="1">
        <f>ROUND(AVERAGE(seed1!C27,seed2!C27,seed4!C27,seed5!C27,seed7!C27,seed8!C27,seed9!C27,seed10!C27),4)</f>
        <v>14.027200000000001</v>
      </c>
      <c r="D27" s="1">
        <f>ROUND(AVERAGE(seed1!D27,seed2!D27,seed4!D27,seed5!D27,seed7!D27,seed8!D27,seed9!D27,seed10!D27),4)</f>
        <v>15.053599999999999</v>
      </c>
      <c r="E27" s="1">
        <f>ROUND(AVERAGE(seed1!E27,seed2!E27,seed4!E27,seed5!E27,seed7!E27,seed8!E27,seed9!E27,seed10!E27),4)</f>
        <v>14.5733</v>
      </c>
      <c r="G27">
        <v>170</v>
      </c>
      <c r="L27">
        <v>170</v>
      </c>
      <c r="M27">
        <f t="shared" si="0"/>
        <v>14.5733</v>
      </c>
      <c r="P27">
        <v>170</v>
      </c>
      <c r="Q27">
        <f t="shared" ref="Q27:Q38" si="4">E27</f>
        <v>14.5733</v>
      </c>
      <c r="R27">
        <f t="shared" ref="R27:R38" si="5">C27</f>
        <v>14.027200000000001</v>
      </c>
      <c r="S27">
        <f t="shared" ref="S27:S38" si="6">D27</f>
        <v>15.053599999999999</v>
      </c>
    </row>
    <row r="28" spans="2:19">
      <c r="B28">
        <v>160</v>
      </c>
      <c r="C28" s="1">
        <f>ROUND(AVERAGE(seed1!C28,seed2!C28,seed4!C28,seed5!C28,seed7!C28,seed8!C28,seed9!C28,seed10!C28),4)</f>
        <v>14.000500000000001</v>
      </c>
      <c r="D28" s="1">
        <f>ROUND(AVERAGE(seed1!D28,seed2!D28,seed4!D28,seed5!D28,seed7!D28,seed8!D28,seed9!D28,seed10!D28),4)</f>
        <v>14.303000000000001</v>
      </c>
      <c r="E28" s="1">
        <f>ROUND(AVERAGE(seed1!E28,seed2!E28,seed4!E28,seed5!E28,seed7!E28,seed8!E28,seed9!E28,seed10!E28),4)</f>
        <v>14.1831</v>
      </c>
      <c r="G28">
        <v>160</v>
      </c>
      <c r="L28">
        <v>160</v>
      </c>
      <c r="M28">
        <f t="shared" si="0"/>
        <v>14.1831</v>
      </c>
      <c r="P28">
        <v>160</v>
      </c>
      <c r="Q28">
        <f t="shared" si="4"/>
        <v>14.1831</v>
      </c>
      <c r="R28">
        <f t="shared" si="5"/>
        <v>14.000500000000001</v>
      </c>
      <c r="S28">
        <f t="shared" si="6"/>
        <v>14.303000000000001</v>
      </c>
    </row>
    <row r="29" spans="2:19">
      <c r="B29">
        <v>150</v>
      </c>
      <c r="C29" s="1">
        <f>ROUND(AVERAGE(seed1!C29,seed2!C29,seed4!C29,seed5!C29,seed7!C29,seed8!C29,seed9!C29,seed10!C29),4)</f>
        <v>13.834899999999999</v>
      </c>
      <c r="D29" s="1">
        <f>ROUND(AVERAGE(seed1!D29,seed2!D29,seed4!D29,seed5!D29,seed7!D29,seed8!D29,seed9!D29,seed10!D29),4)</f>
        <v>14.4635</v>
      </c>
      <c r="E29" s="1">
        <f>ROUND(AVERAGE(seed1!E29,seed2!E29,seed4!E29,seed5!E29,seed7!E29,seed8!E29,seed9!E29,seed10!E29),4)</f>
        <v>14.186400000000001</v>
      </c>
      <c r="G29">
        <v>150</v>
      </c>
      <c r="L29">
        <v>150</v>
      </c>
      <c r="M29">
        <f>E29</f>
        <v>14.186400000000001</v>
      </c>
      <c r="P29">
        <v>150</v>
      </c>
      <c r="Q29">
        <f t="shared" si="4"/>
        <v>14.186400000000001</v>
      </c>
      <c r="R29">
        <f t="shared" si="5"/>
        <v>13.834899999999999</v>
      </c>
      <c r="S29">
        <f t="shared" si="6"/>
        <v>14.4635</v>
      </c>
    </row>
    <row r="30" spans="2:19">
      <c r="B30">
        <v>140</v>
      </c>
      <c r="C30" s="1">
        <f>ROUND(AVERAGE(seed1!C30,seed2!C30,seed4!C30,seed5!C30,seed7!C30,seed8!C30,seed9!C30,seed10!C30),4)</f>
        <v>13.9201</v>
      </c>
      <c r="D30" s="1">
        <f>ROUND(AVERAGE(seed1!D30,seed2!D30,seed4!D30,seed5!D30,seed7!D30,seed8!D30,seed9!D30,seed10!D30),4)</f>
        <v>14.956899999999999</v>
      </c>
      <c r="E30" s="1">
        <f>ROUND(AVERAGE(seed1!E30,seed2!E30,seed4!E30,seed5!E30,seed7!E30,seed8!E30,seed9!E30,seed10!E30),4)</f>
        <v>14.470599999999999</v>
      </c>
      <c r="G30">
        <v>140</v>
      </c>
      <c r="L30">
        <v>140</v>
      </c>
      <c r="M30">
        <f t="shared" si="0"/>
        <v>14.470599999999999</v>
      </c>
      <c r="P30">
        <v>140</v>
      </c>
      <c r="Q30">
        <f t="shared" si="4"/>
        <v>14.470599999999999</v>
      </c>
      <c r="R30">
        <f t="shared" si="5"/>
        <v>13.9201</v>
      </c>
      <c r="S30">
        <f t="shared" si="6"/>
        <v>14.956899999999999</v>
      </c>
    </row>
    <row r="31" spans="2:19">
      <c r="B31">
        <v>130</v>
      </c>
      <c r="C31" s="1">
        <f>ROUND(AVERAGE(seed1!C31,seed2!C31,seed4!C31,seed5!C31,seed7!C31,seed8!C31,seed9!C31,seed10!C31),4)</f>
        <v>13.9434</v>
      </c>
      <c r="D31" s="1">
        <f>ROUND(AVERAGE(seed1!D31,seed2!D31,seed4!D31,seed5!D31,seed7!D31,seed8!D31,seed9!D31,seed10!D31),4)</f>
        <v>14.710599999999999</v>
      </c>
      <c r="E31" s="1">
        <f>ROUND(AVERAGE(seed1!E31,seed2!E31,seed4!E31,seed5!E31,seed7!E31,seed8!E31,seed9!E31,seed10!E31),4)</f>
        <v>14.3614</v>
      </c>
      <c r="G31">
        <v>130</v>
      </c>
      <c r="L31">
        <v>130</v>
      </c>
      <c r="M31">
        <f t="shared" si="0"/>
        <v>14.3614</v>
      </c>
      <c r="P31">
        <v>130</v>
      </c>
      <c r="Q31">
        <f t="shared" si="4"/>
        <v>14.3614</v>
      </c>
      <c r="R31">
        <f t="shared" si="5"/>
        <v>13.9434</v>
      </c>
      <c r="S31">
        <f t="shared" si="6"/>
        <v>14.710599999999999</v>
      </c>
    </row>
    <row r="32" spans="2:19">
      <c r="B32">
        <v>120</v>
      </c>
      <c r="C32" s="1">
        <f>ROUND(AVERAGE(seed1!C32,seed2!C32,seed4!C32,seed5!C32,seed7!C32,seed8!C32,seed9!C32,seed10!C32),4)</f>
        <v>14.0678</v>
      </c>
      <c r="D32" s="1">
        <f>ROUND(AVERAGE(seed1!D32,seed2!D32,seed4!D32,seed5!D32,seed7!D32,seed8!D32,seed9!D32,seed10!D32),4)</f>
        <v>15.381500000000001</v>
      </c>
      <c r="E32" s="1">
        <f>ROUND(AVERAGE(seed1!E32,seed2!E32,seed4!E32,seed5!E32,seed7!E32,seed8!E32,seed9!E32,seed10!E32),4)</f>
        <v>14.750299999999999</v>
      </c>
      <c r="G32">
        <v>120</v>
      </c>
      <c r="L32">
        <v>120</v>
      </c>
      <c r="M32">
        <f t="shared" si="0"/>
        <v>14.750299999999999</v>
      </c>
      <c r="P32">
        <v>120</v>
      </c>
      <c r="Q32">
        <f t="shared" si="4"/>
        <v>14.750299999999999</v>
      </c>
      <c r="R32">
        <f t="shared" si="5"/>
        <v>14.0678</v>
      </c>
      <c r="S32">
        <f t="shared" si="6"/>
        <v>15.381500000000001</v>
      </c>
    </row>
    <row r="33" spans="2:19">
      <c r="B33">
        <v>110</v>
      </c>
      <c r="C33" s="1">
        <f>ROUND(AVERAGE(seed1!C33,seed2!C33,seed4!C33,seed5!C33,seed7!C33,seed8!C33,seed9!C33,seed10!C33),4)</f>
        <v>14.0733</v>
      </c>
      <c r="D33" s="1">
        <f>ROUND(AVERAGE(seed1!D33,seed2!D33,seed4!D33,seed5!D33,seed7!D33,seed8!D33,seed9!D33,seed10!D33),4)</f>
        <v>15.6187</v>
      </c>
      <c r="E33" s="1">
        <f>ROUND(AVERAGE(seed1!E33,seed2!E33,seed4!E33,seed5!E33,seed7!E33,seed8!E33,seed9!E33,seed10!E33),4)</f>
        <v>14.8691</v>
      </c>
      <c r="G33">
        <v>110</v>
      </c>
      <c r="L33">
        <v>110</v>
      </c>
      <c r="M33">
        <f t="shared" si="0"/>
        <v>14.8691</v>
      </c>
      <c r="P33">
        <v>110</v>
      </c>
      <c r="Q33">
        <f t="shared" si="4"/>
        <v>14.8691</v>
      </c>
      <c r="R33">
        <f t="shared" si="5"/>
        <v>14.0733</v>
      </c>
      <c r="S33">
        <f t="shared" si="6"/>
        <v>15.6187</v>
      </c>
    </row>
    <row r="34" spans="2:19">
      <c r="B34">
        <v>100</v>
      </c>
      <c r="C34" s="1">
        <f>ROUND(AVERAGE(seed1!C34,seed2!C34,seed4!C34,seed5!C34,seed7!C34,seed8!C34,seed9!C34,seed10!C34),4)</f>
        <v>13.7658</v>
      </c>
      <c r="D34" s="1">
        <f>ROUND(AVERAGE(seed1!D34,seed2!D34,seed4!D34,seed5!D34,seed7!D34,seed8!D34,seed9!D34,seed10!D34),4)</f>
        <v>15.0473</v>
      </c>
      <c r="E34" s="1">
        <f>ROUND(AVERAGE(seed1!E34,seed2!E34,seed4!E34,seed5!E34,seed7!E34,seed8!E34,seed9!E34,seed10!E34),4)</f>
        <v>14.389699999999999</v>
      </c>
      <c r="G34">
        <v>100</v>
      </c>
      <c r="L34">
        <v>100</v>
      </c>
      <c r="M34">
        <f t="shared" si="0"/>
        <v>14.389699999999999</v>
      </c>
      <c r="P34">
        <v>100</v>
      </c>
      <c r="Q34">
        <f t="shared" si="4"/>
        <v>14.389699999999999</v>
      </c>
      <c r="R34">
        <f t="shared" si="5"/>
        <v>13.7658</v>
      </c>
      <c r="S34">
        <f t="shared" si="6"/>
        <v>15.0473</v>
      </c>
    </row>
    <row r="35" spans="2:19">
      <c r="B35">
        <v>90</v>
      </c>
      <c r="C35" s="1">
        <f>ROUND(AVERAGE(seed1!C35,seed2!C35,seed4!C35,seed5!C35,seed7!C35,seed8!C35,seed9!C35,seed10!C35),4)</f>
        <v>13.809200000000001</v>
      </c>
      <c r="D35" s="1">
        <f>ROUND(AVERAGE(seed1!D35,seed2!D35,seed4!D35,seed5!D35,seed7!D35,seed8!D35,seed9!D35,seed10!D35),4)</f>
        <v>15.105499999999999</v>
      </c>
      <c r="E35" s="1">
        <f>ROUND(AVERAGE(seed1!E35,seed2!E35,seed4!E35,seed5!E35,seed7!E35,seed8!E35,seed9!E35,seed10!E35),4)</f>
        <v>14.472899999999999</v>
      </c>
      <c r="G35">
        <v>90</v>
      </c>
      <c r="L35">
        <v>90</v>
      </c>
      <c r="M35">
        <f t="shared" si="0"/>
        <v>14.472899999999999</v>
      </c>
      <c r="P35">
        <v>90</v>
      </c>
      <c r="Q35">
        <f t="shared" si="4"/>
        <v>14.472899999999999</v>
      </c>
      <c r="R35">
        <f t="shared" si="5"/>
        <v>13.809200000000001</v>
      </c>
      <c r="S35">
        <f t="shared" si="6"/>
        <v>15.105499999999999</v>
      </c>
    </row>
    <row r="36" spans="2:19">
      <c r="B36">
        <v>80</v>
      </c>
      <c r="C36" s="1">
        <f>ROUND(AVERAGE(seed1!C36,seed2!C36,seed4!C36,seed5!C36,seed7!C36,seed8!C36,seed9!C36,seed10!C36),4)</f>
        <v>13.7082</v>
      </c>
      <c r="D36" s="1">
        <f>ROUND(AVERAGE(seed1!D36,seed2!D36,seed4!D36,seed5!D36,seed7!D36,seed8!D36,seed9!D36,seed10!D36),4)</f>
        <v>15.5763</v>
      </c>
      <c r="E36" s="1">
        <f>ROUND(AVERAGE(seed1!E36,seed2!E36,seed4!E36,seed5!E36,seed7!E36,seed8!E36,seed9!E36,seed10!E36),4)</f>
        <v>14.658099999999999</v>
      </c>
      <c r="G36">
        <v>80</v>
      </c>
      <c r="L36">
        <v>80</v>
      </c>
      <c r="M36">
        <f t="shared" si="0"/>
        <v>14.658099999999999</v>
      </c>
      <c r="P36">
        <v>80</v>
      </c>
      <c r="Q36">
        <f t="shared" si="4"/>
        <v>14.658099999999999</v>
      </c>
      <c r="R36">
        <f t="shared" si="5"/>
        <v>13.7082</v>
      </c>
      <c r="S36">
        <f t="shared" si="6"/>
        <v>15.5763</v>
      </c>
    </row>
    <row r="37" spans="2:19">
      <c r="B37">
        <v>70</v>
      </c>
      <c r="C37" s="1">
        <f>ROUND(AVERAGE(seed1!C37,seed2!C37,seed4!C37,seed5!C37,seed7!C37,seed8!C37,seed9!C37,seed10!C37),4)</f>
        <v>13.5227</v>
      </c>
      <c r="D37" s="1">
        <f>ROUND(AVERAGE(seed1!D37,seed2!D37,seed4!D37,seed5!D37,seed7!D37,seed8!D37,seed9!D37,seed10!D37),4)</f>
        <v>14.8156</v>
      </c>
      <c r="E37" s="1">
        <f>ROUND(AVERAGE(seed1!E37,seed2!E37,seed4!E37,seed5!E37,seed7!E37,seed8!E37,seed9!E37,seed10!E37),4)</f>
        <v>14.1792</v>
      </c>
      <c r="G37">
        <v>70</v>
      </c>
      <c r="L37">
        <v>70</v>
      </c>
      <c r="M37">
        <f t="shared" si="0"/>
        <v>14.1792</v>
      </c>
      <c r="P37">
        <v>70</v>
      </c>
      <c r="Q37">
        <f t="shared" si="4"/>
        <v>14.1792</v>
      </c>
      <c r="R37">
        <f t="shared" si="5"/>
        <v>13.5227</v>
      </c>
      <c r="S37">
        <f t="shared" si="6"/>
        <v>14.8156</v>
      </c>
    </row>
    <row r="38" spans="2:19">
      <c r="B38">
        <v>60</v>
      </c>
      <c r="C38" s="1">
        <f>ROUND(AVERAGE(seed1!C38,seed2!C18,seed4!C38,seed5!C38,seed7!C38,seed8!C38,seed9!C38,seed10!C38),4)</f>
        <v>13.9405</v>
      </c>
      <c r="D38" s="1">
        <f>ROUND(AVERAGE(seed1!D38,seed2!D18,seed4!D38,seed5!D38,seed7!D38,seed8!D38,seed9!D38,seed10!D38),4)</f>
        <v>14.8977</v>
      </c>
      <c r="E38" s="1">
        <f>ROUND(AVERAGE(seed1!E38,seed2!E18,seed4!E38,seed5!E38,seed7!E38,seed8!E38,seed9!E38,seed10!E38),4)</f>
        <v>14.386699999999999</v>
      </c>
      <c r="G38">
        <v>60</v>
      </c>
      <c r="L38">
        <v>60</v>
      </c>
      <c r="M38">
        <f t="shared" si="0"/>
        <v>14.386699999999999</v>
      </c>
      <c r="P38">
        <v>60</v>
      </c>
      <c r="Q38">
        <f t="shared" si="4"/>
        <v>14.386699999999999</v>
      </c>
      <c r="R38">
        <f t="shared" si="5"/>
        <v>13.9405</v>
      </c>
      <c r="S38">
        <f t="shared" si="6"/>
        <v>14.8977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seed1</vt:lpstr>
      <vt:lpstr>seed2</vt:lpstr>
      <vt:lpstr>seed4</vt:lpstr>
      <vt:lpstr>seed5</vt:lpstr>
      <vt:lpstr>seed7</vt:lpstr>
      <vt:lpstr>seed8</vt:lpstr>
      <vt:lpstr>seed9</vt:lpstr>
      <vt:lpstr>seed10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2023-12-22T18:13:10Z</dcterms:created>
  <dcterms:modified xsi:type="dcterms:W3CDTF">2023-12-23T19:17:51Z</dcterms:modified>
</cp:coreProperties>
</file>