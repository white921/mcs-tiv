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5F677663-FA6C-B249-BC3A-A755C4A05DE1}" xr6:coauthVersionLast="47" xr6:coauthVersionMax="47" xr10:uidLastSave="{00000000-0000-0000-0000-000000000000}"/>
  <bookViews>
    <workbookView xWindow="0" yWindow="0" windowWidth="28800" windowHeight="18000" activeTab="3" xr2:uid="{1FA8A75A-CF80-384A-BD2F-2138A11FCAC1}"/>
  </bookViews>
  <sheets>
    <sheet name="seed1" sheetId="1" r:id="rId1"/>
    <sheet name="seed2" sheetId="2" r:id="rId2"/>
    <sheet name="seed4" sheetId="3" r:id="rId3"/>
    <sheet name="seed5" sheetId="5" r:id="rId4"/>
    <sheet name="seed7" sheetId="6" r:id="rId5"/>
    <sheet name="average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4" l="1"/>
  <c r="J20" i="4"/>
  <c r="H20" i="4"/>
  <c r="H19" i="4"/>
  <c r="I19" i="4"/>
  <c r="J19" i="4"/>
  <c r="H18" i="4"/>
  <c r="I18" i="4"/>
  <c r="J18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H17" i="4"/>
  <c r="I17" i="4"/>
  <c r="J17" i="4"/>
  <c r="I4" i="4"/>
  <c r="J4" i="4"/>
  <c r="H4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D4" i="4"/>
  <c r="E4" i="4"/>
  <c r="C4" i="4"/>
</calcChain>
</file>

<file path=xl/sharedStrings.xml><?xml version="1.0" encoding="utf-8"?>
<sst xmlns="http://schemas.openxmlformats.org/spreadsheetml/2006/main" count="98" uniqueCount="15">
  <si>
    <t>d</t>
  </si>
  <si>
    <t>d</t>
    <phoneticPr fontId="1"/>
  </si>
  <si>
    <t>vehicle0</t>
  </si>
  <si>
    <t>vehicle1</t>
  </si>
  <si>
    <t>all</t>
  </si>
  <si>
    <t>1000/1000</t>
  </si>
  <si>
    <t>1000/1000</t>
    <phoneticPr fontId="1"/>
  </si>
  <si>
    <t>1250/750</t>
  </si>
  <si>
    <t>1250/750</t>
    <phoneticPr fontId="1"/>
  </si>
  <si>
    <t>a = 0.5</t>
  </si>
  <si>
    <t>a = 0.5</t>
    <phoneticPr fontId="1"/>
  </si>
  <si>
    <t>mac</t>
    <phoneticPr fontId="1"/>
  </si>
  <si>
    <t>hpc</t>
    <phoneticPr fontId="1"/>
  </si>
  <si>
    <t>excel9</t>
    <phoneticPr fontId="1"/>
  </si>
  <si>
    <t>mac/collision2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</si>
</sst>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図：後続の考慮範囲の違いによる平均速度の変化</a:t>
            </a:r>
          </a:p>
        </c:rich>
      </c:tx>
      <c:layout>
        <c:manualLayout>
          <c:xMode val="edge"/>
          <c:yMode val="edge"/>
          <c:x val="0.13333333333333333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44420384951881"/>
          <c:y val="6.0509259259259263E-2"/>
          <c:w val="0.82322462817147868"/>
          <c:h val="0.63359543598716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average!$B$4:$B$17</c:f>
              <c:numCache>
                <c:formatCode>General</c:formatCode>
                <c:ptCount val="14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</c:numCache>
            </c:numRef>
          </c:xVal>
          <c:yVal>
            <c:numRef>
              <c:f>average!$C$4:$C$17</c:f>
              <c:numCache>
                <c:formatCode>General</c:formatCode>
                <c:ptCount val="14"/>
                <c:pt idx="0">
                  <c:v>14.5305</c:v>
                </c:pt>
                <c:pt idx="3">
                  <c:v>14.497999999999999</c:v>
                </c:pt>
                <c:pt idx="4">
                  <c:v>14.5063</c:v>
                </c:pt>
                <c:pt idx="5">
                  <c:v>14.412800000000001</c:v>
                </c:pt>
                <c:pt idx="6">
                  <c:v>14.468</c:v>
                </c:pt>
                <c:pt idx="7">
                  <c:v>14.6669</c:v>
                </c:pt>
                <c:pt idx="8">
                  <c:v>14.728300000000001</c:v>
                </c:pt>
                <c:pt idx="9">
                  <c:v>14.032</c:v>
                </c:pt>
                <c:pt idx="10">
                  <c:v>14.1974</c:v>
                </c:pt>
                <c:pt idx="11">
                  <c:v>14.0899</c:v>
                </c:pt>
                <c:pt idx="12">
                  <c:v>14.3055</c:v>
                </c:pt>
                <c:pt idx="13">
                  <c:v>14.3149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2D-D048-B8CA-201E74327ED1}"/>
            </c:ext>
          </c:extLst>
        </c:ser>
        <c:ser>
          <c:idx val="1"/>
          <c:order val="1"/>
          <c:tx>
            <c:strRef>
              <c:f>average!$D$3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average!$B$4:$B$17</c:f>
              <c:numCache>
                <c:formatCode>General</c:formatCode>
                <c:ptCount val="14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</c:numCache>
            </c:numRef>
          </c:xVal>
          <c:yVal>
            <c:numRef>
              <c:f>average!$D$4:$D$17</c:f>
              <c:numCache>
                <c:formatCode>General</c:formatCode>
                <c:ptCount val="14"/>
                <c:pt idx="0">
                  <c:v>15.018700000000001</c:v>
                </c:pt>
                <c:pt idx="3">
                  <c:v>15.211399999999999</c:v>
                </c:pt>
                <c:pt idx="4">
                  <c:v>15.1198</c:v>
                </c:pt>
                <c:pt idx="5">
                  <c:v>14.966900000000001</c:v>
                </c:pt>
                <c:pt idx="6">
                  <c:v>14.995900000000001</c:v>
                </c:pt>
                <c:pt idx="7">
                  <c:v>14.732100000000001</c:v>
                </c:pt>
                <c:pt idx="8">
                  <c:v>15.394399999999999</c:v>
                </c:pt>
                <c:pt idx="9">
                  <c:v>14.9262</c:v>
                </c:pt>
                <c:pt idx="10">
                  <c:v>14.7989</c:v>
                </c:pt>
                <c:pt idx="11">
                  <c:v>14.9291</c:v>
                </c:pt>
                <c:pt idx="12">
                  <c:v>15.7037</c:v>
                </c:pt>
                <c:pt idx="13">
                  <c:v>15.1478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D-D048-B8CA-201E74327ED1}"/>
            </c:ext>
          </c:extLst>
        </c:ser>
        <c:ser>
          <c:idx val="2"/>
          <c:order val="2"/>
          <c:tx>
            <c:strRef>
              <c:f>average!$E$3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average!$B$4:$B$17</c:f>
              <c:numCache>
                <c:formatCode>General</c:formatCode>
                <c:ptCount val="14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</c:numCache>
            </c:numRef>
          </c:xVal>
          <c:yVal>
            <c:numRef>
              <c:f>average!$E$4:$E$17</c:f>
              <c:numCache>
                <c:formatCode>General</c:formatCode>
                <c:ptCount val="14"/>
                <c:pt idx="0">
                  <c:v>14.760300000000001</c:v>
                </c:pt>
                <c:pt idx="3">
                  <c:v>14.8309</c:v>
                </c:pt>
                <c:pt idx="4">
                  <c:v>14.802099999999999</c:v>
                </c:pt>
                <c:pt idx="5">
                  <c:v>14.6816</c:v>
                </c:pt>
                <c:pt idx="6">
                  <c:v>14.725199999999999</c:v>
                </c:pt>
                <c:pt idx="7">
                  <c:v>14.6981</c:v>
                </c:pt>
                <c:pt idx="8">
                  <c:v>15.0443</c:v>
                </c:pt>
                <c:pt idx="9">
                  <c:v>14.4589</c:v>
                </c:pt>
                <c:pt idx="10">
                  <c:v>14.484999999999999</c:v>
                </c:pt>
                <c:pt idx="11">
                  <c:v>14.494899999999999</c:v>
                </c:pt>
                <c:pt idx="12">
                  <c:v>14.974</c:v>
                </c:pt>
                <c:pt idx="13">
                  <c:v>14.719900000000001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2D-D048-B8CA-201E74327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92239"/>
        <c:axId val="517569904"/>
      </c:scatterChart>
      <c:valAx>
        <c:axId val="1164592239"/>
        <c:scaling>
          <c:orientation val="minMax"/>
          <c:max val="180"/>
          <c:min val="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7569904"/>
        <c:crosses val="autoZero"/>
        <c:crossBetween val="midCat"/>
      </c:valAx>
      <c:valAx>
        <c:axId val="5175699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4592239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984326334208224"/>
          <c:y val="7.9281860600758244E-2"/>
          <c:w val="0.20869006999125106"/>
          <c:h val="0.19386628754738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図：後続の考慮範囲の違いによる平均速度の変化</a:t>
            </a:r>
          </a:p>
        </c:rich>
      </c:tx>
      <c:layout>
        <c:manualLayout>
          <c:xMode val="edge"/>
          <c:yMode val="edge"/>
          <c:x val="0.16666666666666666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72338145231846"/>
          <c:y val="7.4398148148148144E-2"/>
          <c:w val="0.80598840769903757"/>
          <c:h val="0.61172025371828509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average!$H$3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average!$G$4:$G$19</c:f>
              <c:numCache>
                <c:formatCode>General</c:formatCode>
                <c:ptCount val="1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</c:numCache>
            </c:numRef>
          </c:xVal>
          <c:yVal>
            <c:numRef>
              <c:f>average!$H$4:$H$19</c:f>
              <c:numCache>
                <c:formatCode>General</c:formatCode>
                <c:ptCount val="16"/>
                <c:pt idx="0">
                  <c:v>13.552</c:v>
                </c:pt>
                <c:pt idx="3">
                  <c:v>13.5524</c:v>
                </c:pt>
                <c:pt idx="4">
                  <c:v>13.5488</c:v>
                </c:pt>
                <c:pt idx="5">
                  <c:v>13.625500000000001</c:v>
                </c:pt>
                <c:pt idx="6">
                  <c:v>13.5686</c:v>
                </c:pt>
                <c:pt idx="7">
                  <c:v>13.577999999999999</c:v>
                </c:pt>
                <c:pt idx="8">
                  <c:v>13.5831</c:v>
                </c:pt>
                <c:pt idx="9">
                  <c:v>13.8163</c:v>
                </c:pt>
                <c:pt idx="10">
                  <c:v>14.0139</c:v>
                </c:pt>
                <c:pt idx="11">
                  <c:v>13.7852</c:v>
                </c:pt>
                <c:pt idx="12">
                  <c:v>13.654</c:v>
                </c:pt>
                <c:pt idx="13">
                  <c:v>13.848699999999999</c:v>
                </c:pt>
                <c:pt idx="14">
                  <c:v>14.0433</c:v>
                </c:pt>
                <c:pt idx="15">
                  <c:v>13.817399999999999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C8-8646-A76E-95CBD12A8043}"/>
            </c:ext>
          </c:extLst>
        </c:ser>
        <c:ser>
          <c:idx val="1"/>
          <c:order val="1"/>
          <c:tx>
            <c:strRef>
              <c:f>average!$I$3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average!$G$4:$G$19</c:f>
              <c:numCache>
                <c:formatCode>General</c:formatCode>
                <c:ptCount val="1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</c:numCache>
            </c:numRef>
          </c:xVal>
          <c:yVal>
            <c:numRef>
              <c:f>average!$I$4:$I$19</c:f>
              <c:numCache>
                <c:formatCode>General</c:formatCode>
                <c:ptCount val="16"/>
                <c:pt idx="0">
                  <c:v>14.888400000000001</c:v>
                </c:pt>
                <c:pt idx="3">
                  <c:v>14.8864</c:v>
                </c:pt>
                <c:pt idx="4">
                  <c:v>14.880800000000001</c:v>
                </c:pt>
                <c:pt idx="5">
                  <c:v>14.7416</c:v>
                </c:pt>
                <c:pt idx="6">
                  <c:v>14.9488</c:v>
                </c:pt>
                <c:pt idx="7">
                  <c:v>14.9175</c:v>
                </c:pt>
                <c:pt idx="8">
                  <c:v>14.9937</c:v>
                </c:pt>
                <c:pt idx="9">
                  <c:v>15.2211</c:v>
                </c:pt>
                <c:pt idx="10">
                  <c:v>14.971500000000001</c:v>
                </c:pt>
                <c:pt idx="11">
                  <c:v>14.9407</c:v>
                </c:pt>
                <c:pt idx="12">
                  <c:v>15.3047</c:v>
                </c:pt>
                <c:pt idx="13">
                  <c:v>15.523999999999999</c:v>
                </c:pt>
                <c:pt idx="14">
                  <c:v>15.694800000000001</c:v>
                </c:pt>
                <c:pt idx="15">
                  <c:v>15.520899999999999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C8-8646-A76E-95CBD12A8043}"/>
            </c:ext>
          </c:extLst>
        </c:ser>
        <c:ser>
          <c:idx val="2"/>
          <c:order val="2"/>
          <c:tx>
            <c:strRef>
              <c:f>average!$J$3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average!$G$4:$G$19</c:f>
              <c:numCache>
                <c:formatCode>General</c:formatCode>
                <c:ptCount val="1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</c:numCache>
            </c:numRef>
          </c:xVal>
          <c:yVal>
            <c:numRef>
              <c:f>average!$J$4:$J$19</c:f>
              <c:numCache>
                <c:formatCode>General</c:formatCode>
                <c:ptCount val="16"/>
                <c:pt idx="0">
                  <c:v>14.0215</c:v>
                </c:pt>
                <c:pt idx="3">
                  <c:v>14.021100000000001</c:v>
                </c:pt>
                <c:pt idx="4">
                  <c:v>14.0167</c:v>
                </c:pt>
                <c:pt idx="5">
                  <c:v>14.0177</c:v>
                </c:pt>
                <c:pt idx="6">
                  <c:v>14.056100000000001</c:v>
                </c:pt>
                <c:pt idx="7">
                  <c:v>14.050599999999999</c:v>
                </c:pt>
                <c:pt idx="8">
                  <c:v>14.081</c:v>
                </c:pt>
                <c:pt idx="9">
                  <c:v>14.301299999999999</c:v>
                </c:pt>
                <c:pt idx="10">
                  <c:v>14.334300000000001</c:v>
                </c:pt>
                <c:pt idx="11">
                  <c:v>14.182399999999999</c:v>
                </c:pt>
                <c:pt idx="12">
                  <c:v>14.213699999999999</c:v>
                </c:pt>
                <c:pt idx="13">
                  <c:v>14.4381</c:v>
                </c:pt>
                <c:pt idx="14">
                  <c:v>14.622999999999999</c:v>
                </c:pt>
                <c:pt idx="15">
                  <c:v>14.419499999999999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C8-8646-A76E-95CBD12A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260031"/>
        <c:axId val="1164267455"/>
      </c:scatterChart>
      <c:valAx>
        <c:axId val="1069260031"/>
        <c:scaling>
          <c:orientation val="minMax"/>
          <c:max val="180"/>
          <c:min val="4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4267455"/>
        <c:crosses val="autoZero"/>
        <c:crossBetween val="midCat"/>
      </c:valAx>
      <c:valAx>
        <c:axId val="11642674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926003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4565485564304457"/>
          <c:y val="9.317074948964707E-2"/>
          <c:w val="0.18369006999125109"/>
          <c:h val="0.18923665791776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19</xdr:row>
      <xdr:rowOff>184150</xdr:rowOff>
    </xdr:from>
    <xdr:to>
      <xdr:col>5</xdr:col>
      <xdr:colOff>889000</xdr:colOff>
      <xdr:row>30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4E73C21-3DFF-32BB-F50E-BDC6AF51E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882650</xdr:colOff>
      <xdr:row>21</xdr:row>
      <xdr:rowOff>184150</xdr:rowOff>
    </xdr:from>
    <xdr:to>
      <xdr:col>11</xdr:col>
      <xdr:colOff>692150</xdr:colOff>
      <xdr:row>32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B46E8C6-3540-0517-2CB1-FCDD90A01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7927-2478-1B49-8E01-8ED8A976BA99}">
  <dimension ref="B2:O22"/>
  <sheetViews>
    <sheetView workbookViewId="0">
      <selection activeCell="J21" sqref="J21"/>
    </sheetView>
  </sheetViews>
  <sheetFormatPr baseColWidth="10" defaultRowHeight="20"/>
  <sheetData>
    <row r="2" spans="2:15">
      <c r="C2" s="1" t="s">
        <v>6</v>
      </c>
      <c r="D2" s="1" t="s">
        <v>10</v>
      </c>
      <c r="E2" s="1"/>
      <c r="H2" t="s">
        <v>8</v>
      </c>
      <c r="I2" t="s">
        <v>10</v>
      </c>
    </row>
    <row r="3" spans="2:15">
      <c r="B3" t="s">
        <v>1</v>
      </c>
      <c r="C3" s="1" t="s">
        <v>2</v>
      </c>
      <c r="D3" s="1" t="s">
        <v>3</v>
      </c>
      <c r="E3" s="1" t="s">
        <v>4</v>
      </c>
      <c r="G3" t="s">
        <v>1</v>
      </c>
      <c r="H3" s="1" t="s">
        <v>2</v>
      </c>
      <c r="I3" s="1" t="s">
        <v>3</v>
      </c>
      <c r="J3" s="1" t="s">
        <v>4</v>
      </c>
    </row>
    <row r="4" spans="2:15">
      <c r="B4">
        <v>200</v>
      </c>
      <c r="C4">
        <v>14.4062</v>
      </c>
      <c r="D4">
        <v>13.6768</v>
      </c>
      <c r="E4">
        <v>14.0458</v>
      </c>
      <c r="F4" t="s">
        <v>13</v>
      </c>
      <c r="G4">
        <v>200</v>
      </c>
      <c r="H4">
        <v>11.852600000000001</v>
      </c>
      <c r="I4">
        <v>14.108000000000001</v>
      </c>
      <c r="J4">
        <v>12.654500000000001</v>
      </c>
      <c r="K4" t="s">
        <v>13</v>
      </c>
    </row>
    <row r="5" spans="2:15">
      <c r="B5">
        <v>190</v>
      </c>
      <c r="G5">
        <v>190</v>
      </c>
      <c r="M5">
        <v>12.315099999999999</v>
      </c>
      <c r="N5">
        <v>15.3535</v>
      </c>
      <c r="O5">
        <v>13.3705</v>
      </c>
    </row>
    <row r="6" spans="2:15">
      <c r="B6">
        <v>180</v>
      </c>
      <c r="G6">
        <v>180</v>
      </c>
    </row>
    <row r="7" spans="2:15">
      <c r="B7">
        <v>170</v>
      </c>
      <c r="C7">
        <v>14.4062</v>
      </c>
      <c r="D7">
        <v>13.6768</v>
      </c>
      <c r="E7">
        <v>14.0458</v>
      </c>
      <c r="G7">
        <v>170</v>
      </c>
      <c r="H7">
        <v>11.852600000000001</v>
      </c>
      <c r="I7">
        <v>14.115600000000001</v>
      </c>
      <c r="J7">
        <v>12.657299999999999</v>
      </c>
    </row>
    <row r="8" spans="2:15">
      <c r="B8">
        <v>160</v>
      </c>
      <c r="C8">
        <v>14.4062</v>
      </c>
      <c r="D8">
        <v>13.6768</v>
      </c>
      <c r="E8">
        <v>14.0458</v>
      </c>
      <c r="G8">
        <v>160</v>
      </c>
      <c r="H8">
        <v>11.852600000000001</v>
      </c>
      <c r="I8">
        <v>14.115600000000001</v>
      </c>
      <c r="J8">
        <v>12.657299999999999</v>
      </c>
    </row>
    <row r="9" spans="2:15">
      <c r="B9">
        <v>150</v>
      </c>
      <c r="C9">
        <v>14.3002</v>
      </c>
      <c r="D9">
        <v>13.998699999999999</v>
      </c>
      <c r="E9">
        <v>14.152100000000001</v>
      </c>
      <c r="F9" t="s">
        <v>13</v>
      </c>
      <c r="G9">
        <v>150</v>
      </c>
      <c r="H9">
        <v>12.218</v>
      </c>
      <c r="I9">
        <v>13.391400000000001</v>
      </c>
      <c r="J9">
        <v>12.640700000000001</v>
      </c>
      <c r="K9" t="s">
        <v>13</v>
      </c>
    </row>
    <row r="10" spans="2:15">
      <c r="B10">
        <v>140</v>
      </c>
      <c r="C10">
        <v>14.2485</v>
      </c>
      <c r="D10">
        <v>14.189399999999999</v>
      </c>
      <c r="E10">
        <v>14.2195</v>
      </c>
      <c r="G10">
        <v>140</v>
      </c>
      <c r="H10">
        <v>11.933400000000001</v>
      </c>
      <c r="I10">
        <v>14.4274</v>
      </c>
      <c r="J10">
        <v>12.832599999999999</v>
      </c>
    </row>
    <row r="11" spans="2:15">
      <c r="B11">
        <v>130</v>
      </c>
      <c r="C11">
        <v>14.2485</v>
      </c>
      <c r="D11">
        <v>14.189399999999999</v>
      </c>
      <c r="E11">
        <v>14.2195</v>
      </c>
      <c r="G11">
        <v>130</v>
      </c>
      <c r="H11">
        <v>11.933400000000001</v>
      </c>
      <c r="I11">
        <v>14.4274</v>
      </c>
      <c r="J11">
        <v>12.832599999999999</v>
      </c>
    </row>
    <row r="12" spans="2:15">
      <c r="B12">
        <v>120</v>
      </c>
      <c r="C12">
        <v>14.2485</v>
      </c>
      <c r="D12">
        <v>14.189399999999999</v>
      </c>
      <c r="E12">
        <v>14.2195</v>
      </c>
      <c r="G12">
        <v>120</v>
      </c>
      <c r="H12">
        <v>11.933400000000001</v>
      </c>
      <c r="I12">
        <v>14.4274</v>
      </c>
      <c r="J12">
        <v>12.832599999999999</v>
      </c>
    </row>
    <row r="13" spans="2:15">
      <c r="B13">
        <v>110</v>
      </c>
      <c r="C13">
        <v>14.2485</v>
      </c>
      <c r="D13">
        <v>14.189399999999999</v>
      </c>
      <c r="E13">
        <v>14.2195</v>
      </c>
      <c r="G13">
        <v>110</v>
      </c>
      <c r="H13">
        <v>12.4483</v>
      </c>
      <c r="I13">
        <v>14.119400000000001</v>
      </c>
      <c r="J13">
        <v>13.051</v>
      </c>
    </row>
    <row r="14" spans="2:15">
      <c r="B14" s="3">
        <v>100</v>
      </c>
      <c r="C14">
        <v>14.410299999999999</v>
      </c>
      <c r="D14">
        <v>13.669700000000001</v>
      </c>
      <c r="E14">
        <v>14.0444</v>
      </c>
      <c r="F14" t="s">
        <v>13</v>
      </c>
      <c r="G14">
        <v>100</v>
      </c>
      <c r="H14">
        <v>12.819800000000001</v>
      </c>
      <c r="I14">
        <v>12.7034</v>
      </c>
      <c r="J14">
        <v>12.777200000000001</v>
      </c>
      <c r="K14" t="s">
        <v>13</v>
      </c>
    </row>
    <row r="15" spans="2:15">
      <c r="B15">
        <v>90</v>
      </c>
      <c r="C15">
        <v>14.410299999999999</v>
      </c>
      <c r="D15">
        <v>13.669700000000001</v>
      </c>
      <c r="E15">
        <v>14.0444</v>
      </c>
      <c r="F15" t="s">
        <v>11</v>
      </c>
      <c r="G15">
        <v>90</v>
      </c>
      <c r="H15">
        <v>12.7196</v>
      </c>
      <c r="I15">
        <v>13.0648</v>
      </c>
      <c r="J15">
        <v>12.8454</v>
      </c>
      <c r="K15" t="s">
        <v>11</v>
      </c>
    </row>
    <row r="16" spans="2:15">
      <c r="B16">
        <v>80</v>
      </c>
      <c r="C16">
        <v>14.334899999999999</v>
      </c>
      <c r="D16">
        <v>15.086600000000001</v>
      </c>
      <c r="E16">
        <v>14.701599999999999</v>
      </c>
      <c r="F16" t="s">
        <v>11</v>
      </c>
      <c r="G16">
        <v>80</v>
      </c>
      <c r="H16">
        <v>12.819800000000001</v>
      </c>
      <c r="I16">
        <v>12.7037</v>
      </c>
      <c r="J16">
        <v>12.7774</v>
      </c>
      <c r="K16" t="s">
        <v>11</v>
      </c>
    </row>
    <row r="17" spans="2:11">
      <c r="B17">
        <v>70</v>
      </c>
      <c r="C17">
        <v>14.0389</v>
      </c>
      <c r="D17">
        <v>14.7529</v>
      </c>
      <c r="E17">
        <v>14.3893</v>
      </c>
      <c r="F17" t="s">
        <v>11</v>
      </c>
      <c r="G17">
        <v>70</v>
      </c>
      <c r="H17">
        <v>12.4436</v>
      </c>
      <c r="I17">
        <v>14.9077</v>
      </c>
      <c r="J17">
        <v>13.3284</v>
      </c>
      <c r="K17" t="s">
        <v>14</v>
      </c>
    </row>
    <row r="18" spans="2:11">
      <c r="B18">
        <v>60</v>
      </c>
      <c r="C18">
        <v>14.0389</v>
      </c>
      <c r="D18">
        <v>14.7529</v>
      </c>
      <c r="E18">
        <v>14.3893</v>
      </c>
      <c r="F18" t="s">
        <v>11</v>
      </c>
      <c r="G18">
        <v>60</v>
      </c>
      <c r="H18">
        <v>12.4436</v>
      </c>
      <c r="I18">
        <v>14.9077</v>
      </c>
      <c r="J18">
        <v>13.3284</v>
      </c>
      <c r="K18" t="s">
        <v>11</v>
      </c>
    </row>
    <row r="19" spans="2:11">
      <c r="G19">
        <v>50</v>
      </c>
      <c r="H19">
        <v>12.1982</v>
      </c>
      <c r="I19">
        <v>14.4717</v>
      </c>
      <c r="J19">
        <v>13.0191</v>
      </c>
      <c r="K19" t="s">
        <v>11</v>
      </c>
    </row>
    <row r="20" spans="2:11">
      <c r="D20" t="s">
        <v>12</v>
      </c>
      <c r="G20">
        <v>40</v>
      </c>
      <c r="H20">
        <v>12.6585</v>
      </c>
      <c r="I20">
        <v>13.3443</v>
      </c>
      <c r="J20">
        <v>12.9092</v>
      </c>
      <c r="K20" t="s">
        <v>11</v>
      </c>
    </row>
    <row r="22" spans="2:11">
      <c r="I22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6B86-DB6E-C643-99D3-A52070C07BEF}">
  <dimension ref="B2:J21"/>
  <sheetViews>
    <sheetView workbookViewId="0">
      <selection activeCell="J21" sqref="J21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1">
        <v>200</v>
      </c>
      <c r="C4" s="1">
        <v>15.2775</v>
      </c>
      <c r="D4" s="1">
        <v>15.2418</v>
      </c>
      <c r="E4" s="1">
        <v>15.2592</v>
      </c>
      <c r="F4" s="1"/>
      <c r="G4" s="1">
        <v>200</v>
      </c>
      <c r="H4" s="1">
        <v>14.7995</v>
      </c>
      <c r="I4" s="1">
        <v>15.2379</v>
      </c>
      <c r="J4" s="1">
        <v>14.9604</v>
      </c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/>
      <c r="D6" s="1"/>
      <c r="E6" s="1"/>
      <c r="F6" s="1"/>
      <c r="G6" s="1">
        <v>180</v>
      </c>
      <c r="H6" s="1"/>
      <c r="I6" s="1"/>
      <c r="J6" s="1"/>
    </row>
    <row r="7" spans="2:10">
      <c r="B7" s="1">
        <v>170</v>
      </c>
      <c r="C7" s="1">
        <v>15.2775</v>
      </c>
      <c r="D7" s="1">
        <v>15.2418</v>
      </c>
      <c r="E7" s="1">
        <v>15.2592</v>
      </c>
      <c r="F7" s="1"/>
      <c r="G7" s="1">
        <v>170</v>
      </c>
      <c r="H7" s="1">
        <v>14.7995</v>
      </c>
      <c r="I7" s="1">
        <v>15.2379</v>
      </c>
      <c r="J7" s="1">
        <v>14.9604</v>
      </c>
    </row>
    <row r="8" spans="2:10">
      <c r="B8" s="1">
        <v>160</v>
      </c>
      <c r="C8" s="1">
        <v>14.263199999999999</v>
      </c>
      <c r="D8" s="1">
        <v>16.358899999999998</v>
      </c>
      <c r="E8" s="1">
        <v>15.2882</v>
      </c>
      <c r="F8" s="1"/>
      <c r="G8" s="1">
        <v>160</v>
      </c>
      <c r="H8" s="1">
        <v>14.781599999999999</v>
      </c>
      <c r="I8" s="1">
        <v>15.2098</v>
      </c>
      <c r="J8" s="1">
        <v>14.938700000000001</v>
      </c>
    </row>
    <row r="9" spans="2:10">
      <c r="B9" s="1">
        <v>150</v>
      </c>
      <c r="C9" s="1">
        <v>14.2826</v>
      </c>
      <c r="D9" s="1">
        <v>16.379100000000001</v>
      </c>
      <c r="E9" s="1">
        <v>15.3081</v>
      </c>
      <c r="F9" s="1"/>
      <c r="G9" s="1">
        <v>150</v>
      </c>
      <c r="H9" s="1">
        <v>14.7995</v>
      </c>
      <c r="I9" s="1">
        <v>15.2379</v>
      </c>
      <c r="J9" s="1">
        <v>14.9604</v>
      </c>
    </row>
    <row r="10" spans="2:10">
      <c r="B10" s="1">
        <v>140</v>
      </c>
      <c r="C10" s="1">
        <v>14.2567</v>
      </c>
      <c r="D10" s="1">
        <v>16.3505</v>
      </c>
      <c r="E10" s="1">
        <v>15.280799999999999</v>
      </c>
      <c r="F10" s="1"/>
      <c r="G10" s="1">
        <v>140</v>
      </c>
      <c r="H10" s="1">
        <v>14.7995</v>
      </c>
      <c r="I10" s="1">
        <v>15.2379</v>
      </c>
      <c r="J10" s="1">
        <v>14.9604</v>
      </c>
    </row>
    <row r="11" spans="2:10">
      <c r="B11" s="1">
        <v>130</v>
      </c>
      <c r="C11" s="1">
        <v>15.2775</v>
      </c>
      <c r="D11" s="1">
        <v>15.2418</v>
      </c>
      <c r="E11" s="1">
        <v>15.2592</v>
      </c>
      <c r="F11" s="1"/>
      <c r="G11" s="1">
        <v>130</v>
      </c>
      <c r="H11" s="1">
        <v>14.8469</v>
      </c>
      <c r="I11" s="1">
        <v>15.0816</v>
      </c>
      <c r="J11" s="1">
        <v>14.933</v>
      </c>
    </row>
    <row r="12" spans="2:10">
      <c r="B12" s="1">
        <v>120</v>
      </c>
      <c r="C12" s="1">
        <v>15.282400000000001</v>
      </c>
      <c r="D12" s="1">
        <v>15.5678</v>
      </c>
      <c r="E12" s="1">
        <v>15.4284</v>
      </c>
      <c r="F12" s="1"/>
      <c r="G12" s="1">
        <v>120</v>
      </c>
      <c r="H12" s="1">
        <v>14.834199999999999</v>
      </c>
      <c r="I12" s="1">
        <v>15.2293</v>
      </c>
      <c r="J12" s="1">
        <v>14.979100000000001</v>
      </c>
    </row>
    <row r="13" spans="2:10">
      <c r="B13" s="1">
        <v>110</v>
      </c>
      <c r="C13" s="1">
        <v>15.2865</v>
      </c>
      <c r="D13" s="1">
        <v>15.5626</v>
      </c>
      <c r="E13" s="1">
        <v>15.4277</v>
      </c>
      <c r="F13" s="1"/>
      <c r="G13" s="1">
        <v>110</v>
      </c>
      <c r="H13" s="1">
        <v>14.8469</v>
      </c>
      <c r="I13" s="1">
        <v>15.0816</v>
      </c>
      <c r="J13" s="1">
        <v>14.933</v>
      </c>
    </row>
    <row r="14" spans="2:10">
      <c r="B14" s="1">
        <v>100</v>
      </c>
      <c r="C14" s="1">
        <v>15.2828</v>
      </c>
      <c r="D14" s="1">
        <v>15.567600000000001</v>
      </c>
      <c r="E14" s="1">
        <v>15.4284</v>
      </c>
      <c r="F14" s="1"/>
      <c r="G14" s="1">
        <v>100</v>
      </c>
      <c r="H14" s="1">
        <v>14.8957</v>
      </c>
      <c r="I14" s="1">
        <v>14.3264</v>
      </c>
      <c r="J14" s="1">
        <v>14.6869</v>
      </c>
    </row>
    <row r="15" spans="2:10">
      <c r="B15" s="1">
        <v>90</v>
      </c>
      <c r="C15" s="1">
        <v>14.4222</v>
      </c>
      <c r="D15" s="1">
        <v>16.357800000000001</v>
      </c>
      <c r="E15" s="1">
        <v>15.3688</v>
      </c>
      <c r="F15" s="1"/>
      <c r="G15" s="1">
        <v>90</v>
      </c>
      <c r="H15" s="1">
        <v>14.8665</v>
      </c>
      <c r="I15" s="1">
        <v>14.727</v>
      </c>
      <c r="J15" s="1">
        <v>14.8142</v>
      </c>
    </row>
    <row r="16" spans="2:10">
      <c r="B16" s="1">
        <v>80</v>
      </c>
      <c r="C16" s="1">
        <v>14.3825</v>
      </c>
      <c r="D16">
        <v>16.305900000000001</v>
      </c>
      <c r="E16">
        <v>15.3231</v>
      </c>
      <c r="F16" s="1"/>
      <c r="G16" s="1">
        <v>80</v>
      </c>
      <c r="H16" s="1">
        <v>14.3789</v>
      </c>
      <c r="I16" s="1">
        <v>15.984299999999999</v>
      </c>
      <c r="J16" s="1">
        <v>14.940099999999999</v>
      </c>
    </row>
    <row r="17" spans="2:10">
      <c r="B17" s="1">
        <v>70</v>
      </c>
      <c r="C17" s="1">
        <v>14.3766</v>
      </c>
      <c r="D17" s="1">
        <v>16.278199999999998</v>
      </c>
      <c r="E17" s="1">
        <v>15.306699999999999</v>
      </c>
      <c r="F17" s="1"/>
      <c r="G17" s="1">
        <v>70</v>
      </c>
      <c r="H17" s="1">
        <v>14.3789</v>
      </c>
      <c r="I17" s="1">
        <v>15.984299999999999</v>
      </c>
      <c r="J17" s="1">
        <v>14.940099999999999</v>
      </c>
    </row>
    <row r="18" spans="2:10">
      <c r="G18" s="1">
        <v>60</v>
      </c>
      <c r="H18" s="1">
        <v>14.3781</v>
      </c>
      <c r="I18" s="1">
        <v>15.9849</v>
      </c>
      <c r="J18" s="1">
        <v>14.9398</v>
      </c>
    </row>
    <row r="19" spans="2:10">
      <c r="D19" s="1" t="s">
        <v>11</v>
      </c>
      <c r="E19" s="1"/>
      <c r="G19" s="1">
        <v>50</v>
      </c>
      <c r="H19" s="1">
        <v>14.350199999999999</v>
      </c>
      <c r="I19" s="1">
        <v>16.046900000000001</v>
      </c>
      <c r="J19" s="1">
        <v>14.9434</v>
      </c>
    </row>
    <row r="20" spans="2:10">
      <c r="G20" s="1">
        <v>40</v>
      </c>
      <c r="H20" s="1">
        <v>14.7386</v>
      </c>
      <c r="I20" s="1">
        <v>15.1591</v>
      </c>
      <c r="J20" s="1">
        <v>14.8942</v>
      </c>
    </row>
    <row r="21" spans="2:10">
      <c r="I21" s="1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B25B-30A7-134D-847A-85C1C295E273}">
  <dimension ref="B2:N21"/>
  <sheetViews>
    <sheetView workbookViewId="0">
      <selection activeCell="J21" sqref="J21"/>
    </sheetView>
  </sheetViews>
  <sheetFormatPr baseColWidth="10" defaultRowHeight="20"/>
  <sheetData>
    <row r="2" spans="2:14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4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4">
      <c r="B4" s="2">
        <v>200</v>
      </c>
      <c r="C4" s="1">
        <v>14.859400000000001</v>
      </c>
      <c r="D4" s="1">
        <v>15.608599999999999</v>
      </c>
      <c r="E4" s="1">
        <v>15.220599999999999</v>
      </c>
      <c r="F4" s="1"/>
      <c r="G4" s="2">
        <v>200</v>
      </c>
      <c r="H4" s="1">
        <v>13.789099999999999</v>
      </c>
      <c r="I4" s="1">
        <v>13.9856</v>
      </c>
      <c r="J4" s="1">
        <v>13.860900000000001</v>
      </c>
    </row>
    <row r="5" spans="2:14">
      <c r="B5" s="2">
        <v>190</v>
      </c>
      <c r="C5" s="1"/>
      <c r="D5" s="1"/>
      <c r="E5" s="1"/>
      <c r="F5" s="1"/>
      <c r="G5" s="2">
        <v>190</v>
      </c>
      <c r="H5" s="1"/>
      <c r="I5" s="1"/>
      <c r="J5" s="1"/>
    </row>
    <row r="6" spans="2:14">
      <c r="B6" s="2">
        <v>180</v>
      </c>
      <c r="C6" s="1"/>
      <c r="D6" s="1"/>
      <c r="E6" s="1"/>
      <c r="F6" s="1"/>
      <c r="G6" s="2">
        <v>180</v>
      </c>
      <c r="H6" s="1"/>
      <c r="I6" s="1"/>
      <c r="J6" s="1"/>
    </row>
    <row r="7" spans="2:14">
      <c r="B7" s="2">
        <v>170</v>
      </c>
      <c r="C7" s="1">
        <v>15.107100000000001</v>
      </c>
      <c r="D7" s="1">
        <v>15.6166</v>
      </c>
      <c r="E7" s="1">
        <v>15.3527</v>
      </c>
      <c r="F7" s="1"/>
      <c r="G7" s="2">
        <v>170</v>
      </c>
      <c r="H7" s="1">
        <v>13.791</v>
      </c>
      <c r="I7" s="1">
        <v>13.9682</v>
      </c>
      <c r="J7" s="1">
        <v>13.855700000000001</v>
      </c>
    </row>
    <row r="8" spans="2:14">
      <c r="B8" s="2">
        <v>160</v>
      </c>
      <c r="C8" s="1">
        <v>15.109299999999999</v>
      </c>
      <c r="D8" s="1">
        <v>15.582000000000001</v>
      </c>
      <c r="E8" s="1">
        <v>15.337199999999999</v>
      </c>
      <c r="F8" s="1"/>
      <c r="G8" s="2">
        <v>160</v>
      </c>
      <c r="H8" s="1">
        <v>13.791</v>
      </c>
      <c r="I8" s="1">
        <v>13.9682</v>
      </c>
      <c r="J8" s="1">
        <v>13.855700000000001</v>
      </c>
    </row>
    <row r="9" spans="2:14">
      <c r="B9" s="2">
        <v>150</v>
      </c>
      <c r="C9" s="1">
        <v>14.8178</v>
      </c>
      <c r="D9" s="1">
        <v>15.0007</v>
      </c>
      <c r="E9" s="1">
        <v>14.906000000000001</v>
      </c>
      <c r="F9" s="1"/>
      <c r="G9" s="2">
        <v>150</v>
      </c>
      <c r="H9" s="1">
        <v>13.791</v>
      </c>
      <c r="I9" s="1">
        <v>13.9682</v>
      </c>
      <c r="J9" s="1">
        <v>13.855700000000001</v>
      </c>
    </row>
    <row r="10" spans="2:14">
      <c r="B10" s="2">
        <v>140</v>
      </c>
      <c r="C10" s="1">
        <v>15.109299999999999</v>
      </c>
      <c r="D10" s="1">
        <v>15.582000000000001</v>
      </c>
      <c r="E10" s="1">
        <v>15.337199999999999</v>
      </c>
      <c r="F10" s="1"/>
      <c r="G10" s="2">
        <v>140</v>
      </c>
      <c r="H10" s="1">
        <v>13.791</v>
      </c>
      <c r="I10" s="1">
        <v>13.9682</v>
      </c>
      <c r="J10" s="1">
        <v>13.855700000000001</v>
      </c>
    </row>
    <row r="11" spans="2:14">
      <c r="B11" s="2">
        <v>130</v>
      </c>
      <c r="C11" s="1">
        <v>14.9597</v>
      </c>
      <c r="D11" s="1">
        <v>15.461499999999999</v>
      </c>
      <c r="E11" s="1">
        <v>15.201700000000001</v>
      </c>
      <c r="F11" s="1"/>
      <c r="G11" s="2">
        <v>130</v>
      </c>
      <c r="H11" s="1">
        <v>13.791</v>
      </c>
      <c r="I11" s="1">
        <v>13.9682</v>
      </c>
      <c r="J11" s="1">
        <v>13.855700000000001</v>
      </c>
    </row>
    <row r="12" spans="2:14">
      <c r="B12" s="1">
        <v>120</v>
      </c>
      <c r="C12" s="1">
        <v>15.2088</v>
      </c>
      <c r="D12" s="1">
        <v>16.080100000000002</v>
      </c>
      <c r="E12" s="1">
        <v>15.621700000000001</v>
      </c>
      <c r="F12" s="1"/>
      <c r="G12" s="1">
        <v>120</v>
      </c>
      <c r="H12" s="1">
        <v>13.791</v>
      </c>
      <c r="I12" s="1">
        <v>13.9682</v>
      </c>
      <c r="J12" s="1">
        <v>13.855700000000001</v>
      </c>
    </row>
    <row r="13" spans="2:14">
      <c r="B13" s="1">
        <v>110</v>
      </c>
      <c r="C13" s="1">
        <v>15.2088</v>
      </c>
      <c r="D13" s="1">
        <v>16.080100000000002</v>
      </c>
      <c r="E13" s="1">
        <v>15.621700000000001</v>
      </c>
      <c r="F13" s="1"/>
      <c r="G13" s="1">
        <v>110</v>
      </c>
      <c r="H13" s="1">
        <v>13.237</v>
      </c>
      <c r="I13" s="1">
        <v>15.5052</v>
      </c>
      <c r="J13" s="1">
        <v>13.978</v>
      </c>
    </row>
    <row r="14" spans="2:14">
      <c r="B14" s="1">
        <v>100</v>
      </c>
      <c r="C14" s="1">
        <v>14.8178</v>
      </c>
      <c r="D14" s="1">
        <v>15.0007</v>
      </c>
      <c r="E14" s="1">
        <v>14.906000000000001</v>
      </c>
      <c r="F14" s="1"/>
      <c r="G14" s="1">
        <v>100</v>
      </c>
      <c r="H14" s="1">
        <v>13.237</v>
      </c>
      <c r="I14" s="1">
        <v>15.5052</v>
      </c>
      <c r="J14" s="1">
        <v>13.978</v>
      </c>
      <c r="L14" s="1"/>
      <c r="M14" s="1"/>
      <c r="N14" s="1"/>
    </row>
    <row r="15" spans="2:14">
      <c r="B15" s="1">
        <v>90</v>
      </c>
      <c r="C15" s="1">
        <v>15.109299999999999</v>
      </c>
      <c r="D15" s="1">
        <v>15.582000000000001</v>
      </c>
      <c r="E15" s="1">
        <v>15.337199999999999</v>
      </c>
      <c r="F15" s="1"/>
      <c r="G15" s="1">
        <v>90</v>
      </c>
      <c r="H15" s="1">
        <v>12.2737</v>
      </c>
      <c r="I15" s="1">
        <v>14.5779</v>
      </c>
      <c r="J15" s="1">
        <v>13.052300000000001</v>
      </c>
    </row>
    <row r="16" spans="2:14">
      <c r="B16" s="1">
        <v>80</v>
      </c>
      <c r="C16" s="1">
        <v>15.109299999999999</v>
      </c>
      <c r="D16" s="1">
        <v>15.582000000000001</v>
      </c>
      <c r="E16" s="1">
        <v>15.337199999999999</v>
      </c>
      <c r="F16" s="1"/>
      <c r="G16" s="1">
        <v>80</v>
      </c>
      <c r="H16" s="1">
        <v>12.047800000000001</v>
      </c>
      <c r="I16" s="1">
        <v>15.0566</v>
      </c>
      <c r="J16" s="1">
        <v>13.0245</v>
      </c>
    </row>
    <row r="17" spans="2:10">
      <c r="B17" s="1">
        <v>70</v>
      </c>
      <c r="C17" s="1">
        <v>14.8178</v>
      </c>
      <c r="D17" s="1">
        <v>15.0007</v>
      </c>
      <c r="E17" s="1">
        <v>14.906000000000001</v>
      </c>
      <c r="F17" s="1"/>
      <c r="G17" s="1">
        <v>70</v>
      </c>
      <c r="H17" s="1">
        <v>13.375400000000001</v>
      </c>
      <c r="I17" s="1">
        <v>14.634399999999999</v>
      </c>
      <c r="J17" s="1">
        <v>13.8186</v>
      </c>
    </row>
    <row r="18" spans="2:10">
      <c r="G18" s="1">
        <v>60</v>
      </c>
      <c r="H18" s="1">
        <v>14.3079</v>
      </c>
      <c r="I18" s="1">
        <v>15.522600000000001</v>
      </c>
      <c r="J18" s="1">
        <v>14.7286</v>
      </c>
    </row>
    <row r="19" spans="2:10">
      <c r="D19" s="1" t="s">
        <v>11</v>
      </c>
      <c r="E19" s="1"/>
      <c r="G19" s="1">
        <v>50</v>
      </c>
      <c r="H19" s="1">
        <v>13.473100000000001</v>
      </c>
      <c r="I19" s="1">
        <v>14.7196</v>
      </c>
      <c r="J19" s="1">
        <v>13.912100000000001</v>
      </c>
    </row>
    <row r="20" spans="2:10">
      <c r="G20" s="1">
        <v>40</v>
      </c>
      <c r="H20" s="1">
        <v>13.372199999999999</v>
      </c>
      <c r="I20" s="1">
        <v>14.651400000000001</v>
      </c>
      <c r="J20" s="1">
        <v>13.8225</v>
      </c>
    </row>
    <row r="21" spans="2:10">
      <c r="I21" s="1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0DA8-034D-EF4C-A041-EA21B95670F3}">
  <dimension ref="B2:J21"/>
  <sheetViews>
    <sheetView tabSelected="1" workbookViewId="0">
      <selection activeCell="K20" sqref="K20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2">
        <v>200</v>
      </c>
      <c r="C4" s="1">
        <v>15.3392</v>
      </c>
      <c r="D4" s="1">
        <v>14.959099999999999</v>
      </c>
      <c r="E4" s="1">
        <v>15.163600000000001</v>
      </c>
      <c r="F4" s="1"/>
      <c r="G4" s="2">
        <v>200</v>
      </c>
      <c r="H4" s="1">
        <v>15.823</v>
      </c>
      <c r="I4" s="1">
        <v>15.751200000000001</v>
      </c>
      <c r="J4" s="1">
        <v>15.7981</v>
      </c>
    </row>
    <row r="5" spans="2:10">
      <c r="B5" s="2">
        <v>190</v>
      </c>
      <c r="C5" s="1"/>
      <c r="D5" s="1"/>
      <c r="E5" s="1"/>
      <c r="F5" s="1"/>
      <c r="G5" s="2">
        <v>190</v>
      </c>
      <c r="H5" s="1"/>
      <c r="I5" s="1"/>
      <c r="J5" s="1"/>
    </row>
    <row r="6" spans="2:10">
      <c r="B6" s="2">
        <v>180</v>
      </c>
      <c r="C6" s="1"/>
      <c r="D6" s="1"/>
      <c r="E6" s="1"/>
      <c r="F6" s="1"/>
      <c r="G6" s="2">
        <v>180</v>
      </c>
      <c r="H6" s="1"/>
      <c r="I6" s="1"/>
      <c r="J6" s="1"/>
    </row>
    <row r="7" spans="2:10">
      <c r="B7" s="2">
        <v>170</v>
      </c>
      <c r="C7" s="1">
        <v>14.9293</v>
      </c>
      <c r="D7" s="1">
        <v>15.914300000000001</v>
      </c>
      <c r="E7" s="1">
        <v>15.384399999999999</v>
      </c>
      <c r="F7" s="1"/>
      <c r="G7" s="2">
        <v>170</v>
      </c>
      <c r="H7" s="1">
        <v>15.823</v>
      </c>
      <c r="I7" s="1">
        <v>15.751200000000001</v>
      </c>
      <c r="J7" s="1">
        <v>15.7981</v>
      </c>
    </row>
    <row r="8" spans="2:10">
      <c r="B8" s="2">
        <v>160</v>
      </c>
      <c r="C8" s="1">
        <v>14.781599999999999</v>
      </c>
      <c r="D8" s="1">
        <v>14.7789</v>
      </c>
      <c r="E8" s="1">
        <v>14.7804</v>
      </c>
      <c r="F8" s="1"/>
      <c r="G8" s="2">
        <v>160</v>
      </c>
      <c r="H8" s="1">
        <v>15.823</v>
      </c>
      <c r="I8" s="1">
        <v>15.751200000000001</v>
      </c>
      <c r="J8" s="1">
        <v>15.7981</v>
      </c>
    </row>
    <row r="9" spans="2:10">
      <c r="B9" s="2">
        <v>150</v>
      </c>
      <c r="C9" s="1">
        <v>14.877599999999999</v>
      </c>
      <c r="D9" s="1">
        <v>13.5655</v>
      </c>
      <c r="E9" s="1">
        <v>14.251300000000001</v>
      </c>
      <c r="F9" s="1"/>
      <c r="G9" s="2">
        <v>150</v>
      </c>
      <c r="H9" s="1">
        <v>15.823</v>
      </c>
      <c r="I9" s="1">
        <v>15.751200000000001</v>
      </c>
      <c r="J9" s="1">
        <v>15.7981</v>
      </c>
    </row>
    <row r="10" spans="2:10">
      <c r="B10" s="2">
        <v>140</v>
      </c>
      <c r="C10" s="1">
        <v>14.877599999999999</v>
      </c>
      <c r="D10" s="1">
        <v>13.5655</v>
      </c>
      <c r="E10" s="1">
        <v>14.251300000000001</v>
      </c>
      <c r="F10" s="1"/>
      <c r="G10" s="2">
        <v>140</v>
      </c>
      <c r="H10" s="1">
        <v>15.823</v>
      </c>
      <c r="I10" s="1">
        <v>15.751200000000001</v>
      </c>
      <c r="J10" s="1">
        <v>15.7981</v>
      </c>
    </row>
    <row r="11" spans="2:10">
      <c r="B11" s="2">
        <v>130</v>
      </c>
      <c r="C11" s="1">
        <v>14.877599999999999</v>
      </c>
      <c r="D11" s="1">
        <v>13.5655</v>
      </c>
      <c r="E11" s="1">
        <v>14.251300000000001</v>
      </c>
      <c r="F11" s="1"/>
      <c r="G11" s="2">
        <v>130</v>
      </c>
      <c r="H11" s="1">
        <v>15.823</v>
      </c>
      <c r="I11" s="1">
        <v>15.751200000000001</v>
      </c>
      <c r="J11" s="1">
        <v>15.7981</v>
      </c>
    </row>
    <row r="12" spans="2:10">
      <c r="B12" s="1">
        <v>120</v>
      </c>
      <c r="C12" s="1">
        <v>14.9306</v>
      </c>
      <c r="D12" s="1">
        <v>15.9321</v>
      </c>
      <c r="E12" s="1">
        <v>15.3933</v>
      </c>
      <c r="F12" s="1"/>
      <c r="G12" s="1">
        <v>120</v>
      </c>
      <c r="H12" s="1">
        <v>15.8611</v>
      </c>
      <c r="I12" s="1">
        <v>15.9842</v>
      </c>
      <c r="J12" s="1">
        <v>15.9038</v>
      </c>
    </row>
    <row r="13" spans="2:10">
      <c r="B13" s="1">
        <v>110</v>
      </c>
      <c r="C13" s="1">
        <v>14.9308</v>
      </c>
      <c r="D13" s="1">
        <v>15.9299</v>
      </c>
      <c r="E13" s="1">
        <v>15.3924</v>
      </c>
      <c r="F13" s="1"/>
      <c r="G13" s="1">
        <v>110</v>
      </c>
      <c r="H13" s="1">
        <v>15.8611</v>
      </c>
      <c r="I13" s="1">
        <v>15.9842</v>
      </c>
      <c r="J13" s="1">
        <v>15.9038</v>
      </c>
    </row>
    <row r="14" spans="2:10">
      <c r="B14" s="1">
        <v>100</v>
      </c>
      <c r="C14" s="1">
        <v>15.4971</v>
      </c>
      <c r="D14" s="1">
        <v>15.646000000000001</v>
      </c>
      <c r="E14" s="1">
        <v>15.565899999999999</v>
      </c>
      <c r="F14" s="1"/>
      <c r="G14" s="1">
        <v>100</v>
      </c>
      <c r="H14" s="1">
        <v>15.8611</v>
      </c>
      <c r="I14" s="1">
        <v>15.9842</v>
      </c>
      <c r="J14" s="1">
        <v>15.9038</v>
      </c>
    </row>
    <row r="15" spans="2:10">
      <c r="B15" s="1">
        <v>90</v>
      </c>
      <c r="C15" s="1">
        <v>15.2683</v>
      </c>
      <c r="D15" s="1">
        <v>15.111700000000001</v>
      </c>
      <c r="E15" s="1">
        <v>15.196</v>
      </c>
      <c r="F15" s="1"/>
      <c r="G15" s="1">
        <v>90</v>
      </c>
      <c r="H15" s="1">
        <v>15.8611</v>
      </c>
      <c r="I15" s="1">
        <v>15.9842</v>
      </c>
      <c r="J15" s="1">
        <v>15.9038</v>
      </c>
    </row>
    <row r="16" spans="2:10">
      <c r="B16" s="1">
        <v>80</v>
      </c>
      <c r="C16" s="1">
        <v>14.9306</v>
      </c>
      <c r="D16" s="1">
        <v>15.9321</v>
      </c>
      <c r="E16" s="1">
        <v>15.3933</v>
      </c>
      <c r="F16" s="1"/>
      <c r="G16" s="1">
        <v>80</v>
      </c>
      <c r="H16" s="1">
        <v>15.821400000000001</v>
      </c>
      <c r="I16" s="1">
        <v>16.423300000000001</v>
      </c>
      <c r="J16" s="1">
        <v>16.030200000000001</v>
      </c>
    </row>
    <row r="17" spans="2:10">
      <c r="B17" s="1">
        <v>70</v>
      </c>
      <c r="C17" s="1">
        <v>15.570600000000001</v>
      </c>
      <c r="D17" s="1">
        <v>14.095000000000001</v>
      </c>
      <c r="E17" s="1">
        <v>14.8828</v>
      </c>
      <c r="F17" s="1"/>
      <c r="G17" s="1">
        <v>70</v>
      </c>
      <c r="H17" s="1">
        <v>15.823</v>
      </c>
      <c r="I17" s="1">
        <v>15.751200000000001</v>
      </c>
      <c r="J17" s="1">
        <v>15.7981</v>
      </c>
    </row>
    <row r="18" spans="2:10">
      <c r="G18" s="1">
        <v>60</v>
      </c>
      <c r="H18" s="1">
        <v>15.823</v>
      </c>
      <c r="I18" s="1">
        <v>15.751200000000001</v>
      </c>
      <c r="J18" s="1">
        <v>15.7981</v>
      </c>
    </row>
    <row r="19" spans="2:10">
      <c r="D19" s="1" t="s">
        <v>11</v>
      </c>
      <c r="E19" s="1"/>
      <c r="G19" s="1">
        <v>50</v>
      </c>
      <c r="H19" s="1">
        <v>15.829000000000001</v>
      </c>
      <c r="I19" s="1">
        <v>16.341699999999999</v>
      </c>
      <c r="J19" s="1">
        <v>16.006900000000002</v>
      </c>
    </row>
    <row r="20" spans="2:10">
      <c r="G20" s="1">
        <v>40</v>
      </c>
      <c r="H20" s="1">
        <v>15.744999999999999</v>
      </c>
      <c r="I20" s="1">
        <v>14.741899999999999</v>
      </c>
      <c r="J20" s="1">
        <v>15.3971</v>
      </c>
    </row>
    <row r="21" spans="2:10">
      <c r="I21" s="1" t="s">
        <v>11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2BA3-45F5-4E4B-9278-F9D240E14D0F}">
  <dimension ref="B2:J21"/>
  <sheetViews>
    <sheetView workbookViewId="0">
      <selection activeCell="H22" sqref="H22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2">
        <v>200</v>
      </c>
      <c r="C4" s="1">
        <v>12.770099999999999</v>
      </c>
      <c r="D4" s="1">
        <v>15.6074</v>
      </c>
      <c r="E4" s="1">
        <v>14.112299999999999</v>
      </c>
      <c r="F4" s="1"/>
      <c r="G4" s="2">
        <v>200</v>
      </c>
      <c r="H4" s="1">
        <v>11.495900000000001</v>
      </c>
      <c r="I4" s="1">
        <v>15.3592</v>
      </c>
      <c r="J4" s="1">
        <v>12.8338</v>
      </c>
    </row>
    <row r="5" spans="2:10">
      <c r="B5" s="2">
        <v>190</v>
      </c>
      <c r="C5" s="1"/>
      <c r="D5" s="1"/>
      <c r="E5" s="1"/>
      <c r="F5" s="1"/>
      <c r="G5" s="2">
        <v>190</v>
      </c>
      <c r="H5" s="1"/>
      <c r="I5" s="1"/>
      <c r="J5" s="1"/>
    </row>
    <row r="6" spans="2:10">
      <c r="B6" s="2">
        <v>180</v>
      </c>
      <c r="C6" s="1"/>
      <c r="D6" s="1"/>
      <c r="E6" s="1"/>
      <c r="F6" s="1"/>
      <c r="G6" s="2">
        <v>180</v>
      </c>
      <c r="H6" s="1"/>
      <c r="I6" s="1"/>
      <c r="J6" s="1"/>
    </row>
    <row r="7" spans="2:10">
      <c r="B7" s="2">
        <v>170</v>
      </c>
      <c r="C7" s="1">
        <v>12.770099999999999</v>
      </c>
      <c r="D7" s="1">
        <v>15.6074</v>
      </c>
      <c r="E7" s="1">
        <v>14.112299999999999</v>
      </c>
      <c r="F7" s="1"/>
      <c r="G7" s="2">
        <v>170</v>
      </c>
      <c r="H7" s="1">
        <v>11.495900000000001</v>
      </c>
      <c r="I7" s="1">
        <v>15.3592</v>
      </c>
      <c r="J7" s="1">
        <v>12.8338</v>
      </c>
    </row>
    <row r="8" spans="2:10">
      <c r="B8" s="2">
        <v>160</v>
      </c>
      <c r="C8" s="1">
        <v>13.971</v>
      </c>
      <c r="D8" s="1">
        <v>15.202400000000001</v>
      </c>
      <c r="E8" s="1">
        <v>14.5588</v>
      </c>
      <c r="F8" s="1"/>
      <c r="G8" s="2">
        <v>160</v>
      </c>
      <c r="H8" s="1">
        <v>11.495900000000001</v>
      </c>
      <c r="I8" s="1">
        <v>15.3592</v>
      </c>
      <c r="J8" s="1">
        <v>12.8338</v>
      </c>
    </row>
    <row r="9" spans="2:10">
      <c r="B9" s="2">
        <v>150</v>
      </c>
      <c r="C9" s="1">
        <v>13.7858</v>
      </c>
      <c r="D9" s="1">
        <v>15.890499999999999</v>
      </c>
      <c r="E9" s="1">
        <v>14.7905</v>
      </c>
      <c r="F9" s="1"/>
      <c r="G9" s="2">
        <v>150</v>
      </c>
      <c r="H9" s="1">
        <v>11.495900000000001</v>
      </c>
      <c r="I9" s="1">
        <v>15.3592</v>
      </c>
      <c r="J9" s="1">
        <v>12.8338</v>
      </c>
    </row>
    <row r="10" spans="2:10">
      <c r="B10" s="2">
        <v>140</v>
      </c>
      <c r="C10" s="1">
        <v>13.847799999999999</v>
      </c>
      <c r="D10" s="1">
        <v>15.292199999999999</v>
      </c>
      <c r="E10" s="1">
        <v>14.5373</v>
      </c>
      <c r="F10" s="1"/>
      <c r="G10" s="2">
        <v>140</v>
      </c>
      <c r="H10" s="1">
        <v>11.495900000000001</v>
      </c>
      <c r="I10" s="1">
        <v>15.3592</v>
      </c>
      <c r="J10" s="1">
        <v>12.8338</v>
      </c>
    </row>
    <row r="11" spans="2:10">
      <c r="B11" s="2">
        <v>130</v>
      </c>
      <c r="C11" s="1">
        <v>13.971</v>
      </c>
      <c r="D11" s="1">
        <v>15.202400000000001</v>
      </c>
      <c r="E11" s="1">
        <v>14.5588</v>
      </c>
      <c r="F11" s="1"/>
      <c r="G11" s="2">
        <v>130</v>
      </c>
      <c r="H11" s="1">
        <v>11.495900000000001</v>
      </c>
      <c r="I11" s="1">
        <v>15.3592</v>
      </c>
      <c r="J11" s="1">
        <v>12.8338</v>
      </c>
    </row>
    <row r="12" spans="2:10">
      <c r="B12" s="1">
        <v>120</v>
      </c>
      <c r="C12" s="1">
        <v>13.971</v>
      </c>
      <c r="D12" s="1">
        <v>15.202400000000001</v>
      </c>
      <c r="E12" s="1">
        <v>14.5588</v>
      </c>
      <c r="F12" s="1"/>
      <c r="G12" s="1">
        <v>120</v>
      </c>
      <c r="H12" s="1">
        <v>11.495900000000001</v>
      </c>
      <c r="I12" s="1">
        <v>15.3592</v>
      </c>
      <c r="J12" s="1">
        <v>12.8338</v>
      </c>
    </row>
    <row r="13" spans="2:10">
      <c r="B13" s="1">
        <v>110</v>
      </c>
      <c r="C13" s="1">
        <v>10.485300000000001</v>
      </c>
      <c r="D13" s="1">
        <v>12.8689</v>
      </c>
      <c r="E13" s="1">
        <v>11.6334</v>
      </c>
      <c r="F13" s="1"/>
      <c r="G13" s="1">
        <v>110</v>
      </c>
      <c r="H13" s="1">
        <v>12.6883</v>
      </c>
      <c r="I13" s="1">
        <v>15.415100000000001</v>
      </c>
      <c r="J13" s="1">
        <v>13.6409</v>
      </c>
    </row>
    <row r="14" spans="2:10">
      <c r="B14" s="1">
        <v>100</v>
      </c>
      <c r="C14" s="1">
        <v>10.978999999999999</v>
      </c>
      <c r="D14" s="1">
        <v>14.1107</v>
      </c>
      <c r="E14" s="1">
        <v>12.4802</v>
      </c>
      <c r="F14" s="1"/>
      <c r="G14" s="1">
        <v>100</v>
      </c>
      <c r="H14" s="1">
        <v>13.2559</v>
      </c>
      <c r="I14" s="1">
        <v>16.338100000000001</v>
      </c>
      <c r="J14" s="1">
        <v>14.325699999999999</v>
      </c>
    </row>
    <row r="15" spans="2:10">
      <c r="B15" s="1">
        <v>90</v>
      </c>
      <c r="C15" s="1">
        <v>11.2395</v>
      </c>
      <c r="D15" s="1">
        <v>13.9244</v>
      </c>
      <c r="E15" s="1">
        <v>12.527900000000001</v>
      </c>
      <c r="F15" s="1"/>
      <c r="G15" s="1">
        <v>90</v>
      </c>
      <c r="H15" s="1">
        <v>13.205</v>
      </c>
      <c r="I15" s="1">
        <v>16.349699999999999</v>
      </c>
      <c r="J15" s="1">
        <v>14.2965</v>
      </c>
    </row>
    <row r="16" spans="2:10">
      <c r="B16" s="1">
        <v>80</v>
      </c>
      <c r="C16" s="1">
        <v>12.7704</v>
      </c>
      <c r="D16" s="1">
        <v>15.6121</v>
      </c>
      <c r="E16" s="1">
        <v>14.114699999999999</v>
      </c>
      <c r="F16" s="1"/>
      <c r="G16" s="1">
        <v>80</v>
      </c>
      <c r="H16" s="1">
        <v>13.202</v>
      </c>
      <c r="I16" s="1">
        <v>16.355499999999999</v>
      </c>
      <c r="J16" s="1">
        <v>14.2965</v>
      </c>
    </row>
    <row r="17" spans="2:10">
      <c r="B17" s="2">
        <v>70</v>
      </c>
      <c r="C17" s="1">
        <v>12.7704</v>
      </c>
      <c r="D17" s="1">
        <v>15.6121</v>
      </c>
      <c r="E17" s="1">
        <v>14.114699999999999</v>
      </c>
      <c r="F17" s="1"/>
      <c r="G17" s="1">
        <v>70</v>
      </c>
      <c r="H17" s="1">
        <v>13.2225</v>
      </c>
      <c r="I17" s="1">
        <v>16.342400000000001</v>
      </c>
      <c r="J17" s="1">
        <v>14.305400000000001</v>
      </c>
    </row>
    <row r="18" spans="2:10">
      <c r="G18" s="1">
        <v>60</v>
      </c>
      <c r="H18" s="1">
        <v>13.2638</v>
      </c>
      <c r="I18" s="1">
        <v>16.307700000000001</v>
      </c>
      <c r="J18" s="1">
        <v>14.3203</v>
      </c>
    </row>
    <row r="19" spans="2:10">
      <c r="D19" s="1" t="s">
        <v>11</v>
      </c>
      <c r="E19" s="1"/>
      <c r="G19" s="1">
        <v>50</v>
      </c>
      <c r="H19" s="1">
        <v>13.2363</v>
      </c>
      <c r="I19" s="1">
        <v>16.024799999999999</v>
      </c>
      <c r="J19" s="1">
        <v>14.215999999999999</v>
      </c>
    </row>
    <row r="20" spans="2:10">
      <c r="G20" s="1">
        <v>40</v>
      </c>
    </row>
    <row r="21" spans="2:10">
      <c r="I21" s="1" t="s">
        <v>11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A4A5-1523-7742-91AF-DFD274F195C2}">
  <dimension ref="B2:J20"/>
  <sheetViews>
    <sheetView workbookViewId="0">
      <selection activeCell="K17" sqref="K17"/>
    </sheetView>
  </sheetViews>
  <sheetFormatPr baseColWidth="10" defaultRowHeight="20"/>
  <sheetData>
    <row r="2" spans="2:10">
      <c r="B2" s="1"/>
      <c r="C2" s="1" t="s">
        <v>5</v>
      </c>
      <c r="D2" s="1" t="s">
        <v>9</v>
      </c>
      <c r="E2" s="1"/>
      <c r="F2" s="1"/>
      <c r="G2" s="1"/>
      <c r="H2" s="1" t="s">
        <v>7</v>
      </c>
      <c r="I2" s="1" t="s">
        <v>9</v>
      </c>
      <c r="J2" s="1"/>
    </row>
    <row r="3" spans="2:10">
      <c r="B3" s="1" t="s">
        <v>0</v>
      </c>
      <c r="C3" s="1" t="s">
        <v>2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3</v>
      </c>
      <c r="J3" s="1" t="s">
        <v>4</v>
      </c>
    </row>
    <row r="4" spans="2:10">
      <c r="B4" s="1">
        <v>200</v>
      </c>
      <c r="C4" s="1">
        <f>ROUND(AVERAGE(seed1!C4,seed2!C4,seed4!C4,seed5!C4,seed7!C4), 4)</f>
        <v>14.5305</v>
      </c>
      <c r="D4" s="1">
        <f>ROUND(AVERAGE(seed1!D4,seed2!D4,seed4!D4,seed5!D4,seed7!D4), 4)</f>
        <v>15.018700000000001</v>
      </c>
      <c r="E4" s="1">
        <f>ROUND(AVERAGE(seed1!E4,seed2!E4,seed4!E4,seed5!E4,seed7!E4), 4)</f>
        <v>14.760300000000001</v>
      </c>
      <c r="F4" s="1"/>
      <c r="G4" s="1">
        <v>200</v>
      </c>
      <c r="H4" s="1">
        <f>ROUND(AVERAGE(seed1!H4,seed2!H4,seed4!H4,seed5!H4,seed7!H4), 4)</f>
        <v>13.552</v>
      </c>
      <c r="I4" s="1">
        <f>ROUND(AVERAGE(seed1!I4,seed2!I4,seed4!I4,seed5!I4,seed7!I4), 4)</f>
        <v>14.888400000000001</v>
      </c>
      <c r="J4" s="1">
        <f>ROUND(AVERAGE(seed1!J4,seed2!J4,seed4!J4,seed5!J4,seed7!J4), 4)</f>
        <v>14.0215</v>
      </c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/>
      <c r="D6" s="1"/>
      <c r="E6" s="1"/>
      <c r="F6" s="1"/>
      <c r="G6" s="1">
        <v>180</v>
      </c>
      <c r="H6" s="1"/>
      <c r="I6" s="1"/>
      <c r="J6" s="1"/>
    </row>
    <row r="7" spans="2:10">
      <c r="B7" s="1">
        <v>170</v>
      </c>
      <c r="C7" s="1">
        <f>ROUND(AVERAGE(seed1!C7,seed2!C7,seed4!C7,seed5!C7,seed7!C7), 4)</f>
        <v>14.497999999999999</v>
      </c>
      <c r="D7" s="1">
        <f>ROUND(AVERAGE(seed1!D7,seed2!D7,seed4!D7,seed5!D7,seed7!D7), 4)</f>
        <v>15.211399999999999</v>
      </c>
      <c r="E7" s="1">
        <f>ROUND(AVERAGE(seed1!E7,seed2!E7,seed4!E7,seed5!E7,seed7!E7), 4)</f>
        <v>14.8309</v>
      </c>
      <c r="F7" s="1"/>
      <c r="G7" s="1">
        <v>170</v>
      </c>
      <c r="H7" s="1">
        <f>ROUND(AVERAGE(seed1!H7,seed2!H7,seed4!H7,seed5!H7,seed7!H7), 4)</f>
        <v>13.5524</v>
      </c>
      <c r="I7" s="1">
        <f>ROUND(AVERAGE(seed1!I7,seed2!I7,seed4!I7,seed5!I7,seed7!I7), 4)</f>
        <v>14.8864</v>
      </c>
      <c r="J7" s="1">
        <f>ROUND(AVERAGE(seed1!J7,seed2!J7,seed4!J7,seed5!J7,seed7!J7), 4)</f>
        <v>14.021100000000001</v>
      </c>
    </row>
    <row r="8" spans="2:10">
      <c r="B8" s="1">
        <v>160</v>
      </c>
      <c r="C8" s="1">
        <f>ROUND(AVERAGE(seed1!C8,seed2!C8,seed4!C8,seed5!C8,seed7!C8), 4)</f>
        <v>14.5063</v>
      </c>
      <c r="D8" s="1">
        <f>ROUND(AVERAGE(seed1!D8,seed2!D8,seed4!D8,seed5!D8,seed7!D8), 4)</f>
        <v>15.1198</v>
      </c>
      <c r="E8" s="1">
        <f>ROUND(AVERAGE(seed1!E8,seed2!E8,seed4!E8,seed5!E8,seed7!E8), 4)</f>
        <v>14.802099999999999</v>
      </c>
      <c r="F8" s="1"/>
      <c r="G8" s="1">
        <v>160</v>
      </c>
      <c r="H8" s="1">
        <f>ROUND(AVERAGE(seed1!H8,seed2!H8,seed4!H8,seed5!H8,seed7!H8), 4)</f>
        <v>13.5488</v>
      </c>
      <c r="I8" s="1">
        <f>ROUND(AVERAGE(seed1!I8,seed2!I8,seed4!I8,seed5!I8,seed7!I8), 4)</f>
        <v>14.880800000000001</v>
      </c>
      <c r="J8" s="1">
        <f>ROUND(AVERAGE(seed1!J8,seed2!J8,seed4!J8,seed5!J8,seed7!J8), 4)</f>
        <v>14.0167</v>
      </c>
    </row>
    <row r="9" spans="2:10">
      <c r="B9" s="1">
        <v>150</v>
      </c>
      <c r="C9" s="1">
        <f>ROUND(AVERAGE(seed1!C9,seed2!C9,seed4!C9,seed5!C9,seed7!C9), 4)</f>
        <v>14.412800000000001</v>
      </c>
      <c r="D9" s="1">
        <f>ROUND(AVERAGE(seed1!D9,seed2!D9,seed4!D9,seed5!D9,seed7!D9), 4)</f>
        <v>14.966900000000001</v>
      </c>
      <c r="E9" s="1">
        <f>ROUND(AVERAGE(seed1!E9,seed2!E9,seed4!E9,seed5!E9,seed7!E9), 4)</f>
        <v>14.6816</v>
      </c>
      <c r="F9" s="1"/>
      <c r="G9" s="1">
        <v>150</v>
      </c>
      <c r="H9" s="1">
        <f>ROUND(AVERAGE(seed1!H9,seed2!H9,seed4!H9,seed5!H9,seed7!H9), 4)</f>
        <v>13.625500000000001</v>
      </c>
      <c r="I9" s="1">
        <f>ROUND(AVERAGE(seed1!I9,seed2!I9,seed4!I9,seed5!I9,seed7!I9), 4)</f>
        <v>14.7416</v>
      </c>
      <c r="J9" s="1">
        <f>ROUND(AVERAGE(seed1!J9,seed2!J9,seed4!J9,seed5!J9,seed7!J9), 4)</f>
        <v>14.0177</v>
      </c>
    </row>
    <row r="10" spans="2:10">
      <c r="B10" s="1">
        <v>140</v>
      </c>
      <c r="C10" s="1">
        <f>ROUND(AVERAGE(seed1!C10,seed2!C10,seed4!C10,seed5!C10,seed7!C10), 4)</f>
        <v>14.468</v>
      </c>
      <c r="D10" s="1">
        <f>ROUND(AVERAGE(seed1!D10,seed2!D10,seed4!D10,seed5!D10,seed7!D10), 4)</f>
        <v>14.995900000000001</v>
      </c>
      <c r="E10" s="1">
        <f>ROUND(AVERAGE(seed1!E10,seed2!E10,seed4!E10,seed5!E10,seed7!E10), 4)</f>
        <v>14.725199999999999</v>
      </c>
      <c r="F10" s="1"/>
      <c r="G10" s="1">
        <v>140</v>
      </c>
      <c r="H10" s="1">
        <f>ROUND(AVERAGE(seed1!H10,seed2!H10,seed4!H10,seed5!H10,seed7!H10), 4)</f>
        <v>13.5686</v>
      </c>
      <c r="I10" s="1">
        <f>ROUND(AVERAGE(seed1!I10,seed2!I10,seed4!I10,seed5!I10,seed7!I10), 4)</f>
        <v>14.9488</v>
      </c>
      <c r="J10" s="1">
        <f>ROUND(AVERAGE(seed1!J10,seed2!J10,seed4!J10,seed5!J10,seed7!J10), 4)</f>
        <v>14.056100000000001</v>
      </c>
    </row>
    <row r="11" spans="2:10">
      <c r="B11" s="1">
        <v>130</v>
      </c>
      <c r="C11" s="1">
        <f>ROUND(AVERAGE(seed1!C11,seed2!C11,seed4!C11,seed5!C11,seed7!C11), 4)</f>
        <v>14.6669</v>
      </c>
      <c r="D11" s="1">
        <f>ROUND(AVERAGE(seed1!D11,seed2!D11,seed4!D11,seed5!D11,seed7!D11), 4)</f>
        <v>14.732100000000001</v>
      </c>
      <c r="E11" s="1">
        <f>ROUND(AVERAGE(seed1!E11,seed2!E11,seed4!E11,seed5!E11,seed7!E11), 4)</f>
        <v>14.6981</v>
      </c>
      <c r="F11" s="1"/>
      <c r="G11" s="1">
        <v>130</v>
      </c>
      <c r="H11" s="1">
        <f>ROUND(AVERAGE(seed1!H11,seed2!H11,seed4!H11,seed5!H11,seed7!H11), 4)</f>
        <v>13.577999999999999</v>
      </c>
      <c r="I11" s="1">
        <f>ROUND(AVERAGE(seed1!I11,seed2!I11,seed4!I11,seed5!I11,seed7!I11), 4)</f>
        <v>14.9175</v>
      </c>
      <c r="J11" s="1">
        <f>ROUND(AVERAGE(seed1!J11,seed2!J11,seed4!J11,seed5!J11,seed7!J11), 4)</f>
        <v>14.050599999999999</v>
      </c>
    </row>
    <row r="12" spans="2:10">
      <c r="B12" s="1">
        <v>120</v>
      </c>
      <c r="C12" s="1">
        <f>ROUND(AVERAGE(seed1!C12,seed2!C12,seed4!C12,seed5!C12,seed7!C12), 4)</f>
        <v>14.728300000000001</v>
      </c>
      <c r="D12" s="1">
        <f>ROUND(AVERAGE(seed1!D12,seed2!D12,seed4!D12,seed5!D12,seed7!D12), 4)</f>
        <v>15.394399999999999</v>
      </c>
      <c r="E12" s="1">
        <f>ROUND(AVERAGE(seed1!E12,seed2!E12,seed4!E12,seed5!E12,seed7!E12), 4)</f>
        <v>15.0443</v>
      </c>
      <c r="F12" s="1"/>
      <c r="G12" s="1">
        <v>120</v>
      </c>
      <c r="H12" s="1">
        <f>ROUND(AVERAGE(seed1!H12,seed2!H12,seed4!H12,seed5!H12,seed7!H12), 4)</f>
        <v>13.5831</v>
      </c>
      <c r="I12" s="1">
        <f>ROUND(AVERAGE(seed1!I12,seed2!I12,seed4!I12,seed5!I12,seed7!I12), 4)</f>
        <v>14.9937</v>
      </c>
      <c r="J12" s="1">
        <f>ROUND(AVERAGE(seed1!J12,seed2!J12,seed4!J12,seed5!J12,seed7!J12), 4)</f>
        <v>14.081</v>
      </c>
    </row>
    <row r="13" spans="2:10">
      <c r="B13" s="1">
        <v>110</v>
      </c>
      <c r="C13" s="1">
        <f>ROUND(AVERAGE(seed1!C13,seed2!C13,seed4!C13,seed5!C13,seed7!C13), 4)</f>
        <v>14.032</v>
      </c>
      <c r="D13" s="1">
        <f>ROUND(AVERAGE(seed1!D13,seed2!D13,seed4!D13,seed5!D13,seed7!D13), 4)</f>
        <v>14.9262</v>
      </c>
      <c r="E13" s="1">
        <f>ROUND(AVERAGE(seed1!E13,seed2!E13,seed4!E13,seed5!E13,seed7!E13), 4)</f>
        <v>14.4589</v>
      </c>
      <c r="F13" s="1"/>
      <c r="G13" s="1">
        <v>110</v>
      </c>
      <c r="H13" s="1">
        <f>ROUND(AVERAGE(seed1!H13,seed2!H13,seed4!H13,seed5!H13,seed7!H13), 4)</f>
        <v>13.8163</v>
      </c>
      <c r="I13" s="1">
        <f>ROUND(AVERAGE(seed1!I13,seed2!I13,seed4!I13,seed5!I13,seed7!I13), 4)</f>
        <v>15.2211</v>
      </c>
      <c r="J13" s="1">
        <f>ROUND(AVERAGE(seed1!J13,seed2!J13,seed4!J13,seed5!J13,seed7!J13), 4)</f>
        <v>14.301299999999999</v>
      </c>
    </row>
    <row r="14" spans="2:10">
      <c r="B14" s="1">
        <v>100</v>
      </c>
      <c r="C14" s="1">
        <f>ROUND(AVERAGE(seed1!C14,seed2!C14,seed4!C14,seed5!C14,seed7!C14), 4)</f>
        <v>14.1974</v>
      </c>
      <c r="D14" s="1">
        <f>ROUND(AVERAGE(seed1!D14,seed2!D14,seed4!D14,seed5!D14,seed7!D14), 4)</f>
        <v>14.7989</v>
      </c>
      <c r="E14" s="1">
        <f>ROUND(AVERAGE(seed1!E14,seed2!E14,seed4!E14,seed5!E14,seed7!E14), 4)</f>
        <v>14.484999999999999</v>
      </c>
      <c r="F14" s="1"/>
      <c r="G14" s="1">
        <v>100</v>
      </c>
      <c r="H14" s="1">
        <f>ROUND(AVERAGE(seed1!H14,seed2!H14,seed4!H14,seed5!H14,seed7!H14), 4)</f>
        <v>14.0139</v>
      </c>
      <c r="I14" s="1">
        <f>ROUND(AVERAGE(seed1!I14,seed2!I14,seed4!I14,seed5!I14,seed7!I14), 4)</f>
        <v>14.971500000000001</v>
      </c>
      <c r="J14" s="1">
        <f>ROUND(AVERAGE(seed1!J14,seed2!J14,seed4!J14,seed5!J14,seed7!J14), 4)</f>
        <v>14.334300000000001</v>
      </c>
    </row>
    <row r="15" spans="2:10">
      <c r="B15" s="1">
        <v>90</v>
      </c>
      <c r="C15" s="1">
        <f>ROUND(AVERAGE(seed1!C15,seed2!C15,seed4!C15,seed5!C15,seed7!C15), 4)</f>
        <v>14.0899</v>
      </c>
      <c r="D15" s="1">
        <f>ROUND(AVERAGE(seed1!D15,seed2!D15,seed4!D15,seed5!D15,seed7!D15), 4)</f>
        <v>14.9291</v>
      </c>
      <c r="E15" s="1">
        <f>ROUND(AVERAGE(seed1!E15,seed2!E15,seed4!E15,seed5!E15,seed7!E15), 4)</f>
        <v>14.494899999999999</v>
      </c>
      <c r="F15" s="1"/>
      <c r="G15" s="1">
        <v>90</v>
      </c>
      <c r="H15" s="1">
        <f>ROUND(AVERAGE(seed1!H15,seed2!H15,seed4!H15,seed5!H15,seed7!H15), 4)</f>
        <v>13.7852</v>
      </c>
      <c r="I15" s="1">
        <f>ROUND(AVERAGE(seed1!I15,seed2!I15,seed4!I15,seed5!I15,seed7!I15), 4)</f>
        <v>14.9407</v>
      </c>
      <c r="J15" s="1">
        <f>ROUND(AVERAGE(seed1!J15,seed2!J15,seed4!J15,seed5!J15,seed7!J15), 4)</f>
        <v>14.182399999999999</v>
      </c>
    </row>
    <row r="16" spans="2:10">
      <c r="B16" s="1">
        <v>80</v>
      </c>
      <c r="C16" s="1">
        <f>ROUND(AVERAGE(seed1!C16,seed2!C16,seed4!C16,seed5!C16,seed7!C16), 4)</f>
        <v>14.3055</v>
      </c>
      <c r="D16" s="1">
        <f>ROUND(AVERAGE(seed1!D16,seed2!D16,seed4!D16,seed5!D16,seed7!D16), 4)</f>
        <v>15.7037</v>
      </c>
      <c r="E16" s="1">
        <f>ROUND(AVERAGE(seed1!E16,seed2!E16,seed4!E16,seed5!E16,seed7!E16), 4)</f>
        <v>14.974</v>
      </c>
      <c r="F16" s="1"/>
      <c r="G16" s="1">
        <v>80</v>
      </c>
      <c r="H16" s="1">
        <f>ROUND(AVERAGE(seed1!H16,seed2!H16,seed4!H16,seed5!H16,seed7!H16), 4)</f>
        <v>13.654</v>
      </c>
      <c r="I16" s="1">
        <f>ROUND(AVERAGE(seed1!I16,seed2!I16,seed4!I16,seed5!I16,seed7!I16), 4)</f>
        <v>15.3047</v>
      </c>
      <c r="J16" s="1">
        <f>ROUND(AVERAGE(seed1!J16,seed2!J16,seed4!J16,seed5!J16,seed7!J16), 4)</f>
        <v>14.213699999999999</v>
      </c>
    </row>
    <row r="17" spans="2:10">
      <c r="B17" s="1">
        <v>70</v>
      </c>
      <c r="C17" s="1">
        <f>ROUND(AVERAGE(seed1!C17,seed2!C17,seed4!C17,seed5!C17,seed7!C17), 4)</f>
        <v>14.3149</v>
      </c>
      <c r="D17" s="1">
        <f>ROUND(AVERAGE(seed1!D17,seed2!D17,seed4!D17,seed5!D17,seed7!D17), 4)</f>
        <v>15.1478</v>
      </c>
      <c r="E17" s="1">
        <f>ROUND(AVERAGE(seed1!E17,seed2!E17,seed4!E17,seed5!E17,seed7!E17), 4)</f>
        <v>14.719900000000001</v>
      </c>
      <c r="F17" s="1"/>
      <c r="G17" s="1">
        <v>70</v>
      </c>
      <c r="H17" s="1">
        <f>ROUND(AVERAGE(seed1!H17,seed2!H17,seed4!H17,seed5!H17,seed7!H17), 4)</f>
        <v>13.848699999999999</v>
      </c>
      <c r="I17" s="1">
        <f>ROUND(AVERAGE(seed1!I17,seed2!I17,seed4!I17,seed5!I17,seed7!I17), 4)</f>
        <v>15.523999999999999</v>
      </c>
      <c r="J17" s="1">
        <f>ROUND(AVERAGE(seed1!J17,seed2!J17,seed4!J17,seed5!J17,seed7!J17), 4)</f>
        <v>14.4381</v>
      </c>
    </row>
    <row r="18" spans="2:10">
      <c r="G18" s="1">
        <v>60</v>
      </c>
      <c r="H18" s="1">
        <f>ROUND(AVERAGE(seed1!H18,seed2!H18,seed4!H18,seed5!H18,seed7!H18), 4)</f>
        <v>14.0433</v>
      </c>
      <c r="I18" s="1">
        <f>ROUND(AVERAGE(seed1!I18,seed2!I18,seed4!I18,seed5!I18,seed7!I18), 4)</f>
        <v>15.694800000000001</v>
      </c>
      <c r="J18" s="1">
        <f>ROUND(AVERAGE(seed1!J18,seed2!J18,seed4!J18,seed5!J18,seed7!J18), 4)</f>
        <v>14.622999999999999</v>
      </c>
    </row>
    <row r="19" spans="2:10">
      <c r="G19" s="1">
        <v>50</v>
      </c>
      <c r="H19" s="1">
        <f>ROUND(AVERAGE(seed1!H19,seed2!H19,seed4!H19,seed5!H19,seed7!H19), 4)</f>
        <v>13.817399999999999</v>
      </c>
      <c r="I19" s="1">
        <f>ROUND(AVERAGE(seed1!I19,seed2!I19,seed4!I19,seed5!I19,seed7!I19), 4)</f>
        <v>15.520899999999999</v>
      </c>
      <c r="J19" s="1">
        <f>ROUND(AVERAGE(seed1!J19,seed2!J19,seed4!J19,seed5!J19,seed7!J19), 4)</f>
        <v>14.419499999999999</v>
      </c>
    </row>
    <row r="20" spans="2:10">
      <c r="G20" s="1">
        <v>40</v>
      </c>
      <c r="H20" s="1">
        <f>ROUND(AVERAGE(seed1!H20,seed2!H20,seed4!H20,seed5!H20,seed7!H20), 4)</f>
        <v>14.1286</v>
      </c>
      <c r="I20" s="1">
        <f>ROUND(AVERAGE(seed1!I20,seed2!I20,seed4!I20,seed5!I20,seed7!I20), 4)</f>
        <v>14.4742</v>
      </c>
      <c r="J20" s="1">
        <f>ROUND(AVERAGE(seed1!J20,seed2!J20,seed4!J20,seed5!J20,seed7!J20), 4)</f>
        <v>14.255800000000001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seed4</vt:lpstr>
      <vt:lpstr>seed5</vt:lpstr>
      <vt:lpstr>seed7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2023-12-14T01:43:11Z</dcterms:created>
  <dcterms:modified xsi:type="dcterms:W3CDTF">2023-12-16T07:33:45Z</dcterms:modified>
</cp:coreProperties>
</file>