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E26AAD1C-9712-8C49-8BAB-86AF8E875A1E}" xr6:coauthVersionLast="47" xr6:coauthVersionMax="47" xr10:uidLastSave="{00000000-0000-0000-0000-000000000000}"/>
  <bookViews>
    <workbookView xWindow="0" yWindow="0" windowWidth="28800" windowHeight="18000" activeTab="5" xr2:uid="{AB720125-30EB-CC4A-950C-2A4A855C4BA4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1-5" sheetId="6" r:id="rId6"/>
    <sheet name="seed6" sheetId="7" r:id="rId7"/>
    <sheet name="seed7" sheetId="8" r:id="rId8"/>
    <sheet name="seed8" sheetId="9" r:id="rId9"/>
    <sheet name="seed9" sheetId="10" r:id="rId10"/>
    <sheet name="seed10" sheetId="11" r:id="rId11"/>
    <sheet name="averag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2" l="1"/>
  <c r="N10" i="12"/>
  <c r="O9" i="12"/>
  <c r="N7" i="12"/>
  <c r="N6" i="12"/>
  <c r="N4" i="12"/>
  <c r="O9" i="6"/>
  <c r="O10" i="6"/>
  <c r="N6" i="6"/>
  <c r="N10" i="6"/>
  <c r="N4" i="6"/>
  <c r="H5" i="12"/>
  <c r="I5" i="12"/>
  <c r="J5" i="12"/>
  <c r="O5" i="12" s="1"/>
  <c r="H6" i="12"/>
  <c r="I6" i="12"/>
  <c r="J6" i="12"/>
  <c r="O6" i="12" s="1"/>
  <c r="H7" i="12"/>
  <c r="I7" i="12"/>
  <c r="J7" i="12"/>
  <c r="O7" i="12" s="1"/>
  <c r="H8" i="12"/>
  <c r="I8" i="12"/>
  <c r="J8" i="12"/>
  <c r="O8" i="12" s="1"/>
  <c r="H9" i="12"/>
  <c r="I9" i="12"/>
  <c r="J9" i="12"/>
  <c r="H10" i="12"/>
  <c r="I10" i="12"/>
  <c r="J10" i="12"/>
  <c r="H11" i="12"/>
  <c r="I11" i="12"/>
  <c r="J11" i="12"/>
  <c r="O11" i="12" s="1"/>
  <c r="H12" i="12"/>
  <c r="I12" i="12"/>
  <c r="J12" i="12"/>
  <c r="O12" i="12" s="1"/>
  <c r="H13" i="12"/>
  <c r="I13" i="12"/>
  <c r="J13" i="12"/>
  <c r="O13" i="12" s="1"/>
  <c r="H14" i="12"/>
  <c r="I14" i="12"/>
  <c r="J14" i="12"/>
  <c r="O14" i="12" s="1"/>
  <c r="I4" i="12"/>
  <c r="J4" i="12"/>
  <c r="O4" i="12" s="1"/>
  <c r="C5" i="12"/>
  <c r="D5" i="12"/>
  <c r="E5" i="12"/>
  <c r="N5" i="12" s="1"/>
  <c r="C6" i="12"/>
  <c r="D6" i="12"/>
  <c r="E6" i="12"/>
  <c r="C7" i="12"/>
  <c r="D7" i="12"/>
  <c r="E7" i="12"/>
  <c r="C8" i="12"/>
  <c r="D8" i="12"/>
  <c r="E8" i="12"/>
  <c r="N8" i="12" s="1"/>
  <c r="C9" i="12"/>
  <c r="D9" i="12"/>
  <c r="E9" i="12"/>
  <c r="N9" i="12" s="1"/>
  <c r="C10" i="12"/>
  <c r="D10" i="12"/>
  <c r="E10" i="12"/>
  <c r="C11" i="12"/>
  <c r="D11" i="12"/>
  <c r="E11" i="12"/>
  <c r="N11" i="12" s="1"/>
  <c r="C12" i="12"/>
  <c r="D12" i="12"/>
  <c r="E12" i="12"/>
  <c r="N12" i="12" s="1"/>
  <c r="C13" i="12"/>
  <c r="D13" i="12"/>
  <c r="E13" i="12"/>
  <c r="N13" i="12" s="1"/>
  <c r="C14" i="12"/>
  <c r="D14" i="12"/>
  <c r="E14" i="12"/>
  <c r="N14" i="12" s="1"/>
  <c r="D4" i="12"/>
  <c r="E4" i="12"/>
  <c r="H4" i="12"/>
  <c r="C4" i="12"/>
  <c r="H5" i="6"/>
  <c r="I5" i="6"/>
  <c r="J5" i="6"/>
  <c r="O5" i="6" s="1"/>
  <c r="H6" i="6"/>
  <c r="I6" i="6"/>
  <c r="J6" i="6"/>
  <c r="O6" i="6" s="1"/>
  <c r="H7" i="6"/>
  <c r="I7" i="6"/>
  <c r="J7" i="6"/>
  <c r="O7" i="6" s="1"/>
  <c r="H8" i="6"/>
  <c r="I8" i="6"/>
  <c r="J8" i="6"/>
  <c r="O8" i="6" s="1"/>
  <c r="H9" i="6"/>
  <c r="I9" i="6"/>
  <c r="J9" i="6"/>
  <c r="H10" i="6"/>
  <c r="I10" i="6"/>
  <c r="J10" i="6"/>
  <c r="H11" i="6"/>
  <c r="I11" i="6"/>
  <c r="J11" i="6"/>
  <c r="O11" i="6" s="1"/>
  <c r="H12" i="6"/>
  <c r="I12" i="6"/>
  <c r="J12" i="6"/>
  <c r="O12" i="6" s="1"/>
  <c r="H13" i="6"/>
  <c r="I13" i="6"/>
  <c r="J13" i="6"/>
  <c r="O13" i="6" s="1"/>
  <c r="H14" i="6"/>
  <c r="I14" i="6"/>
  <c r="J14" i="6"/>
  <c r="O14" i="6" s="1"/>
  <c r="I4" i="6"/>
  <c r="J4" i="6"/>
  <c r="O4" i="6" s="1"/>
  <c r="H4" i="6"/>
  <c r="C5" i="6"/>
  <c r="D5" i="6"/>
  <c r="E5" i="6"/>
  <c r="N5" i="6" s="1"/>
  <c r="C6" i="6"/>
  <c r="D6" i="6"/>
  <c r="E6" i="6"/>
  <c r="C7" i="6"/>
  <c r="D7" i="6"/>
  <c r="E7" i="6"/>
  <c r="N7" i="6" s="1"/>
  <c r="C8" i="6"/>
  <c r="D8" i="6"/>
  <c r="E8" i="6"/>
  <c r="N8" i="6" s="1"/>
  <c r="C9" i="6"/>
  <c r="D9" i="6"/>
  <c r="E9" i="6"/>
  <c r="N9" i="6" s="1"/>
  <c r="C10" i="6"/>
  <c r="D10" i="6"/>
  <c r="E10" i="6"/>
  <c r="C11" i="6"/>
  <c r="D11" i="6"/>
  <c r="E11" i="6"/>
  <c r="N11" i="6" s="1"/>
  <c r="C12" i="6"/>
  <c r="D12" i="6"/>
  <c r="E12" i="6"/>
  <c r="N12" i="6" s="1"/>
  <c r="C13" i="6"/>
  <c r="D13" i="6"/>
  <c r="E13" i="6"/>
  <c r="N13" i="6" s="1"/>
  <c r="C14" i="6"/>
  <c r="D14" i="6"/>
  <c r="E14" i="6"/>
  <c r="N14" i="6" s="1"/>
  <c r="D4" i="6"/>
  <c r="E4" i="6"/>
  <c r="C4" i="6"/>
</calcChain>
</file>

<file path=xl/sharedStrings.xml><?xml version="1.0" encoding="utf-8"?>
<sst xmlns="http://schemas.openxmlformats.org/spreadsheetml/2006/main" count="146" uniqueCount="13">
  <si>
    <t>α</t>
    <phoneticPr fontId="2"/>
  </si>
  <si>
    <t>vehicle0</t>
  </si>
  <si>
    <t>vehicle1</t>
  </si>
  <si>
    <t>all</t>
  </si>
  <si>
    <t>合流100m手前</t>
  </si>
  <si>
    <t>合流100m手前</t>
    <rPh sb="0" eb="2">
      <t>ゴウリュウ</t>
    </rPh>
    <rPh sb="6" eb="8">
      <t>テマエ</t>
    </rPh>
    <phoneticPr fontId="2"/>
  </si>
  <si>
    <t>合流200m手前</t>
  </si>
  <si>
    <t>合流200m手前</t>
    <rPh sb="0" eb="2">
      <t>ゴウリュウ</t>
    </rPh>
    <rPh sb="6" eb="8">
      <t>テマエ</t>
    </rPh>
    <phoneticPr fontId="2"/>
  </si>
  <si>
    <t>α</t>
  </si>
  <si>
    <t>mac</t>
    <phoneticPr fontId="2"/>
  </si>
  <si>
    <t>hpc</t>
    <phoneticPr fontId="2"/>
  </si>
  <si>
    <t>100m手前</t>
    <rPh sb="4" eb="6">
      <t>テマエ</t>
    </rPh>
    <phoneticPr fontId="2"/>
  </si>
  <si>
    <t>200m手前</t>
    <rPh sb="4" eb="6">
      <t>テマエ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</si>
</sst>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図：合流位置の変化に対する平均速度の変化</a:t>
            </a:r>
          </a:p>
        </c:rich>
      </c:tx>
      <c:layout>
        <c:manualLayout>
          <c:xMode val="edge"/>
          <c:yMode val="edge"/>
          <c:x val="0.11944444444444445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7.5995552639253422E-2"/>
          <c:w val="0.83762729658792656"/>
          <c:h val="0.63327099737532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'average1-5'!$N$3</c:f>
              <c:strCache>
                <c:ptCount val="1"/>
                <c:pt idx="0">
                  <c:v>100m手前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'average1-5'!$M$4:$M$14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'average1-5'!$N$4:$N$14</c:f>
              <c:numCache>
                <c:formatCode>General</c:formatCode>
                <c:ptCount val="11"/>
                <c:pt idx="0">
                  <c:v>13.4313</c:v>
                </c:pt>
                <c:pt idx="1">
                  <c:v>13.501300000000001</c:v>
                </c:pt>
                <c:pt idx="2">
                  <c:v>13.746499999999999</c:v>
                </c:pt>
                <c:pt idx="3">
                  <c:v>13.62</c:v>
                </c:pt>
                <c:pt idx="4">
                  <c:v>13.704800000000001</c:v>
                </c:pt>
                <c:pt idx="5">
                  <c:v>12.631500000000001</c:v>
                </c:pt>
                <c:pt idx="6">
                  <c:v>12.4735</c:v>
                </c:pt>
                <c:pt idx="7">
                  <c:v>12.1677</c:v>
                </c:pt>
                <c:pt idx="8">
                  <c:v>12.1677</c:v>
                </c:pt>
                <c:pt idx="9">
                  <c:v>12.1677</c:v>
                </c:pt>
                <c:pt idx="10">
                  <c:v>12.1677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50-074E-95E5-5E143C083524}"/>
            </c:ext>
          </c:extLst>
        </c:ser>
        <c:ser>
          <c:idx val="1"/>
          <c:order val="1"/>
          <c:tx>
            <c:strRef>
              <c:f>'average1-5'!$O$3</c:f>
              <c:strCache>
                <c:ptCount val="1"/>
                <c:pt idx="0">
                  <c:v>200m手前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'average1-5'!$M$4:$M$14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'average1-5'!$O$4:$O$14</c:f>
              <c:numCache>
                <c:formatCode>General</c:formatCode>
                <c:ptCount val="11"/>
                <c:pt idx="0">
                  <c:v>14.7942</c:v>
                </c:pt>
                <c:pt idx="1">
                  <c:v>15.0669</c:v>
                </c:pt>
                <c:pt idx="2">
                  <c:v>15.360200000000001</c:v>
                </c:pt>
                <c:pt idx="3">
                  <c:v>15.3078</c:v>
                </c:pt>
                <c:pt idx="4">
                  <c:v>15.175800000000001</c:v>
                </c:pt>
                <c:pt idx="5">
                  <c:v>14.396599999999999</c:v>
                </c:pt>
                <c:pt idx="6">
                  <c:v>14.2441</c:v>
                </c:pt>
                <c:pt idx="7">
                  <c:v>14.231199999999999</c:v>
                </c:pt>
                <c:pt idx="8">
                  <c:v>14.231199999999999</c:v>
                </c:pt>
                <c:pt idx="9">
                  <c:v>14.231199999999999</c:v>
                </c:pt>
                <c:pt idx="10">
                  <c:v>14.231199999999999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50-074E-95E5-5E143C083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872079"/>
        <c:axId val="1935325999"/>
      </c:scatterChart>
      <c:valAx>
        <c:axId val="19348720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5325999"/>
        <c:crosses val="autoZero"/>
        <c:crossBetween val="midCat"/>
      </c:valAx>
      <c:valAx>
        <c:axId val="1935325999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487207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209995625546805"/>
          <c:y val="0.50983741615631384"/>
          <c:w val="0.21635542432195973"/>
          <c:h val="0.17534776902887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図：合流位置の変化に対する平均速度の変化</a:t>
            </a:r>
          </a:p>
        </c:rich>
      </c:tx>
      <c:layout>
        <c:manualLayout>
          <c:xMode val="edge"/>
          <c:yMode val="edge"/>
          <c:x val="0.10833333333333332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4358705161854767E-2"/>
          <c:y val="6.2106663750364548E-2"/>
          <c:w val="0.85926640419947498"/>
          <c:h val="0.66903506853310013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average!$N$3</c:f>
              <c:strCache>
                <c:ptCount val="1"/>
                <c:pt idx="0">
                  <c:v>100m手前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average!$M$4:$M$14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average!$N$4:$N$14</c:f>
              <c:numCache>
                <c:formatCode>General</c:formatCode>
                <c:ptCount val="11"/>
                <c:pt idx="0">
                  <c:v>13.0113</c:v>
                </c:pt>
                <c:pt idx="1">
                  <c:v>13.064299999999999</c:v>
                </c:pt>
                <c:pt idx="2">
                  <c:v>13.271100000000001</c:v>
                </c:pt>
                <c:pt idx="3">
                  <c:v>13.148999999999999</c:v>
                </c:pt>
                <c:pt idx="4">
                  <c:v>13.1317</c:v>
                </c:pt>
                <c:pt idx="5">
                  <c:v>12.233499999999999</c:v>
                </c:pt>
                <c:pt idx="6">
                  <c:v>11.877599999999999</c:v>
                </c:pt>
                <c:pt idx="7">
                  <c:v>11.7247</c:v>
                </c:pt>
                <c:pt idx="8">
                  <c:v>11.7247</c:v>
                </c:pt>
                <c:pt idx="9">
                  <c:v>11.7247</c:v>
                </c:pt>
                <c:pt idx="10">
                  <c:v>11.7247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F-4E45-B5F1-C64F19A9014B}"/>
            </c:ext>
          </c:extLst>
        </c:ser>
        <c:ser>
          <c:idx val="1"/>
          <c:order val="1"/>
          <c:tx>
            <c:strRef>
              <c:f>average!$O$3</c:f>
              <c:strCache>
                <c:ptCount val="1"/>
                <c:pt idx="0">
                  <c:v>200m手前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average!$M$4:$M$14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average!$O$4:$O$14</c:f>
              <c:numCache>
                <c:formatCode>General</c:formatCode>
                <c:ptCount val="11"/>
                <c:pt idx="0">
                  <c:v>14.0848</c:v>
                </c:pt>
                <c:pt idx="1">
                  <c:v>14.362500000000001</c:v>
                </c:pt>
                <c:pt idx="2">
                  <c:v>14.7773</c:v>
                </c:pt>
                <c:pt idx="3">
                  <c:v>14.944800000000001</c:v>
                </c:pt>
                <c:pt idx="4">
                  <c:v>14.4899</c:v>
                </c:pt>
                <c:pt idx="5">
                  <c:v>13.96</c:v>
                </c:pt>
                <c:pt idx="6">
                  <c:v>13.8619</c:v>
                </c:pt>
                <c:pt idx="7">
                  <c:v>13.852399999999999</c:v>
                </c:pt>
                <c:pt idx="8">
                  <c:v>13.8446</c:v>
                </c:pt>
                <c:pt idx="9">
                  <c:v>13.8446</c:v>
                </c:pt>
                <c:pt idx="10">
                  <c:v>13.8446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0F-4E45-B5F1-C64F19A9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204959"/>
        <c:axId val="329910271"/>
      </c:scatterChart>
      <c:valAx>
        <c:axId val="19452049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9910271"/>
        <c:crosses val="autoZero"/>
        <c:crossBetween val="midCat"/>
      </c:valAx>
      <c:valAx>
        <c:axId val="329910271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20495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970034995625548"/>
          <c:y val="0.56076334208223977"/>
          <c:w val="0.19726574803149607"/>
          <c:h val="0.17071813939924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901700</xdr:colOff>
      <xdr:row>17</xdr:row>
      <xdr:rowOff>6350</xdr:rowOff>
    </xdr:from>
    <xdr:to>
      <xdr:col>13</xdr:col>
      <xdr:colOff>711200</xdr:colOff>
      <xdr:row>27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B2C3769-62A8-0EFC-6435-F13ADBF2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16</xdr:row>
      <xdr:rowOff>234950</xdr:rowOff>
    </xdr:from>
    <xdr:to>
      <xdr:col>14</xdr:col>
      <xdr:colOff>114300</xdr:colOff>
      <xdr:row>27</xdr:row>
      <xdr:rowOff>184150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469B1A-B7C9-2AFB-B280-03660E245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CE0C-3EAF-4641-BE8A-252EAC1DA72B}">
  <dimension ref="B2:J16"/>
  <sheetViews>
    <sheetView workbookViewId="0">
      <selection activeCell="C4" sqref="C4:E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11.5436</v>
      </c>
      <c r="D4" s="1">
        <v>14.1593</v>
      </c>
      <c r="E4" s="1">
        <v>12.737</v>
      </c>
      <c r="G4" s="1">
        <v>0</v>
      </c>
      <c r="H4" s="1">
        <v>14.724299999999999</v>
      </c>
      <c r="I4" s="1">
        <v>13.223800000000001</v>
      </c>
      <c r="J4" s="1">
        <v>13.982900000000001</v>
      </c>
    </row>
    <row r="5" spans="2:10">
      <c r="B5" s="2">
        <v>0.1</v>
      </c>
      <c r="C5" s="1">
        <v>11.536099999999999</v>
      </c>
      <c r="D5" s="1">
        <v>14.0358</v>
      </c>
      <c r="E5" s="1">
        <v>12.6975</v>
      </c>
      <c r="G5" s="2">
        <v>0.1</v>
      </c>
      <c r="H5" s="1">
        <v>14.7234</v>
      </c>
      <c r="I5" s="1">
        <v>13.226900000000001</v>
      </c>
      <c r="J5" s="1">
        <v>13.984</v>
      </c>
    </row>
    <row r="6" spans="2:10">
      <c r="B6" s="1">
        <v>0.2</v>
      </c>
      <c r="C6" s="1">
        <v>11.371499999999999</v>
      </c>
      <c r="D6" s="1">
        <v>15.750299999999999</v>
      </c>
      <c r="E6" s="1">
        <v>13.308199999999999</v>
      </c>
      <c r="G6" s="1">
        <v>0.2</v>
      </c>
      <c r="H6" s="1">
        <v>13.5341</v>
      </c>
      <c r="I6" s="1">
        <v>15.176</v>
      </c>
      <c r="J6" s="1">
        <v>14.313599999999999</v>
      </c>
    </row>
    <row r="7" spans="2:10">
      <c r="B7" s="1">
        <v>0.3</v>
      </c>
      <c r="C7" s="1">
        <v>10.048400000000001</v>
      </c>
      <c r="D7" s="1">
        <v>16.531500000000001</v>
      </c>
      <c r="E7" s="1">
        <v>12.825900000000001</v>
      </c>
      <c r="G7" s="1">
        <v>0.3</v>
      </c>
      <c r="H7" s="1">
        <v>13.5779</v>
      </c>
      <c r="I7" s="1">
        <v>15.8294</v>
      </c>
      <c r="J7" s="1">
        <v>14.6198</v>
      </c>
    </row>
    <row r="8" spans="2:10">
      <c r="B8" s="1">
        <v>0.4</v>
      </c>
      <c r="C8" s="1">
        <v>10.048400000000001</v>
      </c>
      <c r="D8" s="1">
        <v>16.531500000000001</v>
      </c>
      <c r="E8" s="1">
        <v>12.825900000000001</v>
      </c>
      <c r="G8" s="1">
        <v>0.4</v>
      </c>
      <c r="H8" s="1">
        <v>12.4376</v>
      </c>
      <c r="I8" s="1">
        <v>16.476099999999999</v>
      </c>
      <c r="J8" s="1">
        <v>14.257199999999999</v>
      </c>
    </row>
    <row r="9" spans="2:10">
      <c r="B9" s="1">
        <v>0.5</v>
      </c>
      <c r="C9" s="1">
        <v>10.048400000000001</v>
      </c>
      <c r="D9" s="1">
        <v>16.531500000000001</v>
      </c>
      <c r="E9" s="1">
        <v>12.825900000000001</v>
      </c>
      <c r="G9" s="1">
        <v>0.5</v>
      </c>
      <c r="H9" s="1">
        <v>11.107900000000001</v>
      </c>
      <c r="I9" s="1">
        <v>16.581499999999998</v>
      </c>
      <c r="J9" s="1">
        <v>13.4648</v>
      </c>
    </row>
    <row r="10" spans="2:10">
      <c r="B10" s="1">
        <v>0.6</v>
      </c>
      <c r="C10" s="1">
        <v>8.8981999999999992</v>
      </c>
      <c r="D10" s="1">
        <v>16.5777</v>
      </c>
      <c r="E10" s="1">
        <v>12.0359</v>
      </c>
      <c r="G10" s="1">
        <v>0.6</v>
      </c>
      <c r="H10" s="1">
        <v>11.0855</v>
      </c>
      <c r="I10" s="1">
        <v>16.619299999999999</v>
      </c>
      <c r="J10" s="1">
        <v>13.468299999999999</v>
      </c>
    </row>
    <row r="11" spans="2:10">
      <c r="B11" s="1">
        <v>0.7</v>
      </c>
      <c r="C11" s="1">
        <v>8.8981999999999992</v>
      </c>
      <c r="D11" s="1">
        <v>16.5777</v>
      </c>
      <c r="E11" s="1">
        <v>12.0359</v>
      </c>
      <c r="G11" s="1">
        <v>0.7</v>
      </c>
      <c r="H11" s="1">
        <v>10.9337</v>
      </c>
      <c r="I11" s="1">
        <v>16.670000000000002</v>
      </c>
      <c r="J11" s="1">
        <v>13.4038</v>
      </c>
    </row>
    <row r="12" spans="2:10">
      <c r="B12" s="1">
        <v>0.8</v>
      </c>
      <c r="C12" s="1">
        <v>8.8981999999999992</v>
      </c>
      <c r="D12" s="1">
        <v>16.5777</v>
      </c>
      <c r="E12" s="1">
        <v>12.0359</v>
      </c>
      <c r="G12" s="1">
        <v>0.8</v>
      </c>
      <c r="H12" s="1">
        <v>10.9337</v>
      </c>
      <c r="I12" s="1">
        <v>16.670000000000002</v>
      </c>
      <c r="J12" s="1">
        <v>13.4038</v>
      </c>
    </row>
    <row r="13" spans="2:10">
      <c r="B13" s="1">
        <v>0.9</v>
      </c>
      <c r="C13" s="1">
        <v>8.8981999999999992</v>
      </c>
      <c r="D13" s="1">
        <v>16.5777</v>
      </c>
      <c r="E13" s="1">
        <v>12.0359</v>
      </c>
      <c r="G13" s="1">
        <v>0.9</v>
      </c>
      <c r="H13" s="1">
        <v>10.9337</v>
      </c>
      <c r="I13" s="1">
        <v>16.670000000000002</v>
      </c>
      <c r="J13" s="1">
        <v>13.4038</v>
      </c>
    </row>
    <row r="14" spans="2:10">
      <c r="B14" s="1">
        <v>1</v>
      </c>
      <c r="C14" s="1">
        <v>8.8981999999999992</v>
      </c>
      <c r="D14" s="1">
        <v>16.5777</v>
      </c>
      <c r="E14" s="1">
        <v>12.0359</v>
      </c>
      <c r="G14" s="1">
        <v>1</v>
      </c>
      <c r="H14" s="1">
        <v>10.9337</v>
      </c>
      <c r="I14" s="1">
        <v>16.670000000000002</v>
      </c>
      <c r="J14" s="1">
        <v>13.4038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FDD8-A61B-5740-A396-402815B3C6D4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14.539899999999999</v>
      </c>
      <c r="D4" s="1">
        <v>11.904999999999999</v>
      </c>
      <c r="E4" s="1">
        <v>13.1371</v>
      </c>
      <c r="G4" s="1">
        <v>0</v>
      </c>
      <c r="H4" s="1">
        <v>15.4712</v>
      </c>
      <c r="I4" s="1">
        <v>14.8276</v>
      </c>
      <c r="J4" s="1">
        <v>15.142099999999999</v>
      </c>
    </row>
    <row r="5" spans="2:10">
      <c r="B5" s="2">
        <v>0.1</v>
      </c>
      <c r="C5" s="1">
        <v>14.539899999999999</v>
      </c>
      <c r="D5" s="1">
        <v>11.904999999999999</v>
      </c>
      <c r="E5" s="1">
        <v>13.1371</v>
      </c>
      <c r="G5" s="2">
        <v>0.1</v>
      </c>
      <c r="H5" s="1">
        <v>15.3667</v>
      </c>
      <c r="I5" s="1">
        <v>15.001899999999999</v>
      </c>
      <c r="J5" s="1">
        <v>15.180199999999999</v>
      </c>
    </row>
    <row r="6" spans="2:10">
      <c r="B6" s="1">
        <v>0.2</v>
      </c>
      <c r="C6" s="1">
        <v>13.9224</v>
      </c>
      <c r="D6" s="1">
        <v>13.515700000000001</v>
      </c>
      <c r="E6" s="1">
        <v>13.7095</v>
      </c>
      <c r="G6" s="1">
        <v>0.2</v>
      </c>
      <c r="H6" s="1">
        <v>15.2775</v>
      </c>
      <c r="I6" s="1">
        <v>15.2418</v>
      </c>
      <c r="J6" s="1">
        <v>15.2592</v>
      </c>
    </row>
    <row r="7" spans="2:10">
      <c r="B7" s="1">
        <v>0.3</v>
      </c>
      <c r="C7" s="1">
        <v>11.0572</v>
      </c>
      <c r="D7" s="1">
        <v>16.619900000000001</v>
      </c>
      <c r="E7" s="1">
        <v>13.5822</v>
      </c>
      <c r="G7" s="1">
        <v>0.3</v>
      </c>
      <c r="H7" s="1">
        <v>14.280799999999999</v>
      </c>
      <c r="I7" s="1">
        <v>16.375399999999999</v>
      </c>
      <c r="J7" s="1">
        <v>15.305300000000001</v>
      </c>
    </row>
    <row r="8" spans="2:10">
      <c r="B8" s="1">
        <v>0.4</v>
      </c>
      <c r="C8" s="1">
        <v>11.0572</v>
      </c>
      <c r="D8" s="1">
        <v>16.619900000000001</v>
      </c>
      <c r="E8" s="1">
        <v>13.5822</v>
      </c>
      <c r="G8" s="1">
        <v>0.4</v>
      </c>
      <c r="H8" s="1">
        <v>13.366400000000001</v>
      </c>
      <c r="I8" s="1">
        <v>16.456499999999998</v>
      </c>
      <c r="J8" s="1">
        <v>14.8537</v>
      </c>
    </row>
    <row r="9" spans="2:10">
      <c r="B9" s="1">
        <v>0.5</v>
      </c>
      <c r="C9" s="1">
        <v>11.0572</v>
      </c>
      <c r="D9" s="1">
        <v>16.619900000000001</v>
      </c>
      <c r="E9" s="1">
        <v>13.5822</v>
      </c>
      <c r="G9" s="1">
        <v>0.5</v>
      </c>
      <c r="H9" s="1">
        <v>13.256600000000001</v>
      </c>
      <c r="I9" s="1">
        <v>16.670000000000002</v>
      </c>
      <c r="J9" s="1">
        <v>14.879200000000001</v>
      </c>
    </row>
    <row r="10" spans="2:10">
      <c r="B10" s="1">
        <v>0.6</v>
      </c>
      <c r="C10" s="1">
        <v>11.0572</v>
      </c>
      <c r="D10" s="1">
        <v>16.619900000000001</v>
      </c>
      <c r="E10" s="1">
        <v>13.5822</v>
      </c>
      <c r="G10" s="1">
        <v>0.6</v>
      </c>
      <c r="H10" s="1">
        <v>13.256600000000001</v>
      </c>
      <c r="I10" s="1">
        <v>16.670000000000002</v>
      </c>
      <c r="J10" s="1">
        <v>14.879200000000001</v>
      </c>
    </row>
    <row r="11" spans="2:10">
      <c r="B11" s="1">
        <v>0.7</v>
      </c>
      <c r="C11" s="1">
        <v>8.7639999999999993</v>
      </c>
      <c r="D11" s="1">
        <v>16.670000000000002</v>
      </c>
      <c r="E11" s="1">
        <v>12.0534</v>
      </c>
      <c r="G11" s="1">
        <v>0.7</v>
      </c>
      <c r="H11" s="1">
        <v>13.256600000000001</v>
      </c>
      <c r="I11" s="1">
        <v>16.670000000000002</v>
      </c>
      <c r="J11" s="1">
        <v>14.879200000000001</v>
      </c>
    </row>
    <row r="12" spans="2:10">
      <c r="B12" s="1">
        <v>0.8</v>
      </c>
      <c r="C12" s="1">
        <v>8.7639999999999993</v>
      </c>
      <c r="D12" s="1">
        <v>16.670000000000002</v>
      </c>
      <c r="E12" s="1">
        <v>12.0534</v>
      </c>
      <c r="G12" s="1">
        <v>0.8</v>
      </c>
      <c r="H12" s="1">
        <v>13.256600000000001</v>
      </c>
      <c r="I12" s="1">
        <v>16.670000000000002</v>
      </c>
      <c r="J12" s="1">
        <v>14.879200000000001</v>
      </c>
    </row>
    <row r="13" spans="2:10">
      <c r="B13" s="1">
        <v>0.9</v>
      </c>
      <c r="C13" s="1">
        <v>8.7639999999999993</v>
      </c>
      <c r="D13" s="1">
        <v>16.670000000000002</v>
      </c>
      <c r="E13" s="1">
        <v>12.0534</v>
      </c>
      <c r="G13" s="1">
        <v>0.9</v>
      </c>
      <c r="H13" s="1">
        <v>13.256600000000001</v>
      </c>
      <c r="I13" s="1">
        <v>16.670000000000002</v>
      </c>
      <c r="J13" s="1">
        <v>14.879200000000001</v>
      </c>
    </row>
    <row r="14" spans="2:10">
      <c r="B14" s="1">
        <v>1</v>
      </c>
      <c r="C14" s="1">
        <v>8.7639999999999993</v>
      </c>
      <c r="D14" s="1">
        <v>16.670000000000002</v>
      </c>
      <c r="E14" s="1">
        <v>12.0534</v>
      </c>
      <c r="G14" s="1">
        <v>1</v>
      </c>
      <c r="H14" s="1">
        <v>13.256600000000001</v>
      </c>
      <c r="I14" s="1">
        <v>16.670000000000002</v>
      </c>
      <c r="J14" s="1">
        <v>14.879200000000001</v>
      </c>
    </row>
    <row r="16" spans="2:10">
      <c r="D16" t="s">
        <v>10</v>
      </c>
      <c r="I16" t="s">
        <v>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BA6F-5A96-2541-B541-2F6F5F1B5090}">
  <dimension ref="B2:J16"/>
  <sheetViews>
    <sheetView workbookViewId="0">
      <selection activeCell="C4" sqref="C4:E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14.581799999999999</v>
      </c>
      <c r="D4" s="1">
        <v>15.4292</v>
      </c>
      <c r="E4" s="1">
        <v>15.0124</v>
      </c>
      <c r="G4" s="1">
        <v>0</v>
      </c>
      <c r="H4" s="1">
        <v>16.215800000000002</v>
      </c>
      <c r="I4" s="1">
        <v>16.145600000000002</v>
      </c>
      <c r="J4" s="1">
        <v>16.179099999999998</v>
      </c>
    </row>
    <row r="5" spans="2:10">
      <c r="B5" s="2">
        <v>0.1</v>
      </c>
      <c r="C5" s="1">
        <v>14.581799999999999</v>
      </c>
      <c r="D5" s="1">
        <v>15.4292</v>
      </c>
      <c r="E5" s="1">
        <v>15.0124</v>
      </c>
      <c r="G5" s="2">
        <v>0.1</v>
      </c>
      <c r="H5" s="1">
        <v>16.215800000000002</v>
      </c>
      <c r="I5" s="1">
        <v>16.145600000000002</v>
      </c>
      <c r="J5" s="1">
        <v>16.179099999999998</v>
      </c>
    </row>
    <row r="6" spans="2:10">
      <c r="B6" s="1">
        <v>0.2</v>
      </c>
      <c r="C6" s="1">
        <v>14.577500000000001</v>
      </c>
      <c r="D6" s="1">
        <v>15.4383</v>
      </c>
      <c r="E6" s="1">
        <v>15.014900000000001</v>
      </c>
      <c r="G6" s="1">
        <v>0.2</v>
      </c>
      <c r="H6" s="1">
        <v>16.215800000000002</v>
      </c>
      <c r="I6" s="1">
        <v>16.145600000000002</v>
      </c>
      <c r="J6" s="1">
        <v>16.179099999999998</v>
      </c>
    </row>
    <row r="7" spans="2:10">
      <c r="B7" s="1">
        <v>0.3</v>
      </c>
      <c r="C7" s="1">
        <v>14.577400000000001</v>
      </c>
      <c r="D7" s="1">
        <v>15.4382</v>
      </c>
      <c r="E7" s="1">
        <v>15.0153</v>
      </c>
      <c r="G7" s="1">
        <v>0.3</v>
      </c>
      <c r="H7" s="1">
        <v>16.215800000000002</v>
      </c>
      <c r="I7" s="1">
        <v>16.145600000000002</v>
      </c>
      <c r="J7" s="1">
        <v>16.179099999999998</v>
      </c>
    </row>
    <row r="8" spans="2:10">
      <c r="B8" s="1">
        <v>0.4</v>
      </c>
      <c r="C8" s="1">
        <v>14.3765</v>
      </c>
      <c r="D8" s="1">
        <v>15.8698</v>
      </c>
      <c r="E8" s="1">
        <v>15.135300000000001</v>
      </c>
      <c r="G8" s="1">
        <v>0.4</v>
      </c>
      <c r="H8" s="1">
        <v>16.183399999999999</v>
      </c>
      <c r="I8" s="1">
        <v>16.2225</v>
      </c>
      <c r="J8" s="1">
        <v>16.203800000000001</v>
      </c>
    </row>
    <row r="9" spans="2:10">
      <c r="B9" s="1">
        <v>0.5</v>
      </c>
      <c r="C9" s="1">
        <v>9.8138000000000005</v>
      </c>
      <c r="D9" s="1">
        <v>16.647500000000001</v>
      </c>
      <c r="E9" s="1">
        <v>12.8902</v>
      </c>
      <c r="G9" s="2">
        <v>0.5</v>
      </c>
      <c r="H9" s="1">
        <v>13.0121</v>
      </c>
      <c r="I9" s="1">
        <v>16.670000000000002</v>
      </c>
      <c r="J9" s="1">
        <v>14.7402</v>
      </c>
    </row>
    <row r="10" spans="2:10">
      <c r="B10" s="1">
        <v>0.6</v>
      </c>
      <c r="C10" s="1">
        <v>9.8138000000000005</v>
      </c>
      <c r="D10" s="1">
        <v>16.647500000000001</v>
      </c>
      <c r="E10" s="1">
        <v>12.8902</v>
      </c>
      <c r="G10" s="1">
        <v>0.6</v>
      </c>
      <c r="H10" s="1">
        <v>13.0121</v>
      </c>
      <c r="I10" s="1">
        <v>16.670000000000002</v>
      </c>
      <c r="J10" s="1">
        <v>14.7402</v>
      </c>
    </row>
    <row r="11" spans="2:10">
      <c r="B11" s="2">
        <v>0.7</v>
      </c>
      <c r="C11" s="1">
        <v>9.8138000000000005</v>
      </c>
      <c r="D11" s="1">
        <v>16.647500000000001</v>
      </c>
      <c r="E11" s="1">
        <v>12.8902</v>
      </c>
      <c r="G11" s="1">
        <v>0.7</v>
      </c>
      <c r="H11" s="1">
        <v>13.0121</v>
      </c>
      <c r="I11" s="1">
        <v>16.670000000000002</v>
      </c>
      <c r="J11" s="1">
        <v>14.7402</v>
      </c>
    </row>
    <row r="12" spans="2:10">
      <c r="B12" s="2">
        <v>0.8</v>
      </c>
      <c r="C12" s="1">
        <v>9.8138000000000005</v>
      </c>
      <c r="D12" s="1">
        <v>16.647500000000001</v>
      </c>
      <c r="E12" s="1">
        <v>12.8902</v>
      </c>
      <c r="G12" s="1">
        <v>0.8</v>
      </c>
      <c r="H12" s="1">
        <v>13.0121</v>
      </c>
      <c r="I12" s="1">
        <v>16.670000000000002</v>
      </c>
      <c r="J12" s="1">
        <v>14.7402</v>
      </c>
    </row>
    <row r="13" spans="2:10">
      <c r="B13" s="1">
        <v>0.9</v>
      </c>
      <c r="C13" s="1">
        <v>9.8138000000000005</v>
      </c>
      <c r="D13" s="1">
        <v>16.647500000000001</v>
      </c>
      <c r="E13" s="1">
        <v>12.8902</v>
      </c>
      <c r="G13" s="1">
        <v>0.9</v>
      </c>
      <c r="H13" s="1">
        <v>13.0121</v>
      </c>
      <c r="I13" s="1">
        <v>16.670000000000002</v>
      </c>
      <c r="J13" s="1">
        <v>14.7402</v>
      </c>
    </row>
    <row r="14" spans="2:10">
      <c r="B14" s="1">
        <v>1</v>
      </c>
      <c r="C14" s="1">
        <v>9.8138000000000005</v>
      </c>
      <c r="D14" s="1">
        <v>16.647500000000001</v>
      </c>
      <c r="E14" s="1">
        <v>12.8902</v>
      </c>
      <c r="G14" s="1">
        <v>1</v>
      </c>
      <c r="H14" s="1">
        <v>13.0121</v>
      </c>
      <c r="I14" s="1">
        <v>16.670000000000002</v>
      </c>
      <c r="J14" s="1">
        <v>14.7402</v>
      </c>
    </row>
    <row r="16" spans="2:10">
      <c r="D16" t="s">
        <v>10</v>
      </c>
      <c r="I16" t="s">
        <v>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8A63-71A4-AC49-9B0C-8DEFEE0C5E83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12.251799999999999</v>
      </c>
      <c r="D4" s="1">
        <v>14.623699999999999</v>
      </c>
      <c r="E4" s="1">
        <v>13.3329</v>
      </c>
      <c r="G4" s="1">
        <v>0</v>
      </c>
      <c r="H4" s="1">
        <v>15.3154</v>
      </c>
      <c r="I4" s="1">
        <v>15.667400000000001</v>
      </c>
      <c r="J4" s="1">
        <v>15.4833</v>
      </c>
    </row>
    <row r="5" spans="2:10">
      <c r="B5" s="2">
        <v>0.1</v>
      </c>
      <c r="C5" s="1">
        <v>12.251799999999999</v>
      </c>
      <c r="D5" s="1">
        <v>14.623699999999999</v>
      </c>
      <c r="E5" s="1">
        <v>13.3329</v>
      </c>
      <c r="G5" s="2">
        <v>0.1</v>
      </c>
      <c r="H5" s="1">
        <v>15.3154</v>
      </c>
      <c r="I5" s="1">
        <v>15.667400000000001</v>
      </c>
      <c r="J5" s="1">
        <v>15.4833</v>
      </c>
    </row>
    <row r="6" spans="2:10">
      <c r="B6" s="1">
        <v>0.2</v>
      </c>
      <c r="C6" s="1">
        <v>11.712400000000001</v>
      </c>
      <c r="D6" s="1">
        <v>16.216699999999999</v>
      </c>
      <c r="E6" s="1">
        <v>13.707100000000001</v>
      </c>
      <c r="G6" s="1">
        <v>0.2</v>
      </c>
      <c r="H6" s="1">
        <v>15.3154</v>
      </c>
      <c r="I6" s="1">
        <v>15.667400000000001</v>
      </c>
      <c r="J6" s="1">
        <v>15.4833</v>
      </c>
    </row>
    <row r="7" spans="2:10">
      <c r="B7" s="1">
        <v>0.3</v>
      </c>
      <c r="C7" s="1">
        <v>12.1723</v>
      </c>
      <c r="D7" s="1">
        <v>16.008700000000001</v>
      </c>
      <c r="E7" s="1">
        <v>13.887499999999999</v>
      </c>
      <c r="G7" s="1">
        <v>0.3</v>
      </c>
      <c r="H7" s="1">
        <v>14.5184</v>
      </c>
      <c r="I7" s="1">
        <v>15.634499999999999</v>
      </c>
      <c r="J7" s="1">
        <v>15.041499999999999</v>
      </c>
    </row>
    <row r="8" spans="2:10">
      <c r="B8" s="1">
        <v>0.4</v>
      </c>
      <c r="C8" s="1">
        <v>11.611000000000001</v>
      </c>
      <c r="D8" s="1">
        <v>16.136399999999998</v>
      </c>
      <c r="E8" s="1">
        <v>13.6065</v>
      </c>
      <c r="G8" s="1">
        <v>0.4</v>
      </c>
      <c r="H8" s="1">
        <v>14.3003</v>
      </c>
      <c r="I8" s="1">
        <v>16.415600000000001</v>
      </c>
      <c r="J8" s="1">
        <v>15.2714</v>
      </c>
    </row>
    <row r="9" spans="2:10">
      <c r="B9" s="1">
        <v>0.5</v>
      </c>
      <c r="C9" s="1">
        <v>9.9876000000000005</v>
      </c>
      <c r="D9" s="1">
        <v>16.626300000000001</v>
      </c>
      <c r="E9" s="1">
        <v>12.757400000000001</v>
      </c>
      <c r="G9" s="1">
        <v>0.5</v>
      </c>
      <c r="H9" s="1">
        <v>12.7439</v>
      </c>
      <c r="I9" s="1">
        <v>16.510899999999999</v>
      </c>
      <c r="J9" s="1">
        <v>14.3886</v>
      </c>
    </row>
    <row r="10" spans="2:10">
      <c r="B10" s="1">
        <v>0.6</v>
      </c>
      <c r="C10" s="1">
        <v>9.9876000000000005</v>
      </c>
      <c r="D10" s="1">
        <v>16.626300000000001</v>
      </c>
      <c r="E10" s="1">
        <v>12.757400000000001</v>
      </c>
      <c r="G10" s="1">
        <v>0.6</v>
      </c>
      <c r="H10" s="1">
        <v>12.440899999999999</v>
      </c>
      <c r="I10" s="1">
        <v>16.670000000000002</v>
      </c>
      <c r="J10" s="1">
        <v>14.2773</v>
      </c>
    </row>
    <row r="11" spans="2:10">
      <c r="B11" s="1">
        <v>0.7</v>
      </c>
      <c r="C11" s="1">
        <v>9.9876000000000005</v>
      </c>
      <c r="D11" s="1">
        <v>16.626300000000001</v>
      </c>
      <c r="E11" s="1">
        <v>12.757400000000001</v>
      </c>
      <c r="G11" s="1">
        <v>0.7</v>
      </c>
      <c r="H11" s="1">
        <v>12.440899999999999</v>
      </c>
      <c r="I11" s="1">
        <v>16.670000000000002</v>
      </c>
      <c r="J11" s="1">
        <v>14.2773</v>
      </c>
    </row>
    <row r="12" spans="2:10">
      <c r="B12" s="1">
        <v>0.8</v>
      </c>
      <c r="C12" s="1">
        <v>9.9876000000000005</v>
      </c>
      <c r="D12" s="1">
        <v>16.626300000000001</v>
      </c>
      <c r="E12" s="1">
        <v>12.757400000000001</v>
      </c>
      <c r="G12" s="1">
        <v>0.8</v>
      </c>
      <c r="H12" s="1">
        <v>12.440899999999999</v>
      </c>
      <c r="I12" s="1">
        <v>16.670000000000002</v>
      </c>
      <c r="J12" s="1">
        <v>14.2773</v>
      </c>
    </row>
    <row r="13" spans="2:10">
      <c r="B13" s="1">
        <v>0.9</v>
      </c>
      <c r="C13" s="1">
        <v>9.9876000000000005</v>
      </c>
      <c r="D13" s="1">
        <v>16.626300000000001</v>
      </c>
      <c r="E13" s="1">
        <v>12.757400000000001</v>
      </c>
      <c r="G13" s="1">
        <v>0.9</v>
      </c>
      <c r="H13" s="1">
        <v>12.440899999999999</v>
      </c>
      <c r="I13" s="1">
        <v>16.670000000000002</v>
      </c>
      <c r="J13" s="1">
        <v>14.2773</v>
      </c>
    </row>
    <row r="14" spans="2:10">
      <c r="B14" s="1">
        <v>1</v>
      </c>
      <c r="C14" s="1">
        <v>9.9876000000000005</v>
      </c>
      <c r="D14" s="1">
        <v>16.626300000000001</v>
      </c>
      <c r="E14" s="1">
        <v>12.757400000000001</v>
      </c>
      <c r="G14" s="2">
        <v>1</v>
      </c>
      <c r="H14" s="1">
        <v>12.440899999999999</v>
      </c>
      <c r="I14" s="1">
        <v>16.670000000000002</v>
      </c>
      <c r="J14" s="1">
        <v>14.2773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7FEB-A777-304A-8EBF-87B8A6598889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12.233599999999999</v>
      </c>
      <c r="D4" s="1">
        <v>13.800700000000001</v>
      </c>
      <c r="E4" s="1">
        <v>12.936999999999999</v>
      </c>
      <c r="G4" s="1">
        <v>0</v>
      </c>
      <c r="H4" s="1">
        <v>15.856199999999999</v>
      </c>
      <c r="I4" s="1">
        <v>10.365500000000001</v>
      </c>
      <c r="J4" s="1">
        <v>13.1837</v>
      </c>
    </row>
    <row r="5" spans="2:10">
      <c r="B5" s="2">
        <v>0.1</v>
      </c>
      <c r="C5" s="1">
        <v>11.9194</v>
      </c>
      <c r="D5" s="1">
        <v>15.059200000000001</v>
      </c>
      <c r="E5" s="1">
        <v>13.326599999999999</v>
      </c>
      <c r="G5" s="2">
        <v>0.1</v>
      </c>
      <c r="H5" s="1">
        <v>15.1144</v>
      </c>
      <c r="I5" s="1">
        <v>13.818199999999999</v>
      </c>
      <c r="J5" s="1">
        <v>14.507999999999999</v>
      </c>
    </row>
    <row r="6" spans="2:10">
      <c r="B6" s="1">
        <v>0.2</v>
      </c>
      <c r="C6" s="1">
        <v>11.2707</v>
      </c>
      <c r="D6" s="1">
        <v>15.190300000000001</v>
      </c>
      <c r="E6" s="1">
        <v>12.992699999999999</v>
      </c>
      <c r="G6" s="1">
        <v>0.2</v>
      </c>
      <c r="H6" s="1">
        <v>15.4971</v>
      </c>
      <c r="I6" s="1">
        <v>15.646000000000001</v>
      </c>
      <c r="J6" s="1">
        <v>15.565899999999999</v>
      </c>
    </row>
    <row r="7" spans="2:10">
      <c r="B7" s="1">
        <v>0.3</v>
      </c>
      <c r="C7" s="1">
        <v>10.466900000000001</v>
      </c>
      <c r="D7" s="1">
        <v>15.932600000000001</v>
      </c>
      <c r="E7" s="1">
        <v>12.789</v>
      </c>
      <c r="G7" s="1">
        <v>0.3</v>
      </c>
      <c r="H7" s="1">
        <v>14.9306</v>
      </c>
      <c r="I7" s="1">
        <v>15.9321</v>
      </c>
      <c r="J7" s="1">
        <v>15.3933</v>
      </c>
    </row>
    <row r="8" spans="2:10">
      <c r="B8" s="1">
        <v>0.4</v>
      </c>
      <c r="C8" s="1">
        <v>11.1881</v>
      </c>
      <c r="D8" s="1">
        <v>16.322700000000001</v>
      </c>
      <c r="E8" s="1">
        <v>13.374000000000001</v>
      </c>
      <c r="G8" s="1">
        <v>0.4</v>
      </c>
      <c r="H8" s="1">
        <v>14.3645</v>
      </c>
      <c r="I8" s="1">
        <v>16.410900000000002</v>
      </c>
      <c r="J8" s="1">
        <v>15.292999999999999</v>
      </c>
    </row>
    <row r="9" spans="2:10">
      <c r="B9" s="1">
        <v>0.5</v>
      </c>
      <c r="C9" s="1">
        <v>7.7134999999999998</v>
      </c>
      <c r="D9" s="1">
        <v>16.670000000000002</v>
      </c>
      <c r="E9" s="1">
        <v>11.101699999999999</v>
      </c>
      <c r="G9" s="1">
        <v>0.5</v>
      </c>
      <c r="H9" s="1">
        <v>12.8498</v>
      </c>
      <c r="I9" s="1">
        <v>16.670000000000002</v>
      </c>
      <c r="J9" s="1">
        <v>14.510400000000001</v>
      </c>
    </row>
    <row r="10" spans="2:10">
      <c r="B10" s="1">
        <v>0.6</v>
      </c>
      <c r="C10" s="1">
        <v>7.7134999999999998</v>
      </c>
      <c r="D10" s="1">
        <v>16.670000000000002</v>
      </c>
      <c r="E10" s="1">
        <v>11.101699999999999</v>
      </c>
      <c r="G10" s="1">
        <v>0.6</v>
      </c>
      <c r="H10" s="1">
        <v>11.787599999999999</v>
      </c>
      <c r="I10" s="1">
        <v>16.670000000000002</v>
      </c>
      <c r="J10" s="1">
        <v>13.855600000000001</v>
      </c>
    </row>
    <row r="11" spans="2:10">
      <c r="B11" s="1">
        <v>0.7</v>
      </c>
      <c r="C11" s="1">
        <v>7.7134999999999998</v>
      </c>
      <c r="D11" s="1">
        <v>16.670000000000002</v>
      </c>
      <c r="E11" s="1">
        <v>11.101699999999999</v>
      </c>
      <c r="G11" s="1">
        <v>0.7</v>
      </c>
      <c r="H11" s="1">
        <v>11.787599999999999</v>
      </c>
      <c r="I11" s="1">
        <v>16.670000000000002</v>
      </c>
      <c r="J11" s="1">
        <v>13.855600000000001</v>
      </c>
    </row>
    <row r="12" spans="2:10">
      <c r="B12" s="1">
        <v>0.8</v>
      </c>
      <c r="C12" s="1">
        <v>7.7134999999999998</v>
      </c>
      <c r="D12" s="1">
        <v>16.670000000000002</v>
      </c>
      <c r="E12" s="1">
        <v>11.101699999999999</v>
      </c>
      <c r="G12" s="1">
        <v>0.8</v>
      </c>
      <c r="H12" s="1">
        <v>11.787599999999999</v>
      </c>
      <c r="I12" s="1">
        <v>16.670000000000002</v>
      </c>
      <c r="J12" s="1">
        <v>13.855600000000001</v>
      </c>
    </row>
    <row r="13" spans="2:10">
      <c r="B13" s="1">
        <v>0.9</v>
      </c>
      <c r="C13" s="1">
        <v>7.7134999999999998</v>
      </c>
      <c r="D13" s="1">
        <v>16.670000000000002</v>
      </c>
      <c r="E13" s="1">
        <v>11.101699999999999</v>
      </c>
      <c r="G13" s="1">
        <v>0.9</v>
      </c>
      <c r="H13" s="1">
        <v>11.787599999999999</v>
      </c>
      <c r="I13" s="1">
        <v>16.670000000000002</v>
      </c>
      <c r="J13" s="1">
        <v>13.855600000000001</v>
      </c>
    </row>
    <row r="14" spans="2:10">
      <c r="B14" s="1">
        <v>1</v>
      </c>
      <c r="C14" s="1">
        <v>7.7134999999999998</v>
      </c>
      <c r="D14" s="1">
        <v>16.670000000000002</v>
      </c>
      <c r="E14" s="1">
        <v>11.101699999999999</v>
      </c>
      <c r="G14" s="1">
        <v>1</v>
      </c>
      <c r="H14" s="1">
        <v>11.787599999999999</v>
      </c>
      <c r="I14" s="1">
        <v>16.670000000000002</v>
      </c>
      <c r="J14" s="1">
        <v>13.855600000000001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4E9A-15F3-084E-B6AA-3C5AE7A2D8D2}">
  <dimension ref="B2:O14"/>
  <sheetViews>
    <sheetView tabSelected="1" workbookViewId="0">
      <selection activeCell="I27" sqref="I27"/>
    </sheetView>
  </sheetViews>
  <sheetFormatPr baseColWidth="10" defaultRowHeight="20"/>
  <sheetData>
    <row r="2" spans="2:15">
      <c r="C2" t="s">
        <v>5</v>
      </c>
      <c r="H2" t="s">
        <v>7</v>
      </c>
    </row>
    <row r="3" spans="2:15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M3" s="1" t="s">
        <v>0</v>
      </c>
      <c r="N3" s="1" t="s">
        <v>11</v>
      </c>
      <c r="O3" s="1" t="s">
        <v>12</v>
      </c>
    </row>
    <row r="4" spans="2:15">
      <c r="B4" s="1">
        <v>0</v>
      </c>
      <c r="C4" s="1">
        <f>ROUND(AVERAGE(seed1!C4,seed2!C4,seed3!C4,seed4!C4,seed5!C4),4)</f>
        <v>13.030099999999999</v>
      </c>
      <c r="D4" s="1">
        <f>ROUND(AVERAGE(seed1!D4,seed2!D4,seed3!D4,seed4!D4,seed5!D4),4)</f>
        <v>13.983599999999999</v>
      </c>
      <c r="E4" s="1">
        <f>ROUND(AVERAGE(seed1!E4,seed2!E4,seed3!E4,seed4!E4,seed5!E4),4)</f>
        <v>13.4313</v>
      </c>
      <c r="G4" s="1">
        <v>0</v>
      </c>
      <c r="H4" s="1">
        <f>ROUND(AVERAGE(seed1!H4,seed2!H4,seed3!H4,seed4!H4,seed5!H4),4)</f>
        <v>15.5166</v>
      </c>
      <c r="I4" s="1">
        <f>ROUND(AVERAGE(seed1!I4,seed2!I4,seed3!I4,seed4!I4,seed5!I4),4)</f>
        <v>14.045999999999999</v>
      </c>
      <c r="J4" s="1">
        <f>ROUND(AVERAGE(seed1!J4,seed2!J4,seed3!J4,seed4!J4,seed5!J4),4)</f>
        <v>14.7942</v>
      </c>
      <c r="M4">
        <v>0</v>
      </c>
      <c r="N4">
        <f>E4</f>
        <v>13.4313</v>
      </c>
      <c r="O4">
        <f>J4</f>
        <v>14.7942</v>
      </c>
    </row>
    <row r="5" spans="2:15">
      <c r="B5" s="2">
        <v>0.1</v>
      </c>
      <c r="C5" s="1">
        <f>ROUND(AVERAGE(seed1!C5,seed2!C5,seed3!C5,seed4!C5,seed5!C5),4)</f>
        <v>12.9658</v>
      </c>
      <c r="D5" s="1">
        <f>ROUND(AVERAGE(seed1!D5,seed2!D5,seed3!D5,seed4!D5,seed5!D5),4)</f>
        <v>14.210599999999999</v>
      </c>
      <c r="E5" s="1">
        <f>ROUND(AVERAGE(seed1!E5,seed2!E5,seed3!E5,seed4!E5,seed5!E5),4)</f>
        <v>13.501300000000001</v>
      </c>
      <c r="G5" s="2">
        <v>0.1</v>
      </c>
      <c r="H5" s="1">
        <f>ROUND(AVERAGE(seed1!H5,seed2!H5,seed3!H5,seed4!H5,seed5!H5),4)</f>
        <v>15.347099999999999</v>
      </c>
      <c r="I5" s="1">
        <f>ROUND(AVERAGE(seed1!I5,seed2!I5,seed3!I5,seed4!I5,seed5!I5),4)</f>
        <v>14.772</v>
      </c>
      <c r="J5" s="1">
        <f>ROUND(AVERAGE(seed1!J5,seed2!J5,seed3!J5,seed4!J5,seed5!J5),4)</f>
        <v>15.0669</v>
      </c>
      <c r="M5">
        <v>0.1</v>
      </c>
      <c r="N5">
        <f t="shared" ref="N5:N14" si="0">E5</f>
        <v>13.501300000000001</v>
      </c>
      <c r="O5">
        <f t="shared" ref="O5:O14" si="1">J5</f>
        <v>15.0669</v>
      </c>
    </row>
    <row r="6" spans="2:15">
      <c r="B6" s="1">
        <v>0.2</v>
      </c>
      <c r="C6" s="1">
        <f>ROUND(AVERAGE(seed1!C6,seed2!C6,seed3!C6,seed4!C6,seed5!C6),4)</f>
        <v>12.5709</v>
      </c>
      <c r="D6" s="1">
        <f>ROUND(AVERAGE(seed1!D6,seed2!D6,seed3!D6,seed4!D6,seed5!D6),4)</f>
        <v>15.222300000000001</v>
      </c>
      <c r="E6" s="1">
        <f>ROUND(AVERAGE(seed1!E6,seed2!E6,seed3!E6,seed4!E6,seed5!E6),4)</f>
        <v>13.746499999999999</v>
      </c>
      <c r="G6" s="1">
        <v>0.2</v>
      </c>
      <c r="H6" s="1">
        <f>ROUND(AVERAGE(seed1!H6,seed2!H6,seed3!H6,seed4!H6,seed5!H6),4)</f>
        <v>15.167999999999999</v>
      </c>
      <c r="I6" s="1">
        <f>ROUND(AVERAGE(seed1!I6,seed2!I6,seed3!I6,seed4!I6,seed5!I6),4)</f>
        <v>15.5754</v>
      </c>
      <c r="J6" s="1">
        <f>ROUND(AVERAGE(seed1!J6,seed2!J6,seed3!J6,seed4!J6,seed5!J6),4)</f>
        <v>15.360200000000001</v>
      </c>
      <c r="M6">
        <v>0.2</v>
      </c>
      <c r="N6">
        <f t="shared" si="0"/>
        <v>13.746499999999999</v>
      </c>
      <c r="O6">
        <f t="shared" si="1"/>
        <v>15.360200000000001</v>
      </c>
    </row>
    <row r="7" spans="2:15">
      <c r="B7" s="1">
        <v>0.3</v>
      </c>
      <c r="C7" s="1">
        <f>ROUND(AVERAGE(seed1!C7,seed2!C7,seed3!C7,seed4!C7,seed5!C7),4)</f>
        <v>11.664400000000001</v>
      </c>
      <c r="D7" s="1">
        <f>ROUND(AVERAGE(seed1!D7,seed2!D7,seed3!D7,seed4!D7,seed5!D7),4)</f>
        <v>16.106200000000001</v>
      </c>
      <c r="E7" s="1">
        <f>ROUND(AVERAGE(seed1!E7,seed2!E7,seed3!E7,seed4!E7,seed5!E7),4)</f>
        <v>13.62</v>
      </c>
      <c r="G7" s="1">
        <v>0.3</v>
      </c>
      <c r="H7" s="1">
        <f>ROUND(AVERAGE(seed1!H7,seed2!H7,seed3!H7,seed4!H7,seed5!H7),4)</f>
        <v>14.704700000000001</v>
      </c>
      <c r="I7" s="1">
        <f>ROUND(AVERAGE(seed1!I7,seed2!I7,seed3!I7,seed4!I7,seed5!I7),4)</f>
        <v>15.9834</v>
      </c>
      <c r="J7" s="1">
        <f>ROUND(AVERAGE(seed1!J7,seed2!J7,seed3!J7,seed4!J7,seed5!J7),4)</f>
        <v>15.3078</v>
      </c>
      <c r="M7">
        <v>0.3</v>
      </c>
      <c r="N7">
        <f t="shared" si="0"/>
        <v>13.62</v>
      </c>
      <c r="O7">
        <f t="shared" si="1"/>
        <v>15.3078</v>
      </c>
    </row>
    <row r="8" spans="2:15">
      <c r="B8" s="1">
        <v>0.4</v>
      </c>
      <c r="C8" s="1">
        <f>ROUND(AVERAGE(seed1!C8,seed2!C8,seed3!C8,seed4!C8,seed5!C8),4)</f>
        <v>11.6562</v>
      </c>
      <c r="D8" s="1">
        <f>ROUND(AVERAGE(seed1!D8,seed2!D8,seed3!D8,seed4!D8,seed5!D8),4)</f>
        <v>16.296099999999999</v>
      </c>
      <c r="E8" s="1">
        <f>ROUND(AVERAGE(seed1!E8,seed2!E8,seed3!E8,seed4!E8,seed5!E8),4)</f>
        <v>13.704800000000001</v>
      </c>
      <c r="G8" s="1">
        <v>0.4</v>
      </c>
      <c r="H8" s="1">
        <f>ROUND(AVERAGE(seed1!H8,seed2!H8,seed3!H8,seed4!H8,seed5!H8),4)</f>
        <v>14.1304</v>
      </c>
      <c r="I8" s="1">
        <f>ROUND(AVERAGE(seed1!I8,seed2!I8,seed3!I8,seed4!I8,seed5!I8),4)</f>
        <v>16.3963</v>
      </c>
      <c r="J8" s="1">
        <f>ROUND(AVERAGE(seed1!J8,seed2!J8,seed3!J8,seed4!J8,seed5!J8),4)</f>
        <v>15.175800000000001</v>
      </c>
      <c r="M8">
        <v>0.4</v>
      </c>
      <c r="N8">
        <f t="shared" si="0"/>
        <v>13.704800000000001</v>
      </c>
      <c r="O8">
        <f t="shared" si="1"/>
        <v>15.175800000000001</v>
      </c>
    </row>
    <row r="9" spans="2:15">
      <c r="B9" s="1">
        <v>0.5</v>
      </c>
      <c r="C9" s="1">
        <f>ROUND(AVERAGE(seed1!C9,seed2!C9,seed3!C9,seed4!C9,seed5!C9),4)</f>
        <v>9.7241</v>
      </c>
      <c r="D9" s="1">
        <f>ROUND(AVERAGE(seed1!D9,seed2!D9,seed3!D9,seed4!D9,seed5!D9),4)</f>
        <v>16.619</v>
      </c>
      <c r="E9" s="1">
        <f>ROUND(AVERAGE(seed1!E9,seed2!E9,seed3!E9,seed4!E9,seed5!E9),4)</f>
        <v>12.631500000000001</v>
      </c>
      <c r="G9" s="1">
        <v>0.5</v>
      </c>
      <c r="H9" s="1">
        <f>ROUND(AVERAGE(seed1!H9,seed2!H9,seed3!H9,seed4!H9,seed5!H9),4)</f>
        <v>12.594099999999999</v>
      </c>
      <c r="I9" s="1">
        <f>ROUND(AVERAGE(seed1!I9,seed2!I9,seed3!I9,seed4!I9,seed5!I9),4)</f>
        <v>16.6205</v>
      </c>
      <c r="J9" s="1">
        <f>ROUND(AVERAGE(seed1!J9,seed2!J9,seed3!J9,seed4!J9,seed5!J9),4)</f>
        <v>14.396599999999999</v>
      </c>
      <c r="M9">
        <v>0.5</v>
      </c>
      <c r="N9">
        <f t="shared" si="0"/>
        <v>12.631500000000001</v>
      </c>
      <c r="O9">
        <f t="shared" si="1"/>
        <v>14.396599999999999</v>
      </c>
    </row>
    <row r="10" spans="2:15">
      <c r="B10" s="1">
        <v>0.6</v>
      </c>
      <c r="C10" s="1">
        <f>ROUND(AVERAGE(seed1!C10,seed2!C10,seed3!C10,seed4!C10,seed5!C10),4)</f>
        <v>9.4940999999999995</v>
      </c>
      <c r="D10" s="1">
        <f>ROUND(AVERAGE(seed1!D10,seed2!D10,seed3!D10,seed4!D10,seed5!D10),4)</f>
        <v>16.628299999999999</v>
      </c>
      <c r="E10" s="1">
        <f>ROUND(AVERAGE(seed1!E10,seed2!E10,seed3!E10,seed4!E10,seed5!E10),4)</f>
        <v>12.4735</v>
      </c>
      <c r="G10" s="1">
        <v>0.6</v>
      </c>
      <c r="H10" s="1">
        <f>ROUND(AVERAGE(seed1!H10,seed2!H10,seed3!H10,seed4!H10,seed5!H10),4)</f>
        <v>12.3165</v>
      </c>
      <c r="I10" s="1">
        <f>ROUND(AVERAGE(seed1!I10,seed2!I10,seed3!I10,seed4!I10,seed5!I10),4)</f>
        <v>16.6599</v>
      </c>
      <c r="J10" s="1">
        <f>ROUND(AVERAGE(seed1!J10,seed2!J10,seed3!J10,seed4!J10,seed5!J10),4)</f>
        <v>14.2441</v>
      </c>
      <c r="M10">
        <v>0.6</v>
      </c>
      <c r="N10">
        <f t="shared" si="0"/>
        <v>12.4735</v>
      </c>
      <c r="O10">
        <f t="shared" si="1"/>
        <v>14.2441</v>
      </c>
    </row>
    <row r="11" spans="2:15">
      <c r="B11" s="1">
        <v>0.7</v>
      </c>
      <c r="C11" s="1">
        <f>ROUND(AVERAGE(seed1!C11,seed2!C11,seed3!C11,seed4!C11,seed5!C11),4)</f>
        <v>9.0353999999999992</v>
      </c>
      <c r="D11" s="1">
        <f>ROUND(AVERAGE(seed1!D11,seed2!D11,seed3!D11,seed4!D11,seed5!D11),4)</f>
        <v>16.638300000000001</v>
      </c>
      <c r="E11" s="1">
        <f>ROUND(AVERAGE(seed1!E11,seed2!E11,seed3!E11,seed4!E11,seed5!E11),4)</f>
        <v>12.1677</v>
      </c>
      <c r="G11" s="1">
        <v>0.7</v>
      </c>
      <c r="H11" s="1">
        <f>ROUND(AVERAGE(seed1!H11,seed2!H11,seed3!H11,seed4!H11,seed5!H11),4)</f>
        <v>12.286199999999999</v>
      </c>
      <c r="I11" s="1">
        <f>ROUND(AVERAGE(seed1!I11,seed2!I11,seed3!I11,seed4!I11,seed5!I11),4)</f>
        <v>16.670000000000002</v>
      </c>
      <c r="J11" s="1">
        <f>ROUND(AVERAGE(seed1!J11,seed2!J11,seed3!J11,seed4!J11,seed5!J11),4)</f>
        <v>14.231199999999999</v>
      </c>
      <c r="M11">
        <v>0.7</v>
      </c>
      <c r="N11">
        <f t="shared" si="0"/>
        <v>12.1677</v>
      </c>
      <c r="O11">
        <f t="shared" si="1"/>
        <v>14.231199999999999</v>
      </c>
    </row>
    <row r="12" spans="2:15">
      <c r="B12" s="1">
        <v>0.8</v>
      </c>
      <c r="C12" s="1">
        <f>ROUND(AVERAGE(seed1!C12,seed2!C12,seed3!C12,seed4!C12,seed5!C12),4)</f>
        <v>9.0353999999999992</v>
      </c>
      <c r="D12" s="1">
        <f>ROUND(AVERAGE(seed1!D12,seed2!D12,seed3!D12,seed4!D12,seed5!D12),4)</f>
        <v>16.638300000000001</v>
      </c>
      <c r="E12" s="1">
        <f>ROUND(AVERAGE(seed1!E12,seed2!E12,seed3!E12,seed4!E12,seed5!E12),4)</f>
        <v>12.1677</v>
      </c>
      <c r="G12" s="1">
        <v>0.8</v>
      </c>
      <c r="H12" s="1">
        <f>ROUND(AVERAGE(seed1!H12,seed2!H12,seed3!H12,seed4!H12,seed5!H12),4)</f>
        <v>12.286199999999999</v>
      </c>
      <c r="I12" s="1">
        <f>ROUND(AVERAGE(seed1!I12,seed2!I12,seed3!I12,seed4!I12,seed5!I12),4)</f>
        <v>16.670000000000002</v>
      </c>
      <c r="J12" s="1">
        <f>ROUND(AVERAGE(seed1!J12,seed2!J12,seed3!J12,seed4!J12,seed5!J12),4)</f>
        <v>14.231199999999999</v>
      </c>
      <c r="M12">
        <v>0.8</v>
      </c>
      <c r="N12">
        <f t="shared" si="0"/>
        <v>12.1677</v>
      </c>
      <c r="O12">
        <f t="shared" si="1"/>
        <v>14.231199999999999</v>
      </c>
    </row>
    <row r="13" spans="2:15">
      <c r="B13" s="1">
        <v>0.9</v>
      </c>
      <c r="C13" s="1">
        <f>ROUND(AVERAGE(seed1!C13,seed2!C13,seed3!C13,seed4!C13,seed5!C13),4)</f>
        <v>9.0353999999999992</v>
      </c>
      <c r="D13" s="1">
        <f>ROUND(AVERAGE(seed1!D13,seed2!D13,seed3!D13,seed4!D13,seed5!D13),4)</f>
        <v>16.638300000000001</v>
      </c>
      <c r="E13" s="1">
        <f>ROUND(AVERAGE(seed1!E13,seed2!E13,seed3!E13,seed4!E13,seed5!E13),4)</f>
        <v>12.1677</v>
      </c>
      <c r="G13" s="1">
        <v>0.9</v>
      </c>
      <c r="H13" s="1">
        <f>ROUND(AVERAGE(seed1!H13,seed2!H13,seed3!H13,seed4!H13,seed5!H13),4)</f>
        <v>12.286199999999999</v>
      </c>
      <c r="I13" s="1">
        <f>ROUND(AVERAGE(seed1!I13,seed2!I13,seed3!I13,seed4!I13,seed5!I13),4)</f>
        <v>16.670000000000002</v>
      </c>
      <c r="J13" s="1">
        <f>ROUND(AVERAGE(seed1!J13,seed2!J13,seed3!J13,seed4!J13,seed5!J13),4)</f>
        <v>14.231199999999999</v>
      </c>
      <c r="M13">
        <v>0.9</v>
      </c>
      <c r="N13">
        <f t="shared" si="0"/>
        <v>12.1677</v>
      </c>
      <c r="O13">
        <f t="shared" si="1"/>
        <v>14.231199999999999</v>
      </c>
    </row>
    <row r="14" spans="2:15">
      <c r="B14" s="1">
        <v>1</v>
      </c>
      <c r="C14" s="1">
        <f>ROUND(AVERAGE(seed1!C14,seed2!C14,seed3!C14,seed4!C14,seed5!C14),4)</f>
        <v>9.0353999999999992</v>
      </c>
      <c r="D14" s="1">
        <f>ROUND(AVERAGE(seed1!D14,seed2!D14,seed3!D14,seed4!D14,seed5!D14),4)</f>
        <v>16.638300000000001</v>
      </c>
      <c r="E14" s="1">
        <f>ROUND(AVERAGE(seed1!E14,seed2!E14,seed3!E14,seed4!E14,seed5!E14),4)</f>
        <v>12.1677</v>
      </c>
      <c r="G14" s="1">
        <v>1</v>
      </c>
      <c r="H14" s="1">
        <f>ROUND(AVERAGE(seed1!H14,seed2!H14,seed3!H14,seed4!H14,seed5!H14),4)</f>
        <v>12.286199999999999</v>
      </c>
      <c r="I14" s="1">
        <f>ROUND(AVERAGE(seed1!I14,seed2!I14,seed3!I14,seed4!I14,seed5!I14),4)</f>
        <v>16.670000000000002</v>
      </c>
      <c r="J14" s="1">
        <f>ROUND(AVERAGE(seed1!J14,seed2!J14,seed3!J14,seed4!J14,seed5!J14),4)</f>
        <v>14.231199999999999</v>
      </c>
      <c r="M14">
        <v>1</v>
      </c>
      <c r="N14">
        <f t="shared" si="0"/>
        <v>12.1677</v>
      </c>
      <c r="O14">
        <f t="shared" si="1"/>
        <v>14.231199999999999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2A16-9B22-504E-A9BD-7270337A5BBC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12.0746</v>
      </c>
      <c r="D4" s="1">
        <v>12.8567</v>
      </c>
      <c r="E4" s="1">
        <v>12.436299999999999</v>
      </c>
      <c r="G4" s="1">
        <v>0</v>
      </c>
      <c r="H4" s="1">
        <v>11.594799999999999</v>
      </c>
      <c r="I4" s="1">
        <v>11.8484</v>
      </c>
      <c r="J4" s="1">
        <v>11.7096</v>
      </c>
    </row>
    <row r="5" spans="2:10">
      <c r="B5" s="2">
        <v>0.1</v>
      </c>
      <c r="C5" s="1">
        <v>11.983000000000001</v>
      </c>
      <c r="D5" s="1">
        <v>13.043200000000001</v>
      </c>
      <c r="E5" s="1">
        <v>12.4734</v>
      </c>
      <c r="G5" s="2">
        <v>0.1</v>
      </c>
      <c r="H5" s="1">
        <v>11.441700000000001</v>
      </c>
      <c r="I5" s="1">
        <v>13.4132</v>
      </c>
      <c r="J5" s="1">
        <v>12.3215</v>
      </c>
    </row>
    <row r="6" spans="2:10">
      <c r="B6" s="1">
        <v>0.2</v>
      </c>
      <c r="C6" s="1">
        <v>9.8214000000000006</v>
      </c>
      <c r="D6" s="1">
        <v>15.0769</v>
      </c>
      <c r="E6" s="1">
        <v>12.0663</v>
      </c>
      <c r="G6" s="1">
        <v>0.2</v>
      </c>
      <c r="H6" s="1">
        <v>11.651</v>
      </c>
      <c r="I6" s="1">
        <v>14.7829</v>
      </c>
      <c r="J6" s="1">
        <v>12.9796</v>
      </c>
    </row>
    <row r="7" spans="2:10">
      <c r="B7" s="1">
        <v>0.3</v>
      </c>
      <c r="C7" s="1">
        <v>10.4717</v>
      </c>
      <c r="D7" s="1">
        <v>15.375</v>
      </c>
      <c r="E7" s="1">
        <v>12.574199999999999</v>
      </c>
      <c r="G7" s="1">
        <v>0.3</v>
      </c>
      <c r="H7" s="1">
        <v>11.748799999999999</v>
      </c>
      <c r="I7" s="1">
        <v>15.923999999999999</v>
      </c>
      <c r="J7" s="1">
        <v>13.513500000000001</v>
      </c>
    </row>
    <row r="8" spans="2:10">
      <c r="B8" s="1">
        <v>0.4</v>
      </c>
      <c r="C8" s="1">
        <v>10.989800000000001</v>
      </c>
      <c r="D8" s="1">
        <v>16.4374</v>
      </c>
      <c r="E8" s="1">
        <v>13.243399999999999</v>
      </c>
      <c r="G8" s="1">
        <v>0.4</v>
      </c>
      <c r="H8" s="1">
        <v>10.9223</v>
      </c>
      <c r="I8" s="1">
        <v>16.4209</v>
      </c>
      <c r="J8" s="1">
        <v>13.141500000000001</v>
      </c>
    </row>
    <row r="9" spans="2:10">
      <c r="B9" s="1">
        <v>0.5</v>
      </c>
      <c r="C9" s="1">
        <v>7.9196999999999997</v>
      </c>
      <c r="D9" s="1">
        <v>16.664899999999999</v>
      </c>
      <c r="E9" s="1">
        <v>11.2295</v>
      </c>
      <c r="G9" s="1">
        <v>0.5</v>
      </c>
      <c r="H9" s="1">
        <v>10.847099999999999</v>
      </c>
      <c r="I9" s="1">
        <v>16.595300000000002</v>
      </c>
      <c r="J9" s="1">
        <v>13.1426</v>
      </c>
    </row>
    <row r="10" spans="2:10">
      <c r="B10" s="1">
        <v>0.6</v>
      </c>
      <c r="C10" s="1">
        <v>7.9196999999999997</v>
      </c>
      <c r="D10" s="1">
        <v>16.664899999999999</v>
      </c>
      <c r="E10" s="1">
        <v>11.2295</v>
      </c>
      <c r="G10" s="1">
        <v>0.6</v>
      </c>
      <c r="H10" s="1">
        <v>10.824299999999999</v>
      </c>
      <c r="I10" s="1">
        <v>16.581800000000001</v>
      </c>
      <c r="J10" s="1">
        <v>13.1236</v>
      </c>
    </row>
    <row r="11" spans="2:10">
      <c r="B11" s="1">
        <v>0.7</v>
      </c>
      <c r="C11" s="1">
        <v>7.9196999999999997</v>
      </c>
      <c r="D11" s="1">
        <v>16.664899999999999</v>
      </c>
      <c r="E11" s="1">
        <v>11.2295</v>
      </c>
      <c r="G11" s="1">
        <v>0.7</v>
      </c>
      <c r="H11" s="1">
        <v>10.824299999999999</v>
      </c>
      <c r="I11" s="1">
        <v>16.581800000000001</v>
      </c>
      <c r="J11" s="1">
        <v>13.1236</v>
      </c>
    </row>
    <row r="12" spans="2:10">
      <c r="B12" s="1">
        <v>0.8</v>
      </c>
      <c r="C12" s="1">
        <v>7.9196999999999997</v>
      </c>
      <c r="D12" s="1">
        <v>16.664899999999999</v>
      </c>
      <c r="E12" s="1">
        <v>11.2295</v>
      </c>
      <c r="G12" s="1">
        <v>0.8</v>
      </c>
      <c r="H12" s="1">
        <v>10.6152</v>
      </c>
      <c r="I12" s="1">
        <v>16.670000000000002</v>
      </c>
      <c r="J12" s="1">
        <v>13.033200000000001</v>
      </c>
    </row>
    <row r="13" spans="2:10">
      <c r="B13" s="1">
        <v>0.9</v>
      </c>
      <c r="C13" s="1">
        <v>7.9196999999999997</v>
      </c>
      <c r="D13" s="1">
        <v>16.664899999999999</v>
      </c>
      <c r="E13" s="1">
        <v>11.2295</v>
      </c>
      <c r="G13" s="1">
        <v>0.9</v>
      </c>
      <c r="H13" s="1">
        <v>10.6152</v>
      </c>
      <c r="I13" s="1">
        <v>16.670000000000002</v>
      </c>
      <c r="J13" s="1">
        <v>13.033200000000001</v>
      </c>
    </row>
    <row r="14" spans="2:10">
      <c r="B14" s="1">
        <v>1</v>
      </c>
      <c r="C14" s="1">
        <v>7.9196999999999997</v>
      </c>
      <c r="D14" s="1">
        <v>16.664899999999999</v>
      </c>
      <c r="E14" s="1">
        <v>11.2295</v>
      </c>
      <c r="G14" s="1">
        <v>1</v>
      </c>
      <c r="H14" s="1">
        <v>10.6152</v>
      </c>
      <c r="I14" s="1">
        <v>16.670000000000002</v>
      </c>
      <c r="J14" s="1">
        <v>13.033200000000001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D21D-C761-E141-8A93-41E7E5ECEC2D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12.9194</v>
      </c>
      <c r="D4" s="1">
        <v>11.3866</v>
      </c>
      <c r="E4" s="1">
        <v>12.1189</v>
      </c>
      <c r="G4" s="1">
        <v>0</v>
      </c>
      <c r="H4" s="1">
        <v>13.608700000000001</v>
      </c>
      <c r="I4" s="1">
        <v>13.573</v>
      </c>
      <c r="J4" s="1">
        <v>13.5901</v>
      </c>
    </row>
    <row r="5" spans="2:10">
      <c r="B5" s="2">
        <v>0.1</v>
      </c>
      <c r="C5" s="1">
        <v>12.1211</v>
      </c>
      <c r="D5" s="1">
        <v>12.327500000000001</v>
      </c>
      <c r="E5" s="1">
        <v>12.228199999999999</v>
      </c>
      <c r="G5" s="2">
        <v>0.1</v>
      </c>
      <c r="H5" s="1">
        <v>13.470499999999999</v>
      </c>
      <c r="I5" s="1">
        <v>13.1496</v>
      </c>
      <c r="J5" s="1">
        <v>13.305300000000001</v>
      </c>
    </row>
    <row r="6" spans="2:10">
      <c r="B6" s="1">
        <v>0.2</v>
      </c>
      <c r="C6" s="1">
        <v>10.837199999999999</v>
      </c>
      <c r="D6" s="1">
        <v>14.664400000000001</v>
      </c>
      <c r="E6" s="1">
        <v>12.7202</v>
      </c>
      <c r="G6" s="1">
        <v>0.2</v>
      </c>
      <c r="H6" s="1">
        <v>13.136699999999999</v>
      </c>
      <c r="I6" s="1">
        <v>15.8948</v>
      </c>
      <c r="J6" s="1">
        <v>14.4383</v>
      </c>
    </row>
    <row r="7" spans="2:10">
      <c r="B7" s="1">
        <v>0.3</v>
      </c>
      <c r="C7" s="1">
        <v>9.3766999999999996</v>
      </c>
      <c r="D7" s="1">
        <v>15.9131</v>
      </c>
      <c r="E7" s="1">
        <v>12.289400000000001</v>
      </c>
      <c r="G7" s="1">
        <v>0.3</v>
      </c>
      <c r="H7" s="1">
        <v>12.4991</v>
      </c>
      <c r="I7" s="1">
        <v>16.064900000000002</v>
      </c>
      <c r="J7" s="1">
        <v>14.1683</v>
      </c>
    </row>
    <row r="8" spans="2:10">
      <c r="B8" s="1">
        <v>0.4</v>
      </c>
      <c r="C8" s="1">
        <v>7.7123999999999997</v>
      </c>
      <c r="D8" s="1">
        <v>16.6401</v>
      </c>
      <c r="E8" s="1">
        <v>11.3916</v>
      </c>
      <c r="G8" s="1">
        <v>0.4</v>
      </c>
      <c r="H8" s="1">
        <v>10.717000000000001</v>
      </c>
      <c r="I8" s="1">
        <v>16.349399999999999</v>
      </c>
      <c r="J8" s="1">
        <v>13.206899999999999</v>
      </c>
    </row>
    <row r="9" spans="2:10">
      <c r="B9" s="1">
        <v>0.5</v>
      </c>
      <c r="C9" s="1">
        <v>7.7123999999999997</v>
      </c>
      <c r="D9" s="1">
        <v>16.6401</v>
      </c>
      <c r="E9" s="1">
        <v>11.3916</v>
      </c>
      <c r="G9" s="1">
        <v>0.5</v>
      </c>
      <c r="H9" s="1">
        <v>10.6632</v>
      </c>
      <c r="I9" s="1">
        <v>16.531199999999998</v>
      </c>
      <c r="J9" s="1">
        <v>13.257300000000001</v>
      </c>
    </row>
    <row r="10" spans="2:10">
      <c r="B10" s="1">
        <v>0.6</v>
      </c>
      <c r="C10" s="1">
        <v>7.7123999999999997</v>
      </c>
      <c r="D10" s="1">
        <v>16.6401</v>
      </c>
      <c r="E10" s="1">
        <v>11.3916</v>
      </c>
      <c r="G10" s="1">
        <v>0.6</v>
      </c>
      <c r="H10" s="1">
        <v>10.1142</v>
      </c>
      <c r="I10" s="1">
        <v>16.4953</v>
      </c>
      <c r="J10" s="1">
        <v>12.8833</v>
      </c>
    </row>
    <row r="11" spans="2:10">
      <c r="B11" s="1">
        <v>0.7</v>
      </c>
      <c r="C11" s="1">
        <v>7.7123999999999997</v>
      </c>
      <c r="D11" s="1">
        <v>16.6401</v>
      </c>
      <c r="E11" s="1">
        <v>11.3916</v>
      </c>
      <c r="G11" s="1">
        <v>0.7</v>
      </c>
      <c r="H11" s="1">
        <v>9.8782999999999994</v>
      </c>
      <c r="I11" s="1">
        <v>16.670000000000002</v>
      </c>
      <c r="J11" s="1">
        <v>12.8256</v>
      </c>
    </row>
    <row r="12" spans="2:10">
      <c r="B12" s="1">
        <v>0.8</v>
      </c>
      <c r="C12" s="1">
        <v>7.7123999999999997</v>
      </c>
      <c r="D12" s="1">
        <v>16.6401</v>
      </c>
      <c r="E12" s="1">
        <v>11.3916</v>
      </c>
      <c r="G12" s="1">
        <v>0.8</v>
      </c>
      <c r="H12" s="1">
        <v>9.8782999999999994</v>
      </c>
      <c r="I12" s="1">
        <v>16.670000000000002</v>
      </c>
      <c r="J12" s="1">
        <v>12.8256</v>
      </c>
    </row>
    <row r="13" spans="2:10">
      <c r="B13" s="1">
        <v>0.9</v>
      </c>
      <c r="C13" s="1">
        <v>7.7123999999999997</v>
      </c>
      <c r="D13" s="1">
        <v>16.6401</v>
      </c>
      <c r="E13" s="1">
        <v>11.3916</v>
      </c>
      <c r="G13" s="1">
        <v>0.9</v>
      </c>
      <c r="H13" s="1">
        <v>9.8782999999999994</v>
      </c>
      <c r="I13" s="1">
        <v>16.670000000000002</v>
      </c>
      <c r="J13" s="1">
        <v>12.8256</v>
      </c>
    </row>
    <row r="14" spans="2:10">
      <c r="B14" s="1">
        <v>1</v>
      </c>
      <c r="C14" s="1">
        <v>7.7123999999999997</v>
      </c>
      <c r="D14" s="1">
        <v>16.6401</v>
      </c>
      <c r="E14" s="1">
        <v>11.3916</v>
      </c>
      <c r="G14" s="1">
        <v>1</v>
      </c>
      <c r="H14" s="1">
        <v>9.8782999999999994</v>
      </c>
      <c r="I14" s="1">
        <v>16.670000000000002</v>
      </c>
      <c r="J14" s="1">
        <v>12.8256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C95D-143D-7B4E-9009-6F7B965BF110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13.406000000000001</v>
      </c>
      <c r="D4" s="1">
        <v>13.807</v>
      </c>
      <c r="E4" s="1">
        <v>13.610200000000001</v>
      </c>
      <c r="G4" s="1">
        <v>0</v>
      </c>
      <c r="H4" s="1">
        <v>15.536099999999999</v>
      </c>
      <c r="I4" s="1">
        <v>15.7677</v>
      </c>
      <c r="J4" s="1">
        <v>15.652699999999999</v>
      </c>
    </row>
    <row r="5" spans="2:10">
      <c r="B5" s="2">
        <v>0.1</v>
      </c>
      <c r="C5" s="1">
        <v>13.3988</v>
      </c>
      <c r="D5" s="1">
        <v>13.8146</v>
      </c>
      <c r="E5" s="1">
        <v>13.6106</v>
      </c>
      <c r="G5" s="2">
        <v>0.1</v>
      </c>
      <c r="H5" s="1">
        <v>14.9161</v>
      </c>
      <c r="I5" s="1">
        <v>15.7293</v>
      </c>
      <c r="J5" s="1">
        <v>15.322699999999999</v>
      </c>
    </row>
    <row r="6" spans="2:10">
      <c r="B6" s="1">
        <v>0.2</v>
      </c>
      <c r="C6" s="1">
        <v>12.1944</v>
      </c>
      <c r="D6" s="1">
        <v>15.6127</v>
      </c>
      <c r="E6" s="1">
        <v>13.8386</v>
      </c>
      <c r="G6" s="1">
        <v>0.2</v>
      </c>
      <c r="H6" s="1">
        <v>14.0189</v>
      </c>
      <c r="I6" s="1">
        <v>16.4194</v>
      </c>
      <c r="J6" s="1">
        <v>15.170299999999999</v>
      </c>
    </row>
    <row r="7" spans="2:10">
      <c r="B7" s="1">
        <v>0.3</v>
      </c>
      <c r="C7" s="1">
        <v>11.219799999999999</v>
      </c>
      <c r="D7" s="1">
        <v>16.187100000000001</v>
      </c>
      <c r="E7" s="1">
        <v>13.51</v>
      </c>
      <c r="G7" s="1">
        <v>0.3</v>
      </c>
      <c r="H7" s="1">
        <v>15.6473</v>
      </c>
      <c r="I7" s="1">
        <v>16.288699999999999</v>
      </c>
      <c r="J7" s="1">
        <v>15.966100000000001</v>
      </c>
    </row>
    <row r="8" spans="2:10">
      <c r="B8" s="1">
        <v>0.4</v>
      </c>
      <c r="C8" s="1">
        <v>11.095499999999999</v>
      </c>
      <c r="D8" s="1">
        <v>16.5334</v>
      </c>
      <c r="E8" s="1">
        <v>13.5504</v>
      </c>
      <c r="G8" s="1">
        <v>0.4</v>
      </c>
      <c r="H8" s="1">
        <v>12.885</v>
      </c>
      <c r="I8" s="1">
        <v>16.666</v>
      </c>
      <c r="J8" s="1">
        <v>14.6365</v>
      </c>
    </row>
    <row r="9" spans="2:10">
      <c r="B9" s="1">
        <v>0.5</v>
      </c>
      <c r="C9" s="1">
        <v>11.0328</v>
      </c>
      <c r="D9" s="1">
        <v>16.532399999999999</v>
      </c>
      <c r="E9" s="1">
        <v>13.5124</v>
      </c>
      <c r="G9" s="1">
        <v>0.5</v>
      </c>
      <c r="H9" s="1">
        <v>12.465400000000001</v>
      </c>
      <c r="I9" s="1">
        <v>16.667899999999999</v>
      </c>
      <c r="J9" s="1">
        <v>14.4095</v>
      </c>
    </row>
    <row r="10" spans="2:10">
      <c r="B10" s="1">
        <v>0.6</v>
      </c>
      <c r="C10" s="1">
        <v>9.0913000000000004</v>
      </c>
      <c r="D10" s="1">
        <v>16.670000000000002</v>
      </c>
      <c r="E10" s="1">
        <v>12.309100000000001</v>
      </c>
      <c r="G10" s="1">
        <v>0.6</v>
      </c>
      <c r="H10" s="1">
        <v>12.9533</v>
      </c>
      <c r="I10" s="1">
        <v>16.666</v>
      </c>
      <c r="J10" s="1">
        <v>14.676600000000001</v>
      </c>
    </row>
    <row r="11" spans="2:10">
      <c r="B11" s="1">
        <v>0.7</v>
      </c>
      <c r="C11" s="1">
        <v>9.0913000000000004</v>
      </c>
      <c r="D11" s="1">
        <v>16.670000000000002</v>
      </c>
      <c r="E11" s="1">
        <v>12.309100000000001</v>
      </c>
      <c r="G11" s="1">
        <v>0.7</v>
      </c>
      <c r="H11" s="1">
        <v>12.9984</v>
      </c>
      <c r="I11" s="1">
        <v>16.665900000000001</v>
      </c>
      <c r="J11" s="1">
        <v>14.702999999999999</v>
      </c>
    </row>
    <row r="12" spans="2:10">
      <c r="B12" s="1">
        <v>0.8</v>
      </c>
      <c r="C12" s="1">
        <v>9.0913000000000004</v>
      </c>
      <c r="D12" s="1">
        <v>16.670000000000002</v>
      </c>
      <c r="E12" s="1">
        <v>12.309100000000001</v>
      </c>
      <c r="G12" s="1">
        <v>0.8</v>
      </c>
      <c r="H12" s="1">
        <v>13.0008</v>
      </c>
      <c r="I12" s="1">
        <v>16.670000000000002</v>
      </c>
      <c r="J12" s="1">
        <v>14.7059</v>
      </c>
    </row>
    <row r="13" spans="2:10">
      <c r="B13" s="1">
        <v>0.9</v>
      </c>
      <c r="C13" s="1">
        <v>9.0913000000000004</v>
      </c>
      <c r="D13" s="1">
        <v>16.670000000000002</v>
      </c>
      <c r="E13" s="1">
        <v>12.309100000000001</v>
      </c>
      <c r="G13" s="1">
        <v>0.9</v>
      </c>
      <c r="H13" s="1">
        <v>13.0008</v>
      </c>
      <c r="I13" s="1">
        <v>16.670000000000002</v>
      </c>
      <c r="J13" s="1">
        <v>14.7059</v>
      </c>
    </row>
    <row r="14" spans="2:10">
      <c r="B14" s="1">
        <v>1</v>
      </c>
      <c r="C14" s="1">
        <v>9.0913000000000004</v>
      </c>
      <c r="D14" s="1">
        <v>16.670000000000002</v>
      </c>
      <c r="E14" s="1">
        <v>12.309100000000001</v>
      </c>
      <c r="G14" s="1">
        <v>1</v>
      </c>
      <c r="H14" s="1">
        <v>13.0008</v>
      </c>
      <c r="I14" s="1">
        <v>16.670000000000002</v>
      </c>
      <c r="J14" s="1">
        <v>14.7059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254C-97DE-0A4B-B64B-1EECDC438D39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12.631</v>
      </c>
      <c r="D4" s="1">
        <v>14.486499999999999</v>
      </c>
      <c r="E4" s="1">
        <v>13.473599999999999</v>
      </c>
      <c r="G4" s="1">
        <v>0</v>
      </c>
      <c r="H4" s="1">
        <v>14.6022</v>
      </c>
      <c r="I4" s="1">
        <v>13.301</v>
      </c>
      <c r="J4" s="1">
        <v>13.9709</v>
      </c>
    </row>
    <row r="5" spans="2:10">
      <c r="B5" s="2">
        <v>0.1</v>
      </c>
      <c r="C5" s="1">
        <v>12.631</v>
      </c>
      <c r="D5" s="1">
        <v>14.486499999999999</v>
      </c>
      <c r="E5" s="1">
        <v>13.473599999999999</v>
      </c>
      <c r="G5" s="2">
        <v>0.1</v>
      </c>
      <c r="H5" s="1">
        <v>14.5436</v>
      </c>
      <c r="I5" s="1">
        <v>13.434699999999999</v>
      </c>
      <c r="J5" s="1">
        <v>14.005599999999999</v>
      </c>
    </row>
    <row r="6" spans="2:10">
      <c r="B6" s="1">
        <v>0.2</v>
      </c>
      <c r="C6" s="1">
        <v>11.9938</v>
      </c>
      <c r="D6" s="1">
        <v>15.0418</v>
      </c>
      <c r="E6" s="1">
        <v>13.3779</v>
      </c>
      <c r="G6" s="1">
        <v>0.2</v>
      </c>
      <c r="H6" s="1">
        <v>13.9937</v>
      </c>
      <c r="I6" s="1">
        <v>14.8865</v>
      </c>
      <c r="J6" s="1">
        <v>14.4148</v>
      </c>
    </row>
    <row r="7" spans="2:10">
      <c r="B7" s="1">
        <v>0.3</v>
      </c>
      <c r="C7" s="1">
        <v>12.228999999999999</v>
      </c>
      <c r="D7" s="1">
        <v>14.069599999999999</v>
      </c>
      <c r="E7" s="1">
        <v>13.0404</v>
      </c>
      <c r="G7" s="1">
        <v>0.3</v>
      </c>
      <c r="H7" s="1">
        <v>15.165800000000001</v>
      </c>
      <c r="I7" s="1">
        <v>15.1629</v>
      </c>
      <c r="J7" s="1">
        <v>15.164400000000001</v>
      </c>
    </row>
    <row r="8" spans="2:10">
      <c r="B8" s="1">
        <v>0.4</v>
      </c>
      <c r="C8" s="1">
        <v>11.759499999999999</v>
      </c>
      <c r="D8" s="1">
        <v>16.4102</v>
      </c>
      <c r="E8" s="1">
        <v>13.726599999999999</v>
      </c>
      <c r="G8" s="1">
        <v>0.4</v>
      </c>
      <c r="H8" s="1">
        <v>13.4078</v>
      </c>
      <c r="I8" s="1">
        <v>16.123200000000001</v>
      </c>
      <c r="J8" s="1">
        <v>14.6229</v>
      </c>
    </row>
    <row r="9" spans="2:10">
      <c r="B9" s="1">
        <v>0.5</v>
      </c>
      <c r="C9" s="1">
        <v>9.2859999999999996</v>
      </c>
      <c r="D9" s="1">
        <v>16.5885</v>
      </c>
      <c r="E9" s="1">
        <v>12.163399999999999</v>
      </c>
      <c r="G9" s="1">
        <v>0.5</v>
      </c>
      <c r="H9" s="1">
        <v>12.105</v>
      </c>
      <c r="I9" s="1">
        <v>16.597300000000001</v>
      </c>
      <c r="J9" s="1">
        <v>13.986599999999999</v>
      </c>
    </row>
    <row r="10" spans="2:10">
      <c r="B10" s="1">
        <v>0.6</v>
      </c>
      <c r="C10" s="1">
        <v>7.2512999999999996</v>
      </c>
      <c r="D10" s="1">
        <v>16.419699999999999</v>
      </c>
      <c r="E10" s="1">
        <v>10.5974</v>
      </c>
      <c r="G10" s="1">
        <v>0.6</v>
      </c>
      <c r="H10" s="1">
        <v>12.041700000000001</v>
      </c>
      <c r="I10" s="1">
        <v>16.670000000000002</v>
      </c>
      <c r="J10" s="1">
        <v>13.9693</v>
      </c>
    </row>
    <row r="11" spans="2:10">
      <c r="B11" s="1">
        <v>0.7</v>
      </c>
      <c r="C11" s="1">
        <v>7.2512999999999996</v>
      </c>
      <c r="D11" s="1">
        <v>16.419699999999999</v>
      </c>
      <c r="E11" s="1">
        <v>10.5974</v>
      </c>
      <c r="G11" s="1">
        <v>0.7</v>
      </c>
      <c r="H11" s="1">
        <v>12.041700000000001</v>
      </c>
      <c r="I11" s="1">
        <v>16.670000000000002</v>
      </c>
      <c r="J11" s="1">
        <v>13.9693</v>
      </c>
    </row>
    <row r="12" spans="2:10">
      <c r="B12" s="1">
        <v>0.8</v>
      </c>
      <c r="C12" s="1">
        <v>7.2512999999999996</v>
      </c>
      <c r="D12" s="1">
        <v>16.419699999999999</v>
      </c>
      <c r="E12" s="1">
        <v>10.5974</v>
      </c>
      <c r="G12" s="1">
        <v>0.8</v>
      </c>
      <c r="H12" s="1">
        <v>12.041700000000001</v>
      </c>
      <c r="I12" s="1">
        <v>16.670000000000002</v>
      </c>
      <c r="J12" s="1">
        <v>13.9693</v>
      </c>
    </row>
    <row r="13" spans="2:10">
      <c r="B13" s="1">
        <v>0.9</v>
      </c>
      <c r="C13" s="1">
        <v>7.2512999999999996</v>
      </c>
      <c r="D13" s="1">
        <v>16.419699999999999</v>
      </c>
      <c r="E13" s="1">
        <v>10.5974</v>
      </c>
      <c r="G13" s="1">
        <v>0.9</v>
      </c>
      <c r="H13" s="1">
        <v>12.041700000000001</v>
      </c>
      <c r="I13" s="1">
        <v>16.670000000000002</v>
      </c>
      <c r="J13" s="1">
        <v>13.9693</v>
      </c>
    </row>
    <row r="14" spans="2:10">
      <c r="B14" s="1">
        <v>1</v>
      </c>
      <c r="C14" s="1">
        <v>7.2512999999999996</v>
      </c>
      <c r="D14" s="1">
        <v>16.419699999999999</v>
      </c>
      <c r="E14" s="1">
        <v>10.5974</v>
      </c>
      <c r="G14" s="1">
        <v>1</v>
      </c>
      <c r="H14" s="1">
        <v>12.041700000000001</v>
      </c>
      <c r="I14" s="1">
        <v>16.670000000000002</v>
      </c>
      <c r="J14" s="1">
        <v>13.9693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2767-DE91-7D4D-A98A-DAB8BF526425}">
  <dimension ref="B2:J16"/>
  <sheetViews>
    <sheetView workbookViewId="0">
      <selection activeCell="H4" sqref="H4:J14"/>
    </sheetView>
  </sheetViews>
  <sheetFormatPr baseColWidth="10" defaultRowHeight="20"/>
  <sheetData>
    <row r="2" spans="2:10">
      <c r="C2" t="s">
        <v>5</v>
      </c>
      <c r="H2" t="s">
        <v>7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12.446899999999999</v>
      </c>
      <c r="D4" s="1">
        <v>10.164999999999999</v>
      </c>
      <c r="E4" s="1">
        <v>11.3171</v>
      </c>
      <c r="G4" s="1">
        <v>0</v>
      </c>
      <c r="H4" s="1">
        <v>11.9406</v>
      </c>
      <c r="I4" s="1">
        <v>11.9671</v>
      </c>
      <c r="J4" s="1">
        <v>11.953099999999999</v>
      </c>
    </row>
    <row r="5" spans="2:10">
      <c r="B5" s="2">
        <v>0.1</v>
      </c>
      <c r="C5" s="1">
        <v>12.0421</v>
      </c>
      <c r="D5" s="1">
        <v>10.6447</v>
      </c>
      <c r="E5" s="1">
        <v>11.350199999999999</v>
      </c>
      <c r="G5" s="2">
        <v>0.1</v>
      </c>
      <c r="H5" s="1">
        <v>13.3506</v>
      </c>
      <c r="I5" s="1">
        <v>13.318300000000001</v>
      </c>
      <c r="J5" s="1">
        <v>13.3355</v>
      </c>
    </row>
    <row r="6" spans="2:10">
      <c r="B6" s="1">
        <v>0.2</v>
      </c>
      <c r="C6" s="1">
        <v>9.0967000000000002</v>
      </c>
      <c r="D6" s="1">
        <v>16.232500000000002</v>
      </c>
      <c r="E6" s="1">
        <v>11.9756</v>
      </c>
      <c r="G6" s="1">
        <v>0.2</v>
      </c>
      <c r="H6" s="1">
        <v>12.27</v>
      </c>
      <c r="I6" s="1">
        <v>16.197299999999998</v>
      </c>
      <c r="J6" s="1">
        <v>13.9688</v>
      </c>
    </row>
    <row r="7" spans="2:10">
      <c r="B7" s="1">
        <v>0.3</v>
      </c>
      <c r="C7" s="1">
        <v>9.0967000000000002</v>
      </c>
      <c r="D7" s="1">
        <v>16.232500000000002</v>
      </c>
      <c r="E7" s="1">
        <v>11.9756</v>
      </c>
      <c r="G7" s="1">
        <v>0.3</v>
      </c>
      <c r="H7" s="1">
        <v>12.358599999999999</v>
      </c>
      <c r="I7" s="1">
        <v>16.388100000000001</v>
      </c>
      <c r="J7" s="1">
        <v>14.0962</v>
      </c>
    </row>
    <row r="8" spans="2:10">
      <c r="B8" s="1">
        <v>0.4</v>
      </c>
      <c r="C8" s="1">
        <v>7.391</v>
      </c>
      <c r="D8" s="1">
        <v>16.670000000000002</v>
      </c>
      <c r="E8" s="1">
        <v>10.881</v>
      </c>
      <c r="G8" s="1">
        <v>0.4</v>
      </c>
      <c r="H8" s="1">
        <v>11.351900000000001</v>
      </c>
      <c r="I8" s="1">
        <v>16.288</v>
      </c>
      <c r="J8" s="1">
        <v>13.411899999999999</v>
      </c>
    </row>
    <row r="9" spans="2:10">
      <c r="B9" s="1">
        <v>0.5</v>
      </c>
      <c r="C9" s="1">
        <v>7.391</v>
      </c>
      <c r="D9" s="1">
        <v>16.670000000000002</v>
      </c>
      <c r="E9" s="1">
        <v>10.881</v>
      </c>
      <c r="G9" s="1">
        <v>0.5</v>
      </c>
      <c r="H9" s="1">
        <v>10.3764</v>
      </c>
      <c r="I9" s="1">
        <v>16.474599999999999</v>
      </c>
      <c r="J9" s="1">
        <v>12.8209</v>
      </c>
    </row>
    <row r="10" spans="2:10">
      <c r="B10" s="1">
        <v>0.6</v>
      </c>
      <c r="C10" s="1">
        <v>7.391</v>
      </c>
      <c r="D10" s="1">
        <v>16.670000000000002</v>
      </c>
      <c r="E10" s="1">
        <v>10.881</v>
      </c>
      <c r="G10" s="1">
        <v>0.6</v>
      </c>
      <c r="H10" s="1">
        <v>10.1479</v>
      </c>
      <c r="I10" s="1">
        <v>16.6279</v>
      </c>
      <c r="J10" s="1">
        <v>12.7455</v>
      </c>
    </row>
    <row r="11" spans="2:10">
      <c r="B11" s="1">
        <v>0.7</v>
      </c>
      <c r="C11" s="1">
        <v>7.391</v>
      </c>
      <c r="D11" s="1">
        <v>16.670000000000002</v>
      </c>
      <c r="E11" s="1">
        <v>10.881</v>
      </c>
      <c r="G11" s="1">
        <v>0.7</v>
      </c>
      <c r="H11" s="1">
        <v>10.1493</v>
      </c>
      <c r="I11" s="1">
        <v>16.6248</v>
      </c>
      <c r="J11" s="1">
        <v>12.7464</v>
      </c>
    </row>
    <row r="12" spans="2:10">
      <c r="B12" s="1">
        <v>0.8</v>
      </c>
      <c r="C12" s="1">
        <v>7.391</v>
      </c>
      <c r="D12" s="1">
        <v>16.670000000000002</v>
      </c>
      <c r="E12" s="1">
        <v>10.881</v>
      </c>
      <c r="G12" s="1">
        <v>0.8</v>
      </c>
      <c r="H12" s="1">
        <v>10.134</v>
      </c>
      <c r="I12" s="1">
        <v>16.670000000000002</v>
      </c>
      <c r="J12" s="1">
        <v>12.755699999999999</v>
      </c>
    </row>
    <row r="13" spans="2:10">
      <c r="B13" s="1">
        <v>0.9</v>
      </c>
      <c r="C13" s="1">
        <v>7.391</v>
      </c>
      <c r="D13" s="1">
        <v>16.670000000000002</v>
      </c>
      <c r="E13" s="1">
        <v>10.881</v>
      </c>
      <c r="G13" s="1">
        <v>0.9</v>
      </c>
      <c r="H13" s="1">
        <v>10.134</v>
      </c>
      <c r="I13" s="1">
        <v>16.670000000000002</v>
      </c>
      <c r="J13" s="1">
        <v>12.755699999999999</v>
      </c>
    </row>
    <row r="14" spans="2:10">
      <c r="B14" s="2">
        <v>1</v>
      </c>
      <c r="C14" s="1">
        <v>7.391</v>
      </c>
      <c r="D14" s="1">
        <v>16.670000000000002</v>
      </c>
      <c r="E14" s="1">
        <v>10.881</v>
      </c>
      <c r="G14" s="1">
        <v>1</v>
      </c>
      <c r="H14" s="1">
        <v>10.134</v>
      </c>
      <c r="I14" s="1">
        <v>16.670000000000002</v>
      </c>
      <c r="J14" s="1">
        <v>12.755699999999999</v>
      </c>
    </row>
    <row r="16" spans="2:10">
      <c r="D16" t="s">
        <v>9</v>
      </c>
      <c r="I16" t="s">
        <v>9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268D-EB1C-8F41-AB08-E7A3D217F79B}">
  <dimension ref="B2:O14"/>
  <sheetViews>
    <sheetView workbookViewId="0">
      <selection activeCell="I28" sqref="I28"/>
    </sheetView>
  </sheetViews>
  <sheetFormatPr baseColWidth="10" defaultRowHeight="20"/>
  <sheetData>
    <row r="2" spans="2:15">
      <c r="B2" s="1"/>
      <c r="C2" s="1" t="s">
        <v>4</v>
      </c>
      <c r="D2" s="1"/>
      <c r="E2" s="1"/>
      <c r="F2" s="1"/>
      <c r="G2" s="1"/>
      <c r="H2" s="1" t="s">
        <v>6</v>
      </c>
      <c r="I2" s="1"/>
      <c r="J2" s="1"/>
    </row>
    <row r="3" spans="2:15">
      <c r="B3" s="1" t="s">
        <v>8</v>
      </c>
      <c r="C3" s="1" t="s">
        <v>1</v>
      </c>
      <c r="D3" s="1" t="s">
        <v>2</v>
      </c>
      <c r="E3" s="1" t="s">
        <v>3</v>
      </c>
      <c r="F3" s="1"/>
      <c r="G3" s="1" t="s">
        <v>8</v>
      </c>
      <c r="H3" s="1" t="s">
        <v>1</v>
      </c>
      <c r="I3" s="1" t="s">
        <v>2</v>
      </c>
      <c r="J3" s="1" t="s">
        <v>3</v>
      </c>
      <c r="M3" s="1" t="s">
        <v>0</v>
      </c>
      <c r="N3" s="1" t="s">
        <v>11</v>
      </c>
      <c r="O3" s="1" t="s">
        <v>12</v>
      </c>
    </row>
    <row r="4" spans="2:15">
      <c r="B4" s="1">
        <v>0</v>
      </c>
      <c r="C4" s="1">
        <f>ROUND(AVERAGE(seed1!C4,seed2!C4,seed3!C4,seed4!C4,seed5!C4,seed6!C4,seed7!C4,seed8!C4,seed9!C4,seed10!C4),4)</f>
        <v>12.8629</v>
      </c>
      <c r="D4" s="1">
        <f>ROUND(AVERAGE(seed1!D4,seed2!D4,seed3!D4,seed4!D4,seed5!D4,seed6!D4,seed7!D4,seed8!D4,seed9!D4,seed10!D4),4)</f>
        <v>13.262</v>
      </c>
      <c r="E4" s="1">
        <f>ROUND(AVERAGE(seed1!E4,seed2!E4,seed3!E4,seed4!E4,seed5!E4,seed6!E4,seed7!E4,seed8!E4,seed9!E4,seed10!E4),4)</f>
        <v>13.0113</v>
      </c>
      <c r="F4" s="1"/>
      <c r="G4" s="1">
        <v>0</v>
      </c>
      <c r="H4" s="1">
        <f>ROUND(AVERAGE(seed1!H4,seed2!H4,seed3!H4,seed4!H4,seed5!H4,seed6!H4,seed7!H4,seed8!H4,seed9!H4,seed10!H4),4)</f>
        <v>14.486499999999999</v>
      </c>
      <c r="I4" s="1">
        <f>ROUND(AVERAGE(seed1!I4,seed2!I4,seed3!I4,seed4!I4,seed5!I4,seed6!I4,seed7!I4,seed8!I4,seed9!I4,seed10!I4),4)</f>
        <v>13.668699999999999</v>
      </c>
      <c r="J4" s="1">
        <f>ROUND(AVERAGE(seed1!J4,seed2!J4,seed3!J4,seed4!J4,seed5!J4,seed6!J4,seed7!J4,seed8!J4,seed9!J4,seed10!J4),4)</f>
        <v>14.0848</v>
      </c>
      <c r="M4">
        <v>0</v>
      </c>
      <c r="N4">
        <f>E4</f>
        <v>13.0113</v>
      </c>
      <c r="O4">
        <f>J4</f>
        <v>14.0848</v>
      </c>
    </row>
    <row r="5" spans="2:15">
      <c r="B5" s="1">
        <v>0.1</v>
      </c>
      <c r="C5" s="1">
        <f>ROUND(AVERAGE(seed1!C5,seed2!C5,seed3!C5,seed4!C5,seed5!C5,seed6!C5,seed7!C5,seed8!C5,seed9!C5,seed10!C5),4)</f>
        <v>12.7005</v>
      </c>
      <c r="D5" s="1">
        <f>ROUND(AVERAGE(seed1!D5,seed2!D5,seed3!D5,seed4!D5,seed5!D5,seed6!D5,seed7!D5,seed8!D5,seed9!D5,seed10!D5),4)</f>
        <v>13.536899999999999</v>
      </c>
      <c r="E5" s="1">
        <f>ROUND(AVERAGE(seed1!E5,seed2!E5,seed3!E5,seed4!E5,seed5!E5,seed6!E5,seed7!E5,seed8!E5,seed9!E5,seed10!E5),4)</f>
        <v>13.064299999999999</v>
      </c>
      <c r="F5" s="1"/>
      <c r="G5" s="1">
        <v>0.1</v>
      </c>
      <c r="H5" s="1">
        <f>ROUND(AVERAGE(seed1!H5,seed2!H5,seed3!H5,seed4!H5,seed5!H5,seed6!H5,seed7!H5,seed8!H5,seed9!H5,seed10!H5),4)</f>
        <v>14.4458</v>
      </c>
      <c r="I5" s="1">
        <f>ROUND(AVERAGE(seed1!I5,seed2!I5,seed3!I5,seed4!I5,seed5!I5,seed6!I5,seed7!I5,seed8!I5,seed9!I5,seed10!I5),4)</f>
        <v>14.2905</v>
      </c>
      <c r="J5" s="1">
        <f>ROUND(AVERAGE(seed1!J5,seed2!J5,seed3!J5,seed4!J5,seed5!J5,seed6!J5,seed7!J5,seed8!J5,seed9!J5,seed10!J5),4)</f>
        <v>14.362500000000001</v>
      </c>
      <c r="M5">
        <v>0.1</v>
      </c>
      <c r="N5">
        <f t="shared" ref="N5:N14" si="0">E5</f>
        <v>13.064299999999999</v>
      </c>
      <c r="O5">
        <f t="shared" ref="O5:O14" si="1">J5</f>
        <v>14.362500000000001</v>
      </c>
    </row>
    <row r="6" spans="2:15">
      <c r="B6" s="1">
        <v>0.2</v>
      </c>
      <c r="C6" s="1">
        <f>ROUND(AVERAGE(seed1!C6,seed2!C6,seed3!C6,seed4!C6,seed5!C6,seed6!C6,seed7!C6,seed8!C6,seed9!C6,seed10!C6),4)</f>
        <v>11.6798</v>
      </c>
      <c r="D6" s="1">
        <f>ROUND(AVERAGE(seed1!D6,seed2!D6,seed3!D6,seed4!D6,seed5!D6,seed6!D6,seed7!D6,seed8!D6,seed9!D6,seed10!D6),4)</f>
        <v>15.273999999999999</v>
      </c>
      <c r="E6" s="1">
        <f>ROUND(AVERAGE(seed1!E6,seed2!E6,seed3!E6,seed4!E6,seed5!E6,seed6!E6,seed7!E6,seed8!E6,seed9!E6,seed10!E6),4)</f>
        <v>13.271100000000001</v>
      </c>
      <c r="F6" s="1"/>
      <c r="G6" s="1">
        <v>0.2</v>
      </c>
      <c r="H6" s="1">
        <f>ROUND(AVERAGE(seed1!H6,seed2!H6,seed3!H6,seed4!H6,seed5!H6,seed6!H6,seed7!H6,seed8!H6,seed9!H6,seed10!H6),4)</f>
        <v>14.090999999999999</v>
      </c>
      <c r="I6" s="1">
        <f>ROUND(AVERAGE(seed1!I6,seed2!I6,seed3!I6,seed4!I6,seed5!I6,seed6!I6,seed7!I6,seed8!I6,seed9!I6,seed10!I6),4)</f>
        <v>15.6058</v>
      </c>
      <c r="J6" s="1">
        <f>ROUND(AVERAGE(seed1!J6,seed2!J6,seed3!J6,seed4!J6,seed5!J6,seed6!J6,seed7!J6,seed8!J6,seed9!J6,seed10!J6),4)</f>
        <v>14.7773</v>
      </c>
      <c r="M6">
        <v>0.2</v>
      </c>
      <c r="N6">
        <f t="shared" si="0"/>
        <v>13.271100000000001</v>
      </c>
      <c r="O6">
        <f t="shared" si="1"/>
        <v>14.7773</v>
      </c>
    </row>
    <row r="7" spans="2:15">
      <c r="B7" s="1">
        <v>0.3</v>
      </c>
      <c r="C7" s="1">
        <f>ROUND(AVERAGE(seed1!C7,seed2!C7,seed3!C7,seed4!C7,seed5!C7,seed6!C7,seed7!C7,seed8!C7,seed9!C7,seed10!C7),4)</f>
        <v>11.0716</v>
      </c>
      <c r="D7" s="1">
        <f>ROUND(AVERAGE(seed1!D7,seed2!D7,seed3!D7,seed4!D7,seed5!D7,seed6!D7,seed7!D7,seed8!D7,seed9!D7,seed10!D7),4)</f>
        <v>15.8308</v>
      </c>
      <c r="E7" s="1">
        <f>ROUND(AVERAGE(seed1!E7,seed2!E7,seed3!E7,seed4!E7,seed5!E7,seed6!E7,seed7!E7,seed8!E7,seed9!E7,seed10!E7),4)</f>
        <v>13.148999999999999</v>
      </c>
      <c r="F7" s="1"/>
      <c r="G7" s="1">
        <v>0.3</v>
      </c>
      <c r="H7" s="1">
        <f>ROUND(AVERAGE(seed1!H7,seed2!H7,seed3!H7,seed4!H7,seed5!H7,seed6!H7,seed7!H7,seed8!H7,seed9!H7,seed10!H7),4)</f>
        <v>14.0943</v>
      </c>
      <c r="I7" s="1">
        <f>ROUND(AVERAGE(seed1!I7,seed2!I7,seed3!I7,seed4!I7,seed5!I7,seed6!I7,seed7!I7,seed8!I7,seed9!I7,seed10!I7),4)</f>
        <v>15.974600000000001</v>
      </c>
      <c r="J7" s="1">
        <f>ROUND(AVERAGE(seed1!J7,seed2!J7,seed3!J7,seed4!J7,seed5!J7,seed6!J7,seed7!J7,seed8!J7,seed9!J7,seed10!J7),4)</f>
        <v>14.944800000000001</v>
      </c>
      <c r="M7">
        <v>0.3</v>
      </c>
      <c r="N7">
        <f t="shared" si="0"/>
        <v>13.148999999999999</v>
      </c>
      <c r="O7">
        <f t="shared" si="1"/>
        <v>14.944800000000001</v>
      </c>
    </row>
    <row r="8" spans="2:15">
      <c r="B8" s="1">
        <v>0.4</v>
      </c>
      <c r="C8" s="1">
        <f>ROUND(AVERAGE(seed1!C8,seed2!C8,seed3!C8,seed4!C8,seed5!C8,seed6!C8,seed7!C8,seed8!C8,seed9!C8,seed10!C8),4)</f>
        <v>10.722899999999999</v>
      </c>
      <c r="D8" s="1">
        <f>ROUND(AVERAGE(seed1!D8,seed2!D8,seed3!D8,seed4!D8,seed5!D8,seed6!D8,seed7!D8,seed8!D8,seed9!D8,seed10!D8),4)</f>
        <v>16.417100000000001</v>
      </c>
      <c r="E8" s="1">
        <f>ROUND(AVERAGE(seed1!E8,seed2!E8,seed3!E8,seed4!E8,seed5!E8,seed6!E8,seed7!E8,seed8!E8,seed9!E8,seed10!E8),4)</f>
        <v>13.1317</v>
      </c>
      <c r="F8" s="1"/>
      <c r="G8" s="1">
        <v>0.4</v>
      </c>
      <c r="H8" s="1">
        <f>ROUND(AVERAGE(seed1!H8,seed2!H8,seed3!H8,seed4!H8,seed5!H8,seed6!H8,seed7!H8,seed8!H8,seed9!H8,seed10!H8),4)</f>
        <v>12.993600000000001</v>
      </c>
      <c r="I8" s="1">
        <f>ROUND(AVERAGE(seed1!I8,seed2!I8,seed3!I8,seed4!I8,seed5!I8,seed6!I8,seed7!I8,seed8!I8,seed9!I8,seed10!I8),4)</f>
        <v>16.382899999999999</v>
      </c>
      <c r="J8" s="1">
        <f>ROUND(AVERAGE(seed1!J8,seed2!J8,seed3!J8,seed4!J8,seed5!J8,seed6!J8,seed7!J8,seed8!J8,seed9!J8,seed10!J8),4)</f>
        <v>14.4899</v>
      </c>
      <c r="M8">
        <v>0.4</v>
      </c>
      <c r="N8">
        <f t="shared" si="0"/>
        <v>13.1317</v>
      </c>
      <c r="O8">
        <f t="shared" si="1"/>
        <v>14.4899</v>
      </c>
    </row>
    <row r="9" spans="2:15">
      <c r="B9" s="1">
        <v>0.5</v>
      </c>
      <c r="C9" s="1">
        <f>ROUND(AVERAGE(seed1!C9,seed2!C9,seed3!C9,seed4!C9,seed5!C9,seed6!C9,seed7!C9,seed8!C9,seed9!C9,seed10!C9),4)</f>
        <v>9.1961999999999993</v>
      </c>
      <c r="D9" s="1">
        <f>ROUND(AVERAGE(seed1!D9,seed2!D9,seed3!D9,seed4!D9,seed5!D9,seed6!D9,seed7!D9,seed8!D9,seed9!D9,seed10!D9),4)</f>
        <v>16.6191</v>
      </c>
      <c r="E9" s="1">
        <f>ROUND(AVERAGE(seed1!E9,seed2!E9,seed3!E9,seed4!E9,seed5!E9,seed6!E9,seed7!E9,seed8!E9,seed9!E9,seed10!E9),4)</f>
        <v>12.233499999999999</v>
      </c>
      <c r="F9" s="1"/>
      <c r="G9" s="1">
        <v>0.5</v>
      </c>
      <c r="H9" s="1">
        <f>ROUND(AVERAGE(seed1!H9,seed2!H9,seed3!H9,seed4!H9,seed5!H9,seed6!H9,seed7!H9,seed8!H9,seed9!H9,seed10!H9),4)</f>
        <v>11.9427</v>
      </c>
      <c r="I9" s="1">
        <f>ROUND(AVERAGE(seed1!I9,seed2!I9,seed3!I9,seed4!I9,seed5!I9,seed6!I9,seed7!I9,seed8!I9,seed9!I9,seed10!I9),4)</f>
        <v>16.596900000000002</v>
      </c>
      <c r="J9" s="1">
        <f>ROUND(AVERAGE(seed1!J9,seed2!J9,seed3!J9,seed4!J9,seed5!J9,seed6!J9,seed7!J9,seed8!J9,seed9!J9,seed10!J9),4)</f>
        <v>13.96</v>
      </c>
      <c r="M9">
        <v>0.5</v>
      </c>
      <c r="N9">
        <f t="shared" si="0"/>
        <v>12.233499999999999</v>
      </c>
      <c r="O9">
        <f t="shared" si="1"/>
        <v>13.96</v>
      </c>
    </row>
    <row r="10" spans="2:15">
      <c r="B10" s="1">
        <v>0.6</v>
      </c>
      <c r="C10" s="1">
        <f>ROUND(AVERAGE(seed1!C10,seed2!C10,seed3!C10,seed4!C10,seed5!C10,seed6!C10,seed7!C10,seed8!C10,seed9!C10,seed10!C10),4)</f>
        <v>8.6836000000000002</v>
      </c>
      <c r="D10" s="1">
        <f>ROUND(AVERAGE(seed1!D10,seed2!D10,seed3!D10,seed4!D10,seed5!D10,seed6!D10,seed7!D10,seed8!D10,seed9!D10,seed10!D10),4)</f>
        <v>16.6206</v>
      </c>
      <c r="E10" s="1">
        <f>ROUND(AVERAGE(seed1!E10,seed2!E10,seed3!E10,seed4!E10,seed5!E10,seed6!E10,seed7!E10,seed8!E10,seed9!E10,seed10!E10),4)</f>
        <v>11.877599999999999</v>
      </c>
      <c r="F10" s="1"/>
      <c r="G10" s="1">
        <v>0.6</v>
      </c>
      <c r="H10" s="1">
        <f>ROUND(AVERAGE(seed1!H10,seed2!H10,seed3!H10,seed4!H10,seed5!H10,seed6!H10,seed7!H10,seed8!H10,seed9!H10,seed10!H10),4)</f>
        <v>11.766400000000001</v>
      </c>
      <c r="I10" s="1">
        <f>ROUND(AVERAGE(seed1!I10,seed2!I10,seed3!I10,seed4!I10,seed5!I10,seed6!I10,seed7!I10,seed8!I10,seed9!I10,seed10!I10),4)</f>
        <v>16.634</v>
      </c>
      <c r="J10" s="1">
        <f>ROUND(AVERAGE(seed1!J10,seed2!J10,seed3!J10,seed4!J10,seed5!J10,seed6!J10,seed7!J10,seed8!J10,seed9!J10,seed10!J10),4)</f>
        <v>13.8619</v>
      </c>
      <c r="M10">
        <v>0.6</v>
      </c>
      <c r="N10">
        <f t="shared" si="0"/>
        <v>11.877599999999999</v>
      </c>
      <c r="O10">
        <f t="shared" si="1"/>
        <v>13.8619</v>
      </c>
    </row>
    <row r="11" spans="2:15">
      <c r="B11" s="1">
        <v>0.7</v>
      </c>
      <c r="C11" s="1">
        <f>ROUND(AVERAGE(seed1!C11,seed2!C11,seed3!C11,seed4!C11,seed5!C11,seed6!C11,seed7!C11,seed8!C11,seed9!C11,seed10!C11),4)</f>
        <v>8.4542999999999999</v>
      </c>
      <c r="D11" s="1">
        <f>ROUND(AVERAGE(seed1!D11,seed2!D11,seed3!D11,seed4!D11,seed5!D11,seed6!D11,seed7!D11,seed8!D11,seed9!D11,seed10!D11),4)</f>
        <v>16.625599999999999</v>
      </c>
      <c r="E11" s="1">
        <f>ROUND(AVERAGE(seed1!E11,seed2!E11,seed3!E11,seed4!E11,seed5!E11,seed6!E11,seed7!E11,seed8!E11,seed9!E11,seed10!E11),4)</f>
        <v>11.7247</v>
      </c>
      <c r="F11" s="1"/>
      <c r="G11" s="1">
        <v>0.7</v>
      </c>
      <c r="H11" s="1">
        <f>ROUND(AVERAGE(seed1!H11,seed2!H11,seed3!H11,seed4!H11,seed5!H11,seed6!H11,seed7!H11,seed8!H11,seed9!H11,seed10!H11),4)</f>
        <v>11.7323</v>
      </c>
      <c r="I11" s="1">
        <f>ROUND(AVERAGE(seed1!I11,seed2!I11,seed3!I11,seed4!I11,seed5!I11,seed6!I11,seed7!I11,seed8!I11,seed9!I11,seed10!I11),4)</f>
        <v>16.656300000000002</v>
      </c>
      <c r="J11" s="1">
        <f>ROUND(AVERAGE(seed1!J11,seed2!J11,seed3!J11,seed4!J11,seed5!J11,seed6!J11,seed7!J11,seed8!J11,seed9!J11,seed10!J11),4)</f>
        <v>13.852399999999999</v>
      </c>
      <c r="M11">
        <v>0.7</v>
      </c>
      <c r="N11">
        <f t="shared" si="0"/>
        <v>11.7247</v>
      </c>
      <c r="O11">
        <f t="shared" si="1"/>
        <v>13.852399999999999</v>
      </c>
    </row>
    <row r="12" spans="2:15">
      <c r="B12" s="1">
        <v>0.8</v>
      </c>
      <c r="C12" s="1">
        <f>ROUND(AVERAGE(seed1!C12,seed2!C12,seed3!C12,seed4!C12,seed5!C12,seed6!C12,seed7!C12,seed8!C12,seed9!C12,seed10!C12),4)</f>
        <v>8.4542999999999999</v>
      </c>
      <c r="D12" s="1">
        <f>ROUND(AVERAGE(seed1!D12,seed2!D12,seed3!D12,seed4!D12,seed5!D12,seed6!D12,seed7!D12,seed8!D12,seed9!D12,seed10!D12),4)</f>
        <v>16.625599999999999</v>
      </c>
      <c r="E12" s="1">
        <f>ROUND(AVERAGE(seed1!E12,seed2!E12,seed3!E12,seed4!E12,seed5!E12,seed6!E12,seed7!E12,seed8!E12,seed9!E12,seed10!E12),4)</f>
        <v>11.7247</v>
      </c>
      <c r="F12" s="1"/>
      <c r="G12" s="1">
        <v>0.8</v>
      </c>
      <c r="H12" s="1">
        <f>ROUND(AVERAGE(seed1!H12,seed2!H12,seed3!H12,seed4!H12,seed5!H12,seed6!H12,seed7!H12,seed8!H12,seed9!H12,seed10!H12),4)</f>
        <v>11.710100000000001</v>
      </c>
      <c r="I12" s="1">
        <f>ROUND(AVERAGE(seed1!I12,seed2!I12,seed3!I12,seed4!I12,seed5!I12,seed6!I12,seed7!I12,seed8!I12,seed9!I12,seed10!I12),4)</f>
        <v>16.670000000000002</v>
      </c>
      <c r="J12" s="1">
        <f>ROUND(AVERAGE(seed1!J12,seed2!J12,seed3!J12,seed4!J12,seed5!J12,seed6!J12,seed7!J12,seed8!J12,seed9!J12,seed10!J12),4)</f>
        <v>13.8446</v>
      </c>
      <c r="M12">
        <v>0.8</v>
      </c>
      <c r="N12">
        <f t="shared" si="0"/>
        <v>11.7247</v>
      </c>
      <c r="O12">
        <f t="shared" si="1"/>
        <v>13.8446</v>
      </c>
    </row>
    <row r="13" spans="2:15">
      <c r="B13" s="1">
        <v>0.9</v>
      </c>
      <c r="C13" s="1">
        <f>ROUND(AVERAGE(seed1!C13,seed2!C13,seed3!C13,seed4!C13,seed5!C13,seed6!C13,seed7!C13,seed8!C13,seed9!C13,seed10!C13),4)</f>
        <v>8.4542999999999999</v>
      </c>
      <c r="D13" s="1">
        <f>ROUND(AVERAGE(seed1!D13,seed2!D13,seed3!D13,seed4!D13,seed5!D13,seed6!D13,seed7!D13,seed8!D13,seed9!D13,seed10!D13),4)</f>
        <v>16.625599999999999</v>
      </c>
      <c r="E13" s="1">
        <f>ROUND(AVERAGE(seed1!E13,seed2!E13,seed3!E13,seed4!E13,seed5!E13,seed6!E13,seed7!E13,seed8!E13,seed9!E13,seed10!E13),4)</f>
        <v>11.7247</v>
      </c>
      <c r="F13" s="1"/>
      <c r="G13" s="1">
        <v>0.9</v>
      </c>
      <c r="H13" s="1">
        <f>ROUND(AVERAGE(seed1!H13,seed2!H13,seed3!H13,seed4!H13,seed5!H13,seed6!H13,seed7!H13,seed8!H13,seed9!H13,seed10!H13),4)</f>
        <v>11.710100000000001</v>
      </c>
      <c r="I13" s="1">
        <f>ROUND(AVERAGE(seed1!I13,seed2!I13,seed3!I13,seed4!I13,seed5!I13,seed6!I13,seed7!I13,seed8!I13,seed9!I13,seed10!I13),4)</f>
        <v>16.670000000000002</v>
      </c>
      <c r="J13" s="1">
        <f>ROUND(AVERAGE(seed1!J13,seed2!J13,seed3!J13,seed4!J13,seed5!J13,seed6!J13,seed7!J13,seed8!J13,seed9!J13,seed10!J13),4)</f>
        <v>13.8446</v>
      </c>
      <c r="M13">
        <v>0.9</v>
      </c>
      <c r="N13">
        <f t="shared" si="0"/>
        <v>11.7247</v>
      </c>
      <c r="O13">
        <f t="shared" si="1"/>
        <v>13.8446</v>
      </c>
    </row>
    <row r="14" spans="2:15">
      <c r="B14" s="1">
        <v>1</v>
      </c>
      <c r="C14" s="1">
        <f>ROUND(AVERAGE(seed1!C14,seed2!C14,seed3!C14,seed4!C14,seed5!C14,seed6!C14,seed7!C14,seed8!C14,seed9!C14,seed10!C14),4)</f>
        <v>8.4542999999999999</v>
      </c>
      <c r="D14" s="1">
        <f>ROUND(AVERAGE(seed1!D14,seed2!D14,seed3!D14,seed4!D14,seed5!D14,seed6!D14,seed7!D14,seed8!D14,seed9!D14,seed10!D14),4)</f>
        <v>16.625599999999999</v>
      </c>
      <c r="E14" s="1">
        <f>ROUND(AVERAGE(seed1!E14,seed2!E14,seed3!E14,seed4!E14,seed5!E14,seed6!E14,seed7!E14,seed8!E14,seed9!E14,seed10!E14),4)</f>
        <v>11.7247</v>
      </c>
      <c r="F14" s="1"/>
      <c r="G14" s="1">
        <v>1</v>
      </c>
      <c r="H14" s="1">
        <f>ROUND(AVERAGE(seed1!H14,seed2!H14,seed3!H14,seed4!H14,seed5!H14,seed6!H14,seed7!H14,seed8!H14,seed9!H14,seed10!H14),4)</f>
        <v>11.710100000000001</v>
      </c>
      <c r="I14" s="1">
        <f>ROUND(AVERAGE(seed1!I14,seed2!I14,seed3!I14,seed4!I14,seed5!I14,seed6!I14,seed7!I14,seed8!I14,seed9!I14,seed10!I14),4)</f>
        <v>16.670000000000002</v>
      </c>
      <c r="J14" s="1">
        <f>ROUND(AVERAGE(seed1!J14,seed2!J14,seed3!J14,seed4!J14,seed5!J14,seed6!J14,seed7!J14,seed8!J14,seed9!J14,seed10!J14),4)</f>
        <v>13.8446</v>
      </c>
      <c r="M14">
        <v>1</v>
      </c>
      <c r="N14">
        <f t="shared" si="0"/>
        <v>11.7247</v>
      </c>
      <c r="O14">
        <f t="shared" si="1"/>
        <v>13.8446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seed1</vt:lpstr>
      <vt:lpstr>seed2</vt:lpstr>
      <vt:lpstr>seed3</vt:lpstr>
      <vt:lpstr>seed4</vt:lpstr>
      <vt:lpstr>seed5</vt:lpstr>
      <vt:lpstr>average1-5</vt:lpstr>
      <vt:lpstr>seed6</vt:lpstr>
      <vt:lpstr>seed7</vt:lpstr>
      <vt:lpstr>seed8</vt:lpstr>
      <vt:lpstr>seed9</vt:lpstr>
      <vt:lpstr>seed10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2023-12-08T05:18:24Z</dcterms:created>
  <dcterms:modified xsi:type="dcterms:W3CDTF">2023-12-11T14:35:08Z</dcterms:modified>
</cp:coreProperties>
</file>