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32BE3EA3-4988-B743-A7B5-4DAABE1439CB}" xr6:coauthVersionLast="47" xr6:coauthVersionMax="47" xr10:uidLastSave="{00000000-0000-0000-0000-000000000000}"/>
  <bookViews>
    <workbookView xWindow="0" yWindow="0" windowWidth="28800" windowHeight="18000" firstSheet="8" activeTab="11" xr2:uid="{B91D2EED-9489-614D-9D09-2B2AF96C1586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average1-5" sheetId="6" r:id="rId6"/>
    <sheet name="seed1_90s" sheetId="7" r:id="rId7"/>
    <sheet name="seed2_90s" sheetId="8" r:id="rId8"/>
    <sheet name="seed3_90s" sheetId="9" r:id="rId9"/>
    <sheet name="seed4_90s" sheetId="10" r:id="rId10"/>
    <sheet name="seed5_90s" sheetId="11" r:id="rId11"/>
    <sheet name="seed6_90s" sheetId="12" r:id="rId12"/>
    <sheet name="average1-6" sheetId="13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3" l="1"/>
  <c r="K33" i="13"/>
  <c r="J29" i="13"/>
  <c r="K29" i="13"/>
  <c r="J25" i="13"/>
  <c r="K25" i="13"/>
  <c r="J21" i="13"/>
  <c r="K21" i="13"/>
  <c r="J16" i="13"/>
  <c r="K16" i="13"/>
  <c r="J12" i="13"/>
  <c r="K12" i="13"/>
  <c r="J8" i="13"/>
  <c r="K8" i="13"/>
  <c r="J4" i="13"/>
  <c r="K4" i="13"/>
  <c r="I33" i="13"/>
  <c r="I29" i="13"/>
  <c r="I25" i="13"/>
  <c r="I21" i="13"/>
  <c r="I16" i="13"/>
  <c r="I12" i="13"/>
  <c r="I8" i="13"/>
  <c r="I4" i="13"/>
  <c r="J29" i="6"/>
  <c r="K29" i="6"/>
  <c r="J25" i="6"/>
  <c r="K25" i="6"/>
  <c r="J12" i="6"/>
  <c r="K12" i="6"/>
  <c r="J8" i="6"/>
  <c r="K8" i="6"/>
  <c r="J33" i="6" l="1"/>
  <c r="K33" i="6"/>
  <c r="J16" i="6"/>
  <c r="K16" i="6"/>
  <c r="N27" i="6"/>
  <c r="O27" i="6"/>
  <c r="P27" i="6"/>
  <c r="N28" i="6"/>
  <c r="O28" i="6"/>
  <c r="P28" i="6"/>
  <c r="O26" i="6"/>
  <c r="P26" i="6"/>
  <c r="N10" i="6"/>
  <c r="O10" i="6"/>
  <c r="P10" i="6"/>
  <c r="N11" i="6"/>
  <c r="O11" i="6"/>
  <c r="P11" i="6"/>
  <c r="O9" i="6"/>
  <c r="P9" i="6"/>
  <c r="N9" i="6"/>
  <c r="N26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D21" i="6"/>
  <c r="E21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D4" i="6"/>
  <c r="E4" i="6"/>
  <c r="C4" i="6"/>
  <c r="C21" i="6"/>
  <c r="I33" i="6"/>
  <c r="I29" i="6"/>
  <c r="I25" i="6"/>
  <c r="J21" i="6"/>
  <c r="K21" i="6"/>
  <c r="I21" i="6"/>
  <c r="I16" i="6"/>
  <c r="I12" i="6"/>
  <c r="I8" i="6"/>
  <c r="J4" i="6"/>
  <c r="K4" i="6"/>
  <c r="I4" i="6"/>
</calcChain>
</file>

<file path=xl/sharedStrings.xml><?xml version="1.0" encoding="utf-8"?>
<sst xmlns="http://schemas.openxmlformats.org/spreadsheetml/2006/main" count="875" uniqueCount="34">
  <si>
    <t>α</t>
  </si>
  <si>
    <t>vehicle0</t>
  </si>
  <si>
    <t>vehicle1</t>
  </si>
  <si>
    <t>all</t>
  </si>
  <si>
    <t>合流200m手前（後続110）</t>
  </si>
  <si>
    <t>合流200m手前（後続110）</t>
    <phoneticPr fontId="2"/>
  </si>
  <si>
    <t>分母v_DT</t>
  </si>
  <si>
    <t>10秒後</t>
  </si>
  <si>
    <t>の予定</t>
  </si>
  <si>
    <t>の予定</t>
    <phoneticPr fontId="2"/>
  </si>
  <si>
    <t>加藤さん</t>
  </si>
  <si>
    <t>加藤さん</t>
    <rPh sb="0" eb="2">
      <t>カトウ</t>
    </rPh>
    <phoneticPr fontId="2"/>
  </si>
  <si>
    <t>cav0_speed</t>
  </si>
  <si>
    <t>cav0_speed</t>
    <phoneticPr fontId="2"/>
  </si>
  <si>
    <t>cav1_speed</t>
  </si>
  <si>
    <t>cav1_speed</t>
    <phoneticPr fontId="2"/>
  </si>
  <si>
    <t>all_speed</t>
  </si>
  <si>
    <t>all_speed</t>
    <phoneticPr fontId="2"/>
  </si>
  <si>
    <t>PriMa20%</t>
  </si>
  <si>
    <t>PriMa20%</t>
    <phoneticPr fontId="2"/>
  </si>
  <si>
    <t>PriMa40%</t>
  </si>
  <si>
    <t>PriMa40%</t>
    <phoneticPr fontId="2"/>
  </si>
  <si>
    <t>1000/1000</t>
  </si>
  <si>
    <t>1000/1000</t>
    <phoneticPr fontId="2"/>
  </si>
  <si>
    <t>全て受け入れ</t>
  </si>
  <si>
    <t>全て受け入れ</t>
    <rPh sb="0" eb="1">
      <t>スベテ</t>
    </rPh>
    <phoneticPr fontId="2"/>
  </si>
  <si>
    <t>(30s以降)</t>
  </si>
  <si>
    <t>(30s以降)</t>
    <rPh sb="4" eb="6">
      <t>イコウ</t>
    </rPh>
    <phoneticPr fontId="2"/>
  </si>
  <si>
    <t>分母v_max</t>
    <phoneticPr fontId="2"/>
  </si>
  <si>
    <t>excel12分布</t>
    <rPh sb="7" eb="9">
      <t>ブn</t>
    </rPh>
    <phoneticPr fontId="2"/>
  </si>
  <si>
    <t>線形、v_max</t>
    <rPh sb="0" eb="2">
      <t>センケイ</t>
    </rPh>
    <phoneticPr fontId="2"/>
  </si>
  <si>
    <t>線形、v_DT</t>
    <rPh sb="0" eb="2">
      <t>センケイ</t>
    </rPh>
    <phoneticPr fontId="2"/>
  </si>
  <si>
    <t>2次、v_max</t>
    <rPh sb="1" eb="2">
      <t xml:space="preserve">ジ </t>
    </rPh>
    <phoneticPr fontId="2"/>
  </si>
  <si>
    <t>2次、v_DT</t>
    <rPh sb="1" eb="2">
      <t xml:space="preserve">ジ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</si>
</sst>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B03D-98B6-654F-A858-735A7BFBD3CE}">
  <dimension ref="B2:Q33"/>
  <sheetViews>
    <sheetView topLeftCell="B1" workbookViewId="0">
      <selection activeCell="K30" sqref="K30"/>
    </sheetView>
  </sheetViews>
  <sheetFormatPr baseColWidth="10" defaultRowHeight="20"/>
  <sheetData>
    <row r="2" spans="2:17">
      <c r="B2" s="1"/>
      <c r="C2" s="1" t="s">
        <v>5</v>
      </c>
      <c r="D2" s="1"/>
      <c r="E2" s="1"/>
      <c r="F2" s="1" t="s">
        <v>6</v>
      </c>
      <c r="G2" t="s">
        <v>9</v>
      </c>
      <c r="I2" t="s">
        <v>11</v>
      </c>
      <c r="M2" s="1"/>
      <c r="N2" s="1" t="s">
        <v>5</v>
      </c>
      <c r="O2" s="1"/>
      <c r="P2" s="1"/>
      <c r="Q2" s="1" t="s">
        <v>28</v>
      </c>
    </row>
    <row r="3" spans="2:17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I3" s="1" t="s">
        <v>17</v>
      </c>
      <c r="J3" s="1" t="s">
        <v>13</v>
      </c>
      <c r="K3" s="1" t="s">
        <v>15</v>
      </c>
      <c r="M3" s="1" t="s">
        <v>0</v>
      </c>
      <c r="N3" s="1" t="s">
        <v>1</v>
      </c>
      <c r="O3" s="1" t="s">
        <v>2</v>
      </c>
      <c r="P3" s="1" t="s">
        <v>3</v>
      </c>
      <c r="Q3" s="1" t="s">
        <v>7</v>
      </c>
    </row>
    <row r="4" spans="2:17">
      <c r="B4" s="1">
        <v>0</v>
      </c>
      <c r="C4" s="1"/>
      <c r="D4" s="1"/>
      <c r="E4" s="1"/>
      <c r="I4">
        <v>14.257199999999999</v>
      </c>
      <c r="J4">
        <v>12.4376</v>
      </c>
      <c r="K4">
        <v>16.476099999999999</v>
      </c>
      <c r="M4" s="1">
        <v>0</v>
      </c>
      <c r="N4" s="1"/>
      <c r="O4" s="1"/>
      <c r="P4" s="1"/>
    </row>
    <row r="5" spans="2:17">
      <c r="B5" s="1">
        <v>0.1</v>
      </c>
      <c r="C5" s="1"/>
      <c r="D5" s="1"/>
      <c r="E5" s="1"/>
      <c r="M5" s="1">
        <v>0.1</v>
      </c>
      <c r="N5" s="1"/>
      <c r="O5" s="1"/>
      <c r="P5" s="1"/>
    </row>
    <row r="6" spans="2:17">
      <c r="B6" s="1">
        <v>0.2</v>
      </c>
      <c r="C6" s="1"/>
      <c r="D6" s="1"/>
      <c r="E6" s="1"/>
      <c r="I6" t="s">
        <v>19</v>
      </c>
      <c r="M6" s="1">
        <v>0.2</v>
      </c>
      <c r="N6" s="1"/>
      <c r="O6" s="1"/>
      <c r="P6" s="1"/>
    </row>
    <row r="7" spans="2:17">
      <c r="B7" s="2">
        <v>0.3</v>
      </c>
      <c r="C7" s="1">
        <v>14.724299999999999</v>
      </c>
      <c r="D7" s="1">
        <v>13.223699999999999</v>
      </c>
      <c r="E7" s="1">
        <v>13.982900000000001</v>
      </c>
      <c r="I7" s="1" t="s">
        <v>17</v>
      </c>
      <c r="J7" s="1" t="s">
        <v>13</v>
      </c>
      <c r="K7" s="1" t="s">
        <v>15</v>
      </c>
      <c r="M7" s="2">
        <v>0.3</v>
      </c>
      <c r="N7" s="1">
        <v>14.7234</v>
      </c>
      <c r="O7" s="1">
        <v>13.226900000000001</v>
      </c>
      <c r="P7" s="1">
        <v>13.984</v>
      </c>
    </row>
    <row r="8" spans="2:17">
      <c r="B8" s="2">
        <v>0.4</v>
      </c>
      <c r="C8" s="1">
        <v>14.467000000000001</v>
      </c>
      <c r="D8" s="1">
        <v>13.4826</v>
      </c>
      <c r="E8" s="1">
        <v>13.980600000000001</v>
      </c>
      <c r="I8">
        <v>13.4038</v>
      </c>
      <c r="J8">
        <v>10.9337</v>
      </c>
      <c r="K8">
        <v>16.670000000000002</v>
      </c>
      <c r="M8" s="2">
        <v>0.4</v>
      </c>
      <c r="N8" s="1">
        <v>14.410299999999999</v>
      </c>
      <c r="O8" s="1">
        <v>13.669700000000001</v>
      </c>
      <c r="P8" s="1">
        <v>14.0444</v>
      </c>
    </row>
    <row r="9" spans="2:17">
      <c r="B9" s="2">
        <v>0.5</v>
      </c>
      <c r="C9" s="1">
        <v>14.2423</v>
      </c>
      <c r="D9" s="1">
        <v>14.4183</v>
      </c>
      <c r="E9" s="1">
        <v>14.328200000000001</v>
      </c>
      <c r="M9" s="2">
        <v>0.5</v>
      </c>
      <c r="N9" s="1">
        <v>14.2668</v>
      </c>
      <c r="O9" s="1">
        <v>14.979100000000001</v>
      </c>
      <c r="P9" s="1">
        <v>14.6145</v>
      </c>
    </row>
    <row r="10" spans="2:17">
      <c r="B10" s="2">
        <v>0.6</v>
      </c>
      <c r="C10" s="1">
        <v>13.7125</v>
      </c>
      <c r="D10" s="1">
        <v>16.253299999999999</v>
      </c>
      <c r="E10" s="1">
        <v>14.892300000000001</v>
      </c>
      <c r="I10" t="s">
        <v>21</v>
      </c>
      <c r="M10" s="2">
        <v>0.6</v>
      </c>
      <c r="N10" s="1">
        <v>13.4536</v>
      </c>
      <c r="O10" s="1">
        <v>16.410900000000002</v>
      </c>
      <c r="P10" s="1">
        <v>14.825200000000001</v>
      </c>
    </row>
    <row r="11" spans="2:17">
      <c r="B11" s="2">
        <v>0.7</v>
      </c>
      <c r="C11" s="1">
        <v>13.2056</v>
      </c>
      <c r="D11" s="1">
        <v>16.4924</v>
      </c>
      <c r="E11" s="1">
        <v>14.7164</v>
      </c>
      <c r="I11" s="1" t="s">
        <v>17</v>
      </c>
      <c r="J11" s="1" t="s">
        <v>13</v>
      </c>
      <c r="K11" s="1" t="s">
        <v>15</v>
      </c>
      <c r="M11" s="2">
        <v>0.7</v>
      </c>
      <c r="N11" s="1">
        <v>13.188499999999999</v>
      </c>
      <c r="O11" s="1">
        <v>16.522300000000001</v>
      </c>
      <c r="P11" s="1">
        <v>14.7209</v>
      </c>
    </row>
    <row r="12" spans="2:17">
      <c r="B12" s="1">
        <v>0.8</v>
      </c>
      <c r="C12" s="1"/>
      <c r="D12" s="1"/>
      <c r="E12" s="1"/>
      <c r="I12">
        <v>14.487</v>
      </c>
      <c r="J12">
        <v>13.068</v>
      </c>
      <c r="K12">
        <v>16.134399999999999</v>
      </c>
      <c r="M12" s="1">
        <v>0.8</v>
      </c>
      <c r="N12" s="1"/>
      <c r="O12" s="1"/>
      <c r="P12" s="1"/>
    </row>
    <row r="13" spans="2:17">
      <c r="B13" s="1">
        <v>0.9</v>
      </c>
      <c r="C13" s="1"/>
      <c r="D13" s="1"/>
      <c r="E13" s="1"/>
      <c r="M13" s="1">
        <v>0.9</v>
      </c>
      <c r="N13" s="1"/>
      <c r="O13" s="1"/>
      <c r="P13" s="1"/>
    </row>
    <row r="14" spans="2:17">
      <c r="B14" s="1">
        <v>1</v>
      </c>
      <c r="C14" s="1"/>
      <c r="D14" s="1"/>
      <c r="E14" s="1"/>
      <c r="I14" t="s">
        <v>25</v>
      </c>
      <c r="M14" s="1">
        <v>1</v>
      </c>
      <c r="N14" s="1"/>
      <c r="O14" s="1"/>
      <c r="P14" s="1"/>
    </row>
    <row r="15" spans="2:17">
      <c r="B15" s="1"/>
      <c r="C15" s="1"/>
      <c r="D15" s="1"/>
      <c r="E15" s="1"/>
      <c r="I15" s="1" t="s">
        <v>17</v>
      </c>
      <c r="J15" s="1" t="s">
        <v>13</v>
      </c>
      <c r="K15" s="1" t="s">
        <v>15</v>
      </c>
      <c r="M15" s="1"/>
      <c r="N15" s="1"/>
      <c r="O15" s="1"/>
      <c r="P15" s="1"/>
    </row>
    <row r="16" spans="2:17">
      <c r="E16" t="s">
        <v>23</v>
      </c>
      <c r="I16">
        <v>13.982900000000001</v>
      </c>
      <c r="J16">
        <v>14.724299999999999</v>
      </c>
      <c r="K16">
        <v>13.223699999999999</v>
      </c>
      <c r="P16" t="s">
        <v>23</v>
      </c>
    </row>
    <row r="19" spans="2:17">
      <c r="B19" s="1"/>
      <c r="C19" s="1" t="s">
        <v>5</v>
      </c>
      <c r="D19" s="1"/>
      <c r="E19" s="1" t="s">
        <v>27</v>
      </c>
      <c r="F19" s="1" t="s">
        <v>6</v>
      </c>
      <c r="G19" t="s">
        <v>9</v>
      </c>
      <c r="I19" t="s">
        <v>11</v>
      </c>
      <c r="M19" s="1"/>
      <c r="N19" s="1" t="s">
        <v>5</v>
      </c>
      <c r="O19" s="1"/>
      <c r="P19" s="1"/>
      <c r="Q19" s="1" t="s">
        <v>28</v>
      </c>
    </row>
    <row r="20" spans="2:17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I20" s="1" t="s">
        <v>17</v>
      </c>
      <c r="J20" s="1" t="s">
        <v>13</v>
      </c>
      <c r="K20" s="1" t="s">
        <v>15</v>
      </c>
      <c r="M20" s="1" t="s">
        <v>0</v>
      </c>
      <c r="N20" s="1" t="s">
        <v>1</v>
      </c>
      <c r="O20" s="1" t="s">
        <v>2</v>
      </c>
      <c r="P20" s="1" t="s">
        <v>3</v>
      </c>
      <c r="Q20" s="1" t="s">
        <v>7</v>
      </c>
    </row>
    <row r="21" spans="2:17">
      <c r="B21" s="1">
        <v>0</v>
      </c>
      <c r="C21" s="1"/>
      <c r="D21" s="1"/>
      <c r="E21" s="1"/>
      <c r="I21">
        <v>13.161300000000001</v>
      </c>
      <c r="J21">
        <v>10.580299999999999</v>
      </c>
      <c r="K21">
        <v>16.560099999999998</v>
      </c>
      <c r="M21" s="1">
        <v>0</v>
      </c>
      <c r="N21" s="1"/>
      <c r="O21" s="1"/>
      <c r="P21" s="1"/>
    </row>
    <row r="22" spans="2:17">
      <c r="B22" s="1">
        <v>0.1</v>
      </c>
      <c r="C22" s="1"/>
      <c r="D22" s="1"/>
      <c r="E22" s="1"/>
      <c r="M22" s="1">
        <v>0.1</v>
      </c>
      <c r="N22" s="1"/>
      <c r="O22" s="1"/>
      <c r="P22" s="1"/>
    </row>
    <row r="23" spans="2:17">
      <c r="B23" s="1">
        <v>0.2</v>
      </c>
      <c r="C23" s="1"/>
      <c r="D23" s="1"/>
      <c r="E23" s="1"/>
      <c r="I23" t="s">
        <v>19</v>
      </c>
      <c r="M23" s="1">
        <v>0.2</v>
      </c>
      <c r="N23" s="1"/>
      <c r="O23" s="1"/>
      <c r="P23" s="1"/>
    </row>
    <row r="24" spans="2:17">
      <c r="B24" s="2">
        <v>0.3</v>
      </c>
      <c r="C24" s="1">
        <v>13.8337</v>
      </c>
      <c r="D24" s="1">
        <v>11.6236</v>
      </c>
      <c r="E24" s="1">
        <v>12.7334</v>
      </c>
      <c r="I24" s="1" t="s">
        <v>17</v>
      </c>
      <c r="J24" s="1" t="s">
        <v>13</v>
      </c>
      <c r="K24" s="1" t="s">
        <v>15</v>
      </c>
      <c r="M24" s="2">
        <v>0.3</v>
      </c>
      <c r="N24" s="1">
        <v>13.8323</v>
      </c>
      <c r="O24" s="1">
        <v>11.628399999999999</v>
      </c>
      <c r="P24" s="1">
        <v>12.735099999999999</v>
      </c>
    </row>
    <row r="25" spans="2:17">
      <c r="B25" s="2">
        <v>0.4</v>
      </c>
      <c r="C25" s="1">
        <v>13.4381</v>
      </c>
      <c r="D25" s="1">
        <v>12.015700000000001</v>
      </c>
      <c r="E25" s="1">
        <v>12.723000000000001</v>
      </c>
      <c r="I25">
        <v>12.078200000000001</v>
      </c>
      <c r="J25">
        <v>8.9806000000000008</v>
      </c>
      <c r="K25">
        <v>16.670000000000002</v>
      </c>
      <c r="M25" s="2">
        <v>0.4</v>
      </c>
      <c r="N25" s="1">
        <v>13.351000000000001</v>
      </c>
      <c r="O25" s="1">
        <v>12.299200000000001</v>
      </c>
      <c r="P25" s="1">
        <v>12.827400000000001</v>
      </c>
    </row>
    <row r="26" spans="2:17">
      <c r="B26" s="2">
        <v>0.5</v>
      </c>
      <c r="C26" s="1">
        <v>13.1028</v>
      </c>
      <c r="D26" s="1">
        <v>13.4062</v>
      </c>
      <c r="E26" s="1">
        <v>13.251200000000001</v>
      </c>
      <c r="M26" s="2">
        <v>0.5</v>
      </c>
      <c r="N26" s="1">
        <v>13.1404</v>
      </c>
      <c r="O26" s="1">
        <v>14.263400000000001</v>
      </c>
      <c r="P26" s="1">
        <v>13.689500000000001</v>
      </c>
    </row>
    <row r="27" spans="2:17">
      <c r="B27" s="2">
        <v>0.6</v>
      </c>
      <c r="C27" s="1">
        <v>12.3665</v>
      </c>
      <c r="D27" s="1">
        <v>16.206900000000001</v>
      </c>
      <c r="E27" s="1">
        <v>14.103199999999999</v>
      </c>
      <c r="I27" t="s">
        <v>21</v>
      </c>
      <c r="M27" s="2">
        <v>0.6</v>
      </c>
      <c r="N27" s="1">
        <v>11.9771</v>
      </c>
      <c r="O27" s="1">
        <v>16.456</v>
      </c>
      <c r="P27" s="1">
        <v>13.9985</v>
      </c>
    </row>
    <row r="28" spans="2:17">
      <c r="B28" s="2">
        <v>0.7</v>
      </c>
      <c r="C28" s="1">
        <v>11.6305</v>
      </c>
      <c r="D28" s="1">
        <v>16.585799999999999</v>
      </c>
      <c r="E28" s="1">
        <v>13.835699999999999</v>
      </c>
      <c r="I28" s="1" t="s">
        <v>17</v>
      </c>
      <c r="J28" s="1" t="s">
        <v>13</v>
      </c>
      <c r="K28" s="1" t="s">
        <v>15</v>
      </c>
      <c r="M28" s="2">
        <v>0.7</v>
      </c>
      <c r="N28" s="1">
        <v>11.604900000000001</v>
      </c>
      <c r="O28" s="1">
        <v>16.633199999999999</v>
      </c>
      <c r="P28" s="1">
        <v>13.842599999999999</v>
      </c>
    </row>
    <row r="29" spans="2:17">
      <c r="B29" s="1">
        <v>0.8</v>
      </c>
      <c r="C29" s="1"/>
      <c r="D29" s="1"/>
      <c r="E29" s="1"/>
      <c r="I29">
        <v>13.496700000000001</v>
      </c>
      <c r="J29">
        <v>11.4321</v>
      </c>
      <c r="K29">
        <v>16.020499999999998</v>
      </c>
      <c r="M29" s="1">
        <v>0.8</v>
      </c>
      <c r="N29" s="1"/>
      <c r="O29" s="1"/>
      <c r="P29" s="1"/>
    </row>
    <row r="30" spans="2:17">
      <c r="B30" s="1">
        <v>0.9</v>
      </c>
      <c r="C30" s="1"/>
      <c r="D30" s="1"/>
      <c r="E30" s="1"/>
      <c r="M30" s="1">
        <v>0.9</v>
      </c>
      <c r="N30" s="1"/>
      <c r="O30" s="1"/>
      <c r="P30" s="1"/>
    </row>
    <row r="31" spans="2:17">
      <c r="B31" s="1">
        <v>1</v>
      </c>
      <c r="C31" s="1"/>
      <c r="D31" s="1"/>
      <c r="E31" s="1"/>
      <c r="I31" t="s">
        <v>25</v>
      </c>
      <c r="M31" s="1">
        <v>1</v>
      </c>
      <c r="N31" s="1"/>
      <c r="O31" s="1"/>
      <c r="P31" s="1"/>
    </row>
    <row r="32" spans="2:17">
      <c r="B32" s="1"/>
      <c r="C32" s="1"/>
      <c r="D32" s="1"/>
      <c r="E32" s="1"/>
      <c r="I32" s="1" t="s">
        <v>17</v>
      </c>
      <c r="J32" s="1" t="s">
        <v>13</v>
      </c>
      <c r="K32" s="1" t="s">
        <v>15</v>
      </c>
      <c r="M32" s="1"/>
      <c r="N32" s="1"/>
      <c r="O32" s="1"/>
      <c r="P32" s="1"/>
    </row>
    <row r="33" spans="5:16">
      <c r="E33" t="s">
        <v>23</v>
      </c>
      <c r="I33">
        <v>12.7334</v>
      </c>
      <c r="J33">
        <v>13.8337</v>
      </c>
      <c r="K33">
        <v>13.223699999999999</v>
      </c>
      <c r="P33" t="s">
        <v>23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1E6A-78F2-1E44-BD2F-195D4CBFB3ED}">
  <dimension ref="B2:P33"/>
  <sheetViews>
    <sheetView workbookViewId="0">
      <selection activeCell="I30" sqref="I30"/>
    </sheetView>
  </sheetViews>
  <sheetFormatPr baseColWidth="10" defaultRowHeight="20"/>
  <sheetData>
    <row r="2" spans="2:16">
      <c r="B2" s="1"/>
      <c r="C2" s="1" t="s">
        <v>5</v>
      </c>
      <c r="D2" s="1"/>
      <c r="E2" s="1"/>
      <c r="F2" s="1" t="s">
        <v>6</v>
      </c>
      <c r="G2" t="s">
        <v>9</v>
      </c>
      <c r="I2" t="s">
        <v>11</v>
      </c>
    </row>
    <row r="3" spans="2:16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I3" s="1" t="s">
        <v>17</v>
      </c>
      <c r="J3" s="1" t="s">
        <v>13</v>
      </c>
      <c r="K3" s="1" t="s">
        <v>15</v>
      </c>
    </row>
    <row r="4" spans="2:16">
      <c r="B4" s="1">
        <v>0</v>
      </c>
      <c r="C4" s="1"/>
      <c r="D4" s="1"/>
      <c r="E4" s="1"/>
      <c r="I4">
        <v>14.8537</v>
      </c>
      <c r="J4">
        <v>13.366400000000001</v>
      </c>
      <c r="K4">
        <v>16.456499999999998</v>
      </c>
    </row>
    <row r="5" spans="2:16">
      <c r="B5" s="1">
        <v>0.1</v>
      </c>
      <c r="C5" s="1"/>
      <c r="D5" s="1"/>
      <c r="E5" s="1"/>
    </row>
    <row r="6" spans="2:16">
      <c r="B6" s="1">
        <v>0.2</v>
      </c>
      <c r="C6" s="1"/>
      <c r="D6" s="1"/>
      <c r="E6" s="1"/>
      <c r="I6" t="s">
        <v>19</v>
      </c>
    </row>
    <row r="7" spans="2:16">
      <c r="B7" s="2">
        <v>0.3</v>
      </c>
      <c r="C7" s="1">
        <v>15.2775</v>
      </c>
      <c r="D7" s="1">
        <v>15.2418</v>
      </c>
      <c r="E7" s="1">
        <v>15.2592</v>
      </c>
      <c r="I7" s="1" t="s">
        <v>17</v>
      </c>
      <c r="J7" s="1" t="s">
        <v>13</v>
      </c>
      <c r="K7" s="1" t="s">
        <v>15</v>
      </c>
      <c r="M7" s="2">
        <v>0.3</v>
      </c>
    </row>
    <row r="8" spans="2:16">
      <c r="B8" s="2">
        <v>0.4</v>
      </c>
      <c r="C8" s="1">
        <v>15.2775</v>
      </c>
      <c r="D8" s="1">
        <v>15.2418</v>
      </c>
      <c r="E8" s="1">
        <v>15.2592</v>
      </c>
      <c r="I8">
        <v>14.879200000000001</v>
      </c>
      <c r="J8">
        <v>13.256600000000001</v>
      </c>
      <c r="K8">
        <v>16.670000000000002</v>
      </c>
      <c r="M8" s="2">
        <v>0.4</v>
      </c>
    </row>
    <row r="9" spans="2:16">
      <c r="B9" s="2">
        <v>0.5</v>
      </c>
      <c r="C9" s="1">
        <v>14.134</v>
      </c>
      <c r="D9" s="1">
        <v>16.1218</v>
      </c>
      <c r="E9" s="1">
        <v>15.1068</v>
      </c>
      <c r="M9" s="2">
        <v>0.5</v>
      </c>
      <c r="N9">
        <v>14.259600000000001</v>
      </c>
      <c r="O9">
        <v>16.432200000000002</v>
      </c>
      <c r="P9">
        <v>15.3223</v>
      </c>
    </row>
    <row r="10" spans="2:16">
      <c r="B10" s="2">
        <v>0.6</v>
      </c>
      <c r="C10" s="1">
        <v>14.319800000000001</v>
      </c>
      <c r="D10" s="1">
        <v>16.391999999999999</v>
      </c>
      <c r="E10" s="1">
        <v>15.3332</v>
      </c>
      <c r="I10" t="s">
        <v>21</v>
      </c>
      <c r="M10" s="2">
        <v>0.6</v>
      </c>
      <c r="N10">
        <v>14.283099999999999</v>
      </c>
      <c r="O10">
        <v>16.3355</v>
      </c>
      <c r="P10">
        <v>15.287000000000001</v>
      </c>
    </row>
    <row r="11" spans="2:16">
      <c r="B11" s="2">
        <v>0.7</v>
      </c>
      <c r="C11" s="1">
        <v>13.4025</v>
      </c>
      <c r="D11" s="1">
        <v>16.536100000000001</v>
      </c>
      <c r="E11" s="1">
        <v>14.892200000000001</v>
      </c>
      <c r="I11" s="1" t="s">
        <v>17</v>
      </c>
      <c r="J11" s="1" t="s">
        <v>13</v>
      </c>
      <c r="K11" s="1" t="s">
        <v>15</v>
      </c>
      <c r="M11" s="2">
        <v>0.7</v>
      </c>
      <c r="N11">
        <v>13.282</v>
      </c>
      <c r="O11">
        <v>16.546399999999998</v>
      </c>
      <c r="P11">
        <v>14.8337</v>
      </c>
    </row>
    <row r="12" spans="2:16">
      <c r="B12" s="1">
        <v>0.8</v>
      </c>
      <c r="C12" s="1"/>
      <c r="D12" s="1"/>
      <c r="E12" s="1"/>
      <c r="I12">
        <v>15.487</v>
      </c>
      <c r="J12">
        <v>15.0403</v>
      </c>
      <c r="K12">
        <v>15.938700000000001</v>
      </c>
    </row>
    <row r="13" spans="2:16">
      <c r="B13" s="1">
        <v>0.9</v>
      </c>
      <c r="C13" s="1"/>
      <c r="D13" s="1"/>
      <c r="E13" s="1"/>
    </row>
    <row r="14" spans="2:16">
      <c r="B14" s="1">
        <v>1</v>
      </c>
      <c r="C14" s="1"/>
      <c r="D14" s="1"/>
      <c r="E14" s="1"/>
      <c r="I14" t="s">
        <v>25</v>
      </c>
    </row>
    <row r="15" spans="2:16">
      <c r="B15" s="1"/>
      <c r="C15" s="1"/>
      <c r="D15" s="1"/>
      <c r="E15" s="1"/>
      <c r="I15" s="1" t="s">
        <v>17</v>
      </c>
      <c r="J15" s="1" t="s">
        <v>13</v>
      </c>
      <c r="K15" s="1" t="s">
        <v>15</v>
      </c>
      <c r="N15" t="s">
        <v>29</v>
      </c>
    </row>
    <row r="16" spans="2:16">
      <c r="E16" t="s">
        <v>23</v>
      </c>
      <c r="I16">
        <v>15.142099999999999</v>
      </c>
      <c r="J16">
        <v>15.4712</v>
      </c>
      <c r="K16">
        <v>14.8276</v>
      </c>
    </row>
    <row r="19" spans="2:16">
      <c r="B19" s="1"/>
      <c r="C19" s="1" t="s">
        <v>5</v>
      </c>
      <c r="D19" s="1"/>
      <c r="E19" s="1" t="s">
        <v>27</v>
      </c>
      <c r="F19" s="1" t="s">
        <v>6</v>
      </c>
      <c r="G19" t="s">
        <v>9</v>
      </c>
      <c r="I19" t="s">
        <v>11</v>
      </c>
    </row>
    <row r="20" spans="2:16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I20" s="1" t="s">
        <v>17</v>
      </c>
      <c r="J20" s="1" t="s">
        <v>13</v>
      </c>
      <c r="K20" s="1" t="s">
        <v>15</v>
      </c>
    </row>
    <row r="21" spans="2:16">
      <c r="B21" s="1">
        <v>0</v>
      </c>
      <c r="C21" s="1"/>
      <c r="D21" s="1"/>
      <c r="E21" s="1"/>
      <c r="I21">
        <v>13.9811</v>
      </c>
      <c r="J21">
        <v>11.1508</v>
      </c>
      <c r="K21">
        <v>16.380800000000001</v>
      </c>
    </row>
    <row r="22" spans="2:16">
      <c r="B22" s="1">
        <v>0.1</v>
      </c>
      <c r="C22" s="1"/>
      <c r="D22" s="1"/>
      <c r="E22" s="1"/>
    </row>
    <row r="23" spans="2:16">
      <c r="B23" s="1">
        <v>0.2</v>
      </c>
      <c r="C23" s="1"/>
      <c r="D23" s="1"/>
      <c r="E23" s="1"/>
      <c r="I23" t="s">
        <v>19</v>
      </c>
    </row>
    <row r="24" spans="2:16">
      <c r="B24" s="2">
        <v>0.3</v>
      </c>
      <c r="C24" s="1">
        <v>14.3248</v>
      </c>
      <c r="D24" s="1">
        <v>14.7659</v>
      </c>
      <c r="E24" s="1">
        <v>14.5844</v>
      </c>
      <c r="I24" s="1" t="s">
        <v>17</v>
      </c>
      <c r="J24" s="1" t="s">
        <v>13</v>
      </c>
      <c r="K24" s="1" t="s">
        <v>15</v>
      </c>
      <c r="M24" s="2">
        <v>0.3</v>
      </c>
    </row>
    <row r="25" spans="2:16">
      <c r="B25" s="2">
        <v>0.4</v>
      </c>
      <c r="C25" s="1">
        <v>14.3248</v>
      </c>
      <c r="D25" s="1">
        <v>14.7659</v>
      </c>
      <c r="E25" s="1">
        <v>14.5844</v>
      </c>
      <c r="I25">
        <v>14.0189</v>
      </c>
      <c r="J25">
        <v>16.670000000000002</v>
      </c>
      <c r="K25">
        <v>16.670000000000002</v>
      </c>
      <c r="M25" s="2">
        <v>0.4</v>
      </c>
    </row>
    <row r="26" spans="2:16">
      <c r="B26" s="2">
        <v>0.5</v>
      </c>
      <c r="C26" s="1">
        <v>12.3833</v>
      </c>
      <c r="D26" s="1">
        <v>15.927899999999999</v>
      </c>
      <c r="E26" s="1">
        <v>14.350099999999999</v>
      </c>
      <c r="M26" s="2">
        <v>0.5</v>
      </c>
      <c r="N26">
        <v>12.6045</v>
      </c>
      <c r="O26">
        <v>16.347999999999999</v>
      </c>
      <c r="P26">
        <v>14.6805</v>
      </c>
    </row>
    <row r="27" spans="2:16">
      <c r="B27" s="2">
        <v>0.6</v>
      </c>
      <c r="C27" s="1">
        <v>12.7103</v>
      </c>
      <c r="D27" s="1">
        <v>16.293500000000002</v>
      </c>
      <c r="E27" s="1">
        <v>14.697100000000001</v>
      </c>
      <c r="I27" t="s">
        <v>21</v>
      </c>
      <c r="M27" s="2">
        <v>0.6</v>
      </c>
      <c r="N27">
        <v>12.6457</v>
      </c>
      <c r="O27">
        <v>16.216999999999999</v>
      </c>
      <c r="P27">
        <v>14.626200000000001</v>
      </c>
    </row>
    <row r="28" spans="2:16">
      <c r="B28" s="2">
        <v>0.7</v>
      </c>
      <c r="C28" s="1">
        <v>11.252000000000001</v>
      </c>
      <c r="D28" s="1">
        <v>16.4878</v>
      </c>
      <c r="E28" s="1">
        <v>14.038600000000001</v>
      </c>
      <c r="I28" s="1" t="s">
        <v>17</v>
      </c>
      <c r="J28" s="1" t="s">
        <v>13</v>
      </c>
      <c r="K28" s="1" t="s">
        <v>15</v>
      </c>
      <c r="M28" s="2">
        <v>0.7</v>
      </c>
      <c r="N28">
        <v>11.045500000000001</v>
      </c>
      <c r="O28">
        <v>16.5017</v>
      </c>
      <c r="P28">
        <v>13.949400000000001</v>
      </c>
    </row>
    <row r="29" spans="2:16">
      <c r="B29" s="1">
        <v>0.8</v>
      </c>
      <c r="C29" s="1"/>
      <c r="D29" s="1"/>
      <c r="E29" s="1"/>
      <c r="I29">
        <v>14.933400000000001</v>
      </c>
      <c r="J29">
        <v>13.948600000000001</v>
      </c>
      <c r="K29">
        <v>15.685499999999999</v>
      </c>
    </row>
    <row r="30" spans="2:16">
      <c r="B30" s="1">
        <v>0.9</v>
      </c>
      <c r="C30" s="1"/>
      <c r="D30" s="1"/>
      <c r="E30" s="1"/>
    </row>
    <row r="31" spans="2:16">
      <c r="B31" s="1">
        <v>1</v>
      </c>
      <c r="C31" s="1"/>
      <c r="D31" s="1"/>
      <c r="E31" s="1"/>
      <c r="I31" t="s">
        <v>25</v>
      </c>
    </row>
    <row r="32" spans="2:16">
      <c r="B32" s="1"/>
      <c r="C32" s="1"/>
      <c r="D32" s="1"/>
      <c r="E32" s="1"/>
      <c r="I32" s="1" t="s">
        <v>17</v>
      </c>
      <c r="J32" s="1" t="s">
        <v>13</v>
      </c>
      <c r="K32" s="1" t="s">
        <v>15</v>
      </c>
    </row>
    <row r="33" spans="5:11">
      <c r="E33" t="s">
        <v>23</v>
      </c>
      <c r="I33">
        <v>14.4046</v>
      </c>
      <c r="J33">
        <v>14.6778</v>
      </c>
      <c r="K33">
        <v>14.213699999999999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021A-A5F2-5749-959C-AC5DDDF2E5B8}">
  <dimension ref="B2:P33"/>
  <sheetViews>
    <sheetView topLeftCell="A5" workbookViewId="0">
      <selection activeCell="I30" sqref="I30"/>
    </sheetView>
  </sheetViews>
  <sheetFormatPr baseColWidth="10" defaultRowHeight="20"/>
  <sheetData>
    <row r="2" spans="2:16">
      <c r="B2" s="1"/>
      <c r="C2" s="1" t="s">
        <v>5</v>
      </c>
      <c r="D2" s="1"/>
      <c r="E2" s="1"/>
      <c r="F2" s="1" t="s">
        <v>6</v>
      </c>
      <c r="G2" t="s">
        <v>9</v>
      </c>
      <c r="I2" t="s">
        <v>11</v>
      </c>
    </row>
    <row r="3" spans="2:16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I3" s="1" t="s">
        <v>17</v>
      </c>
      <c r="J3" s="1" t="s">
        <v>13</v>
      </c>
      <c r="K3" s="1" t="s">
        <v>15</v>
      </c>
    </row>
    <row r="4" spans="2:16">
      <c r="B4" s="1">
        <v>0</v>
      </c>
      <c r="C4" s="1"/>
      <c r="D4" s="1"/>
      <c r="E4" s="1"/>
      <c r="I4">
        <v>16.203800000000001</v>
      </c>
      <c r="J4">
        <v>16.183399999999999</v>
      </c>
      <c r="K4">
        <v>16.2225</v>
      </c>
    </row>
    <row r="5" spans="2:16">
      <c r="B5" s="1">
        <v>0.1</v>
      </c>
      <c r="C5" s="1"/>
      <c r="D5" s="1"/>
      <c r="E5" s="1"/>
    </row>
    <row r="6" spans="2:16">
      <c r="B6" s="1">
        <v>0.2</v>
      </c>
      <c r="C6" s="1"/>
      <c r="D6" s="1"/>
      <c r="E6" s="1"/>
      <c r="I6" t="s">
        <v>19</v>
      </c>
    </row>
    <row r="7" spans="2:16">
      <c r="B7" s="2">
        <v>0.3</v>
      </c>
      <c r="C7" s="1">
        <v>16.215800000000002</v>
      </c>
      <c r="D7" s="1">
        <v>16.145600000000002</v>
      </c>
      <c r="E7" s="1">
        <v>16.179099999999998</v>
      </c>
      <c r="I7" s="1" t="s">
        <v>17</v>
      </c>
      <c r="J7" s="1" t="s">
        <v>13</v>
      </c>
      <c r="K7" s="1" t="s">
        <v>15</v>
      </c>
      <c r="M7" s="2">
        <v>0.3</v>
      </c>
    </row>
    <row r="8" spans="2:16">
      <c r="B8" s="2">
        <v>0.4</v>
      </c>
      <c r="C8" s="1">
        <v>16.183399999999999</v>
      </c>
      <c r="D8" s="1">
        <v>16.2225</v>
      </c>
      <c r="E8" s="1">
        <v>16.203800000000001</v>
      </c>
      <c r="I8">
        <v>14.7402</v>
      </c>
      <c r="J8">
        <v>13.0121</v>
      </c>
      <c r="K8">
        <v>16.670000000000002</v>
      </c>
      <c r="M8" s="2">
        <v>0.4</v>
      </c>
    </row>
    <row r="9" spans="2:16">
      <c r="B9" s="2">
        <v>0.5</v>
      </c>
      <c r="C9" s="1">
        <v>16.020299999999999</v>
      </c>
      <c r="D9" s="1">
        <v>16.2394</v>
      </c>
      <c r="E9" s="1">
        <v>16.133600000000001</v>
      </c>
      <c r="M9" s="2">
        <v>0.5</v>
      </c>
      <c r="N9">
        <v>14.8766</v>
      </c>
      <c r="O9">
        <v>16.5565</v>
      </c>
      <c r="P9">
        <v>15.7174</v>
      </c>
    </row>
    <row r="10" spans="2:16">
      <c r="B10" s="2">
        <v>0.6</v>
      </c>
      <c r="C10" s="1">
        <v>14.739699999999999</v>
      </c>
      <c r="D10" s="1">
        <v>16.6068</v>
      </c>
      <c r="E10" s="1">
        <v>15.6685</v>
      </c>
      <c r="I10" t="s">
        <v>21</v>
      </c>
      <c r="M10" s="2">
        <v>0.6</v>
      </c>
      <c r="N10">
        <v>14.7384</v>
      </c>
      <c r="O10">
        <v>16.606999999999999</v>
      </c>
      <c r="P10">
        <v>15.667899999999999</v>
      </c>
    </row>
    <row r="11" spans="2:16">
      <c r="B11" s="2">
        <v>0.7</v>
      </c>
      <c r="C11" s="1">
        <v>14.7384</v>
      </c>
      <c r="D11" s="1">
        <v>16.606999999999999</v>
      </c>
      <c r="E11" s="1">
        <v>15.667899999999999</v>
      </c>
      <c r="I11" s="1" t="s">
        <v>17</v>
      </c>
      <c r="J11" s="1" t="s">
        <v>13</v>
      </c>
      <c r="K11" s="1" t="s">
        <v>15</v>
      </c>
      <c r="M11" s="2">
        <v>0.7</v>
      </c>
      <c r="N11">
        <v>14.7384</v>
      </c>
      <c r="O11">
        <v>16.606999999999999</v>
      </c>
      <c r="P11">
        <v>15.667899999999999</v>
      </c>
    </row>
    <row r="12" spans="2:16">
      <c r="B12" s="1">
        <v>0.8</v>
      </c>
      <c r="C12" s="1"/>
      <c r="D12" s="1"/>
      <c r="E12" s="1"/>
      <c r="I12">
        <v>15.7174</v>
      </c>
      <c r="J12">
        <v>14.8766</v>
      </c>
      <c r="K12">
        <v>16.5565</v>
      </c>
    </row>
    <row r="13" spans="2:16">
      <c r="B13" s="1">
        <v>0.9</v>
      </c>
      <c r="C13" s="1"/>
      <c r="D13" s="1"/>
      <c r="E13" s="1"/>
    </row>
    <row r="14" spans="2:16">
      <c r="B14" s="1">
        <v>1</v>
      </c>
      <c r="C14" s="1"/>
      <c r="D14" s="1"/>
      <c r="E14" s="1"/>
      <c r="I14" t="s">
        <v>25</v>
      </c>
    </row>
    <row r="15" spans="2:16">
      <c r="B15" s="1"/>
      <c r="C15" s="1"/>
      <c r="D15" s="1"/>
      <c r="E15" s="1"/>
      <c r="I15" s="1" t="s">
        <v>17</v>
      </c>
      <c r="J15" s="1" t="s">
        <v>13</v>
      </c>
      <c r="K15" s="1" t="s">
        <v>15</v>
      </c>
      <c r="N15" t="s">
        <v>29</v>
      </c>
    </row>
    <row r="16" spans="2:16">
      <c r="E16" t="s">
        <v>23</v>
      </c>
      <c r="I16">
        <v>16.179099999999998</v>
      </c>
      <c r="J16">
        <v>16.215800000000002</v>
      </c>
      <c r="K16">
        <v>16.145600000000002</v>
      </c>
    </row>
    <row r="19" spans="2:16">
      <c r="B19" s="1"/>
      <c r="C19" s="1" t="s">
        <v>5</v>
      </c>
      <c r="D19" s="1"/>
      <c r="E19" s="1" t="s">
        <v>27</v>
      </c>
      <c r="F19" s="1" t="s">
        <v>6</v>
      </c>
      <c r="G19" t="s">
        <v>9</v>
      </c>
      <c r="I19" t="s">
        <v>11</v>
      </c>
    </row>
    <row r="20" spans="2:16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I20" s="1" t="s">
        <v>17</v>
      </c>
      <c r="J20" s="1" t="s">
        <v>13</v>
      </c>
      <c r="K20" s="1" t="s">
        <v>15</v>
      </c>
    </row>
    <row r="21" spans="2:16">
      <c r="B21" s="1">
        <v>0</v>
      </c>
      <c r="C21" s="1"/>
      <c r="D21" s="1"/>
      <c r="E21" s="1"/>
      <c r="I21">
        <v>16.1709</v>
      </c>
      <c r="J21">
        <v>16.356000000000002</v>
      </c>
      <c r="K21">
        <v>15.918200000000001</v>
      </c>
    </row>
    <row r="22" spans="2:16">
      <c r="B22" s="1">
        <v>0.1</v>
      </c>
      <c r="C22" s="1"/>
      <c r="D22" s="1"/>
      <c r="E22" s="1"/>
    </row>
    <row r="23" spans="2:16">
      <c r="B23" s="1">
        <v>0.2</v>
      </c>
      <c r="C23" s="1"/>
      <c r="D23" s="1"/>
      <c r="E23" s="1"/>
      <c r="I23" t="s">
        <v>19</v>
      </c>
    </row>
    <row r="24" spans="2:16">
      <c r="B24" s="2">
        <v>0.3</v>
      </c>
      <c r="C24" s="1">
        <v>16.401900000000001</v>
      </c>
      <c r="D24" s="1">
        <v>15.7621</v>
      </c>
      <c r="E24" s="1">
        <v>16.1294</v>
      </c>
      <c r="I24" s="1" t="s">
        <v>17</v>
      </c>
      <c r="J24" s="1" t="s">
        <v>13</v>
      </c>
      <c r="K24" s="1" t="s">
        <v>15</v>
      </c>
      <c r="M24" s="2">
        <v>0.3</v>
      </c>
    </row>
    <row r="25" spans="2:16">
      <c r="B25" s="2">
        <v>0.4</v>
      </c>
      <c r="C25" s="1">
        <v>16.356000000000002</v>
      </c>
      <c r="D25" s="1">
        <v>15.918200000000001</v>
      </c>
      <c r="E25" s="1">
        <v>16.1709</v>
      </c>
      <c r="I25">
        <v>14.1486</v>
      </c>
      <c r="J25">
        <v>12.729699999999999</v>
      </c>
      <c r="K25">
        <v>16.670000000000002</v>
      </c>
      <c r="M25" s="2">
        <v>0.4</v>
      </c>
    </row>
    <row r="26" spans="2:16">
      <c r="B26" s="2">
        <v>0.5</v>
      </c>
      <c r="C26" s="1">
        <v>16.1252</v>
      </c>
      <c r="D26" s="1">
        <v>15.952500000000001</v>
      </c>
      <c r="E26" s="1">
        <v>16.053000000000001</v>
      </c>
      <c r="M26" s="2">
        <v>0.5</v>
      </c>
      <c r="N26">
        <v>14.548299999999999</v>
      </c>
      <c r="O26">
        <v>16.615500000000001</v>
      </c>
      <c r="P26">
        <v>15.3598</v>
      </c>
    </row>
    <row r="27" spans="2:16">
      <c r="B27" s="2">
        <v>0.6</v>
      </c>
      <c r="C27" s="1">
        <v>14.585100000000001</v>
      </c>
      <c r="D27" s="1">
        <v>16.669</v>
      </c>
      <c r="E27" s="1">
        <v>15.403499999999999</v>
      </c>
      <c r="I27" t="s">
        <v>21</v>
      </c>
      <c r="M27" s="2">
        <v>0.6</v>
      </c>
      <c r="N27">
        <v>14.583299999999999</v>
      </c>
      <c r="O27">
        <v>16.6693</v>
      </c>
      <c r="P27">
        <v>15.4025</v>
      </c>
    </row>
    <row r="28" spans="2:16">
      <c r="B28" s="2">
        <v>0.7</v>
      </c>
      <c r="C28" s="1">
        <v>14.583299999999999</v>
      </c>
      <c r="D28" s="1">
        <v>16.6693</v>
      </c>
      <c r="E28" s="1">
        <v>15.4025</v>
      </c>
      <c r="I28" s="1" t="s">
        <v>17</v>
      </c>
      <c r="J28" s="1" t="s">
        <v>13</v>
      </c>
      <c r="K28" s="1" t="s">
        <v>15</v>
      </c>
      <c r="M28" s="2">
        <v>0.7</v>
      </c>
      <c r="N28">
        <v>14.583299999999999</v>
      </c>
      <c r="O28">
        <v>16.6693</v>
      </c>
      <c r="P28">
        <v>15.4025</v>
      </c>
    </row>
    <row r="29" spans="2:16">
      <c r="B29" s="1">
        <v>0.8</v>
      </c>
      <c r="C29" s="1"/>
      <c r="D29" s="1"/>
      <c r="E29" s="1"/>
      <c r="I29">
        <v>15.3598</v>
      </c>
      <c r="J29">
        <v>14.548299999999999</v>
      </c>
      <c r="K29">
        <v>16.615500000000001</v>
      </c>
    </row>
    <row r="30" spans="2:16">
      <c r="B30" s="1">
        <v>0.9</v>
      </c>
      <c r="C30" s="1"/>
      <c r="D30" s="1"/>
      <c r="E30" s="1"/>
    </row>
    <row r="31" spans="2:16">
      <c r="B31" s="1">
        <v>1</v>
      </c>
      <c r="C31" s="1"/>
      <c r="D31" s="1"/>
      <c r="E31" s="1"/>
      <c r="I31" t="s">
        <v>25</v>
      </c>
    </row>
    <row r="32" spans="2:16">
      <c r="B32" s="1"/>
      <c r="C32" s="1"/>
      <c r="D32" s="1"/>
      <c r="E32" s="1"/>
      <c r="I32" s="1" t="s">
        <v>17</v>
      </c>
      <c r="J32" s="1" t="s">
        <v>13</v>
      </c>
      <c r="K32" s="1" t="s">
        <v>15</v>
      </c>
    </row>
    <row r="33" spans="5:11">
      <c r="E33" t="s">
        <v>23</v>
      </c>
      <c r="I33">
        <v>16.1294</v>
      </c>
      <c r="J33">
        <v>16.401900000000001</v>
      </c>
      <c r="K33">
        <v>15.7621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1A2B-325F-DF4D-BD22-4351EA438B21}">
  <dimension ref="B2:P33"/>
  <sheetViews>
    <sheetView workbookViewId="0">
      <selection activeCell="I30" sqref="I30"/>
    </sheetView>
  </sheetViews>
  <sheetFormatPr baseColWidth="10" defaultRowHeight="20"/>
  <sheetData>
    <row r="2" spans="2:16">
      <c r="B2" s="1"/>
      <c r="C2" s="1" t="s">
        <v>5</v>
      </c>
      <c r="D2" s="1"/>
      <c r="E2" s="1"/>
      <c r="F2" s="1" t="s">
        <v>6</v>
      </c>
      <c r="G2" t="s">
        <v>9</v>
      </c>
      <c r="I2" t="s">
        <v>11</v>
      </c>
    </row>
    <row r="3" spans="2:16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I3" s="1" t="s">
        <v>17</v>
      </c>
      <c r="J3" s="1" t="s">
        <v>13</v>
      </c>
      <c r="K3" s="1" t="s">
        <v>15</v>
      </c>
    </row>
    <row r="4" spans="2:16">
      <c r="B4" s="1">
        <v>0</v>
      </c>
      <c r="C4" s="1"/>
      <c r="D4" s="1"/>
      <c r="E4" s="1"/>
      <c r="I4">
        <v>15.2714</v>
      </c>
      <c r="J4">
        <v>14.3003</v>
      </c>
      <c r="K4">
        <v>16.415600000000001</v>
      </c>
    </row>
    <row r="5" spans="2:16">
      <c r="B5" s="1">
        <v>0.1</v>
      </c>
      <c r="C5" s="1"/>
      <c r="D5" s="1"/>
      <c r="E5" s="1"/>
    </row>
    <row r="6" spans="2:16">
      <c r="B6" s="1">
        <v>0.2</v>
      </c>
      <c r="C6" s="1"/>
      <c r="D6" s="1"/>
      <c r="E6" s="1"/>
      <c r="I6" t="s">
        <v>19</v>
      </c>
    </row>
    <row r="7" spans="2:16">
      <c r="B7" s="2">
        <v>0.3</v>
      </c>
      <c r="C7" s="1">
        <v>15.3154</v>
      </c>
      <c r="D7" s="1">
        <v>15.667400000000001</v>
      </c>
      <c r="E7" s="1">
        <v>15.4833</v>
      </c>
      <c r="I7" s="1" t="s">
        <v>17</v>
      </c>
      <c r="J7" s="1" t="s">
        <v>13</v>
      </c>
      <c r="K7" s="1" t="s">
        <v>15</v>
      </c>
      <c r="M7" s="2">
        <v>0.3</v>
      </c>
    </row>
    <row r="8" spans="2:16">
      <c r="B8" s="2">
        <v>0.4</v>
      </c>
      <c r="C8" s="1">
        <v>14.8178</v>
      </c>
      <c r="D8" s="1">
        <v>15.0007</v>
      </c>
      <c r="E8" s="1">
        <v>14.906000000000001</v>
      </c>
      <c r="I8">
        <v>14.2773</v>
      </c>
      <c r="J8">
        <v>12.440799999999999</v>
      </c>
      <c r="K8">
        <v>16.670000000000002</v>
      </c>
      <c r="M8" s="2">
        <v>0.4</v>
      </c>
    </row>
    <row r="9" spans="2:16">
      <c r="B9" s="2">
        <v>0.5</v>
      </c>
      <c r="C9" s="1">
        <v>15.2088</v>
      </c>
      <c r="D9" s="1">
        <v>16.080100000000002</v>
      </c>
      <c r="E9" s="1">
        <v>15.621700000000001</v>
      </c>
      <c r="M9" s="2">
        <v>0.5</v>
      </c>
      <c r="N9">
        <v>15.2088</v>
      </c>
      <c r="O9">
        <v>16.080100000000002</v>
      </c>
      <c r="P9">
        <v>15.621700000000001</v>
      </c>
    </row>
    <row r="10" spans="2:16">
      <c r="B10" s="2">
        <v>0.6</v>
      </c>
      <c r="C10" s="1">
        <v>13.1983</v>
      </c>
      <c r="D10" s="1">
        <v>15.331799999999999</v>
      </c>
      <c r="E10" s="1">
        <v>14.1921</v>
      </c>
      <c r="I10" t="s">
        <v>21</v>
      </c>
      <c r="M10" s="2">
        <v>0.6</v>
      </c>
      <c r="N10">
        <v>13.685</v>
      </c>
      <c r="O10">
        <v>16.2394</v>
      </c>
      <c r="P10">
        <v>14.837300000000001</v>
      </c>
    </row>
    <row r="11" spans="2:16">
      <c r="B11" s="2">
        <v>0.7</v>
      </c>
      <c r="C11" s="1">
        <v>12.6546</v>
      </c>
      <c r="D11" s="1">
        <v>16.361699999999999</v>
      </c>
      <c r="E11" s="1">
        <v>14.301</v>
      </c>
      <c r="I11" s="1" t="s">
        <v>17</v>
      </c>
      <c r="J11" s="1" t="s">
        <v>13</v>
      </c>
      <c r="K11" s="1" t="s">
        <v>15</v>
      </c>
      <c r="M11" s="2">
        <v>0.7</v>
      </c>
      <c r="N11">
        <v>12.6599</v>
      </c>
      <c r="O11">
        <v>16.509</v>
      </c>
      <c r="P11">
        <v>14.3574</v>
      </c>
    </row>
    <row r="12" spans="2:16">
      <c r="B12" s="1">
        <v>0.8</v>
      </c>
      <c r="C12" s="1"/>
      <c r="D12" s="1"/>
      <c r="E12" s="1"/>
      <c r="I12">
        <v>15.5534</v>
      </c>
      <c r="J12">
        <v>14.9427</v>
      </c>
      <c r="K12">
        <v>16.249500000000001</v>
      </c>
    </row>
    <row r="13" spans="2:16">
      <c r="B13" s="1">
        <v>0.9</v>
      </c>
      <c r="C13" s="1"/>
      <c r="D13" s="1"/>
      <c r="E13" s="1"/>
    </row>
    <row r="14" spans="2:16">
      <c r="B14" s="1">
        <v>1</v>
      </c>
      <c r="C14" s="1"/>
      <c r="D14" s="1"/>
      <c r="E14" s="1"/>
      <c r="I14" t="s">
        <v>25</v>
      </c>
      <c r="N14" t="s">
        <v>29</v>
      </c>
    </row>
    <row r="15" spans="2:16">
      <c r="B15" s="1"/>
      <c r="C15" s="1"/>
      <c r="D15" s="1"/>
      <c r="E15" s="1"/>
      <c r="I15" s="1" t="s">
        <v>17</v>
      </c>
      <c r="J15" s="1" t="s">
        <v>13</v>
      </c>
      <c r="K15" s="1" t="s">
        <v>15</v>
      </c>
    </row>
    <row r="16" spans="2:16">
      <c r="E16" t="s">
        <v>23</v>
      </c>
      <c r="I16">
        <v>15.4833</v>
      </c>
      <c r="J16">
        <v>15.3154</v>
      </c>
      <c r="K16">
        <v>15.667400000000001</v>
      </c>
    </row>
    <row r="19" spans="2:16">
      <c r="B19" s="1"/>
      <c r="C19" s="1" t="s">
        <v>5</v>
      </c>
      <c r="D19" s="1"/>
      <c r="E19" s="1" t="s">
        <v>27</v>
      </c>
      <c r="F19" s="1" t="s">
        <v>6</v>
      </c>
      <c r="G19" t="s">
        <v>9</v>
      </c>
      <c r="I19" t="s">
        <v>11</v>
      </c>
    </row>
    <row r="20" spans="2:16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I20" s="1" t="s">
        <v>17</v>
      </c>
      <c r="J20" s="1" t="s">
        <v>13</v>
      </c>
      <c r="K20" s="1" t="s">
        <v>15</v>
      </c>
    </row>
    <row r="21" spans="2:16">
      <c r="B21" s="1">
        <v>0</v>
      </c>
      <c r="C21" s="1"/>
      <c r="D21" s="1"/>
      <c r="E21" s="1"/>
      <c r="I21">
        <v>14.5281</v>
      </c>
      <c r="J21">
        <v>13.1105</v>
      </c>
      <c r="K21">
        <v>16.300799999999999</v>
      </c>
    </row>
    <row r="22" spans="2:16">
      <c r="B22" s="1">
        <v>0.1</v>
      </c>
      <c r="C22" s="1"/>
      <c r="D22" s="1"/>
      <c r="E22" s="1"/>
    </row>
    <row r="23" spans="2:16">
      <c r="B23" s="1">
        <v>0.2</v>
      </c>
      <c r="C23" s="1"/>
      <c r="D23" s="1"/>
      <c r="E23" s="1"/>
      <c r="I23" t="s">
        <v>19</v>
      </c>
    </row>
    <row r="24" spans="2:16">
      <c r="B24" s="2">
        <v>0.3</v>
      </c>
      <c r="C24" s="1">
        <v>14.757199999999999</v>
      </c>
      <c r="D24" s="1">
        <v>15.020300000000001</v>
      </c>
      <c r="E24" s="1">
        <v>14.882199999999999</v>
      </c>
      <c r="I24" s="1" t="s">
        <v>17</v>
      </c>
      <c r="J24" s="1" t="s">
        <v>13</v>
      </c>
      <c r="K24" s="1" t="s">
        <v>15</v>
      </c>
      <c r="M24" s="2">
        <v>0.3</v>
      </c>
    </row>
    <row r="25" spans="2:16">
      <c r="B25" s="2">
        <v>0.4</v>
      </c>
      <c r="C25" s="1">
        <v>13.8965</v>
      </c>
      <c r="D25" s="1">
        <v>13.898199999999999</v>
      </c>
      <c r="E25" s="1">
        <v>13.8973</v>
      </c>
      <c r="I25">
        <v>13.2136</v>
      </c>
      <c r="J25">
        <v>10.857699999999999</v>
      </c>
      <c r="K25">
        <v>16.670000000000002</v>
      </c>
      <c r="M25" s="2">
        <v>0.4</v>
      </c>
    </row>
    <row r="26" spans="2:16">
      <c r="B26" s="2">
        <v>0.5</v>
      </c>
      <c r="C26" s="1">
        <v>14.578200000000001</v>
      </c>
      <c r="D26" s="1">
        <v>15.723800000000001</v>
      </c>
      <c r="E26" s="1">
        <v>15.116099999999999</v>
      </c>
      <c r="M26" s="2">
        <v>0.5</v>
      </c>
      <c r="N26">
        <v>14.578200000000001</v>
      </c>
      <c r="O26">
        <v>15.723800000000001</v>
      </c>
      <c r="P26">
        <v>15.116099999999999</v>
      </c>
    </row>
    <row r="27" spans="2:16">
      <c r="B27" s="2">
        <v>0.6</v>
      </c>
      <c r="C27" s="1">
        <v>11.9495</v>
      </c>
      <c r="D27" s="1">
        <v>14.420299999999999</v>
      </c>
      <c r="E27" s="1">
        <v>13.080299999999999</v>
      </c>
      <c r="I27" t="s">
        <v>21</v>
      </c>
      <c r="M27" s="2">
        <v>0.6</v>
      </c>
      <c r="N27">
        <v>12.7502</v>
      </c>
      <c r="O27">
        <v>15.917999999999999</v>
      </c>
      <c r="P27">
        <v>14.1211</v>
      </c>
    </row>
    <row r="28" spans="2:16">
      <c r="B28" s="2">
        <v>0.7</v>
      </c>
      <c r="C28" s="1">
        <v>11.1412</v>
      </c>
      <c r="D28" s="1">
        <v>16.130099999999999</v>
      </c>
      <c r="E28" s="1">
        <v>13.2441</v>
      </c>
      <c r="I28" s="1" t="s">
        <v>17</v>
      </c>
      <c r="J28" s="1" t="s">
        <v>13</v>
      </c>
      <c r="K28" s="1" t="s">
        <v>15</v>
      </c>
      <c r="M28" s="2">
        <v>0.7</v>
      </c>
      <c r="N28">
        <v>11.161300000000001</v>
      </c>
      <c r="O28">
        <v>16.386399999999998</v>
      </c>
      <c r="P28">
        <v>13.336499999999999</v>
      </c>
    </row>
    <row r="29" spans="2:16">
      <c r="B29" s="1">
        <v>0.8</v>
      </c>
      <c r="C29" s="1"/>
      <c r="D29" s="1"/>
      <c r="E29" s="1"/>
      <c r="I29">
        <v>15.001300000000001</v>
      </c>
      <c r="J29">
        <v>14.145899999999999</v>
      </c>
      <c r="K29">
        <v>16.012599999999999</v>
      </c>
    </row>
    <row r="30" spans="2:16">
      <c r="B30" s="1">
        <v>0.9</v>
      </c>
      <c r="C30" s="1"/>
      <c r="D30" s="1"/>
      <c r="E30" s="1"/>
    </row>
    <row r="31" spans="2:16">
      <c r="B31" s="1">
        <v>1</v>
      </c>
      <c r="C31" s="1"/>
      <c r="D31" s="1"/>
      <c r="E31" s="1"/>
      <c r="I31" t="s">
        <v>25</v>
      </c>
    </row>
    <row r="32" spans="2:16">
      <c r="B32" s="1"/>
      <c r="C32" s="1"/>
      <c r="D32" s="1"/>
      <c r="E32" s="1"/>
      <c r="I32" s="1" t="s">
        <v>17</v>
      </c>
      <c r="J32" s="1" t="s">
        <v>13</v>
      </c>
      <c r="K32" s="1" t="s">
        <v>15</v>
      </c>
    </row>
    <row r="33" spans="5:11">
      <c r="E33" t="s">
        <v>23</v>
      </c>
      <c r="I33">
        <v>14.882199999999999</v>
      </c>
      <c r="J33">
        <v>14.757199999999999</v>
      </c>
      <c r="K33">
        <v>15.020300000000001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8200-CD1C-F54F-9370-645310A21691}">
  <dimension ref="B2:P33"/>
  <sheetViews>
    <sheetView workbookViewId="0">
      <selection activeCell="B2" sqref="B2:L34"/>
    </sheetView>
  </sheetViews>
  <sheetFormatPr baseColWidth="10" defaultRowHeight="20"/>
  <sheetData>
    <row r="2" spans="2:16">
      <c r="B2" s="1"/>
      <c r="C2" s="1" t="s">
        <v>5</v>
      </c>
      <c r="D2" s="1"/>
      <c r="E2" s="1"/>
      <c r="F2" s="1" t="s">
        <v>6</v>
      </c>
      <c r="G2" t="s">
        <v>9</v>
      </c>
      <c r="I2" t="s">
        <v>11</v>
      </c>
    </row>
    <row r="3" spans="2:16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I3" s="1" t="s">
        <v>17</v>
      </c>
      <c r="J3" s="1" t="s">
        <v>13</v>
      </c>
      <c r="K3" s="1" t="s">
        <v>15</v>
      </c>
    </row>
    <row r="4" spans="2:16">
      <c r="B4" s="1">
        <v>0</v>
      </c>
      <c r="C4" s="1"/>
      <c r="D4" s="1"/>
      <c r="E4" s="1"/>
      <c r="I4">
        <v>15.1854</v>
      </c>
      <c r="J4">
        <v>14.2959</v>
      </c>
      <c r="K4">
        <v>16.2563</v>
      </c>
    </row>
    <row r="5" spans="2:16">
      <c r="B5" s="1">
        <v>0.1</v>
      </c>
      <c r="C5" s="1"/>
      <c r="D5" s="1"/>
      <c r="E5" s="1"/>
    </row>
    <row r="6" spans="2:16">
      <c r="B6" s="1">
        <v>0.2</v>
      </c>
      <c r="C6" s="1"/>
      <c r="D6" s="1"/>
      <c r="E6" s="1"/>
      <c r="I6" t="s">
        <v>19</v>
      </c>
    </row>
    <row r="7" spans="2:16">
      <c r="B7" s="2">
        <v>0.3</v>
      </c>
      <c r="C7" s="1">
        <v>14.994899999999999</v>
      </c>
      <c r="D7" s="1">
        <v>13.857799999999999</v>
      </c>
      <c r="E7" s="1">
        <v>14.466100000000001</v>
      </c>
      <c r="I7" s="1" t="s">
        <v>17</v>
      </c>
      <c r="J7" s="1" t="s">
        <v>13</v>
      </c>
      <c r="K7" s="1" t="s">
        <v>15</v>
      </c>
      <c r="M7" s="2">
        <v>0.3</v>
      </c>
    </row>
    <row r="8" spans="2:16">
      <c r="B8" s="2">
        <v>0.4</v>
      </c>
      <c r="C8" s="1">
        <v>15.0181</v>
      </c>
      <c r="D8" s="1">
        <v>13.4876</v>
      </c>
      <c r="E8" s="1">
        <v>14.2875</v>
      </c>
      <c r="I8">
        <v>13.855600000000001</v>
      </c>
      <c r="J8">
        <v>11.787599999999999</v>
      </c>
      <c r="K8">
        <v>16.670000000000002</v>
      </c>
      <c r="M8" s="2">
        <v>0.4</v>
      </c>
    </row>
    <row r="9" spans="2:16">
      <c r="B9" s="2">
        <v>0.5</v>
      </c>
      <c r="C9" s="1">
        <v>14.9297</v>
      </c>
      <c r="D9" s="1">
        <v>15.870100000000001</v>
      </c>
      <c r="E9" s="1">
        <v>15.3642</v>
      </c>
      <c r="M9" s="2">
        <v>0.5</v>
      </c>
      <c r="N9">
        <v>14.9308</v>
      </c>
      <c r="O9">
        <v>15.9299</v>
      </c>
      <c r="P9">
        <v>15.3924</v>
      </c>
    </row>
    <row r="10" spans="2:16">
      <c r="B10" s="2">
        <v>0.6</v>
      </c>
      <c r="C10" s="1">
        <v>14.5634</v>
      </c>
      <c r="D10" s="1">
        <v>15.750999999999999</v>
      </c>
      <c r="E10" s="1">
        <v>15.1022</v>
      </c>
      <c r="I10" t="s">
        <v>21</v>
      </c>
      <c r="M10" s="2">
        <v>0.6</v>
      </c>
      <c r="N10">
        <v>14.2959</v>
      </c>
      <c r="O10">
        <v>16.2563</v>
      </c>
      <c r="P10">
        <v>15.1854</v>
      </c>
    </row>
    <row r="11" spans="2:16">
      <c r="B11" s="2">
        <v>0.7</v>
      </c>
      <c r="C11" s="1">
        <v>14.5214</v>
      </c>
      <c r="D11" s="1">
        <v>16.016400000000001</v>
      </c>
      <c r="E11" s="1">
        <v>15.1998</v>
      </c>
      <c r="I11" s="1" t="s">
        <v>17</v>
      </c>
      <c r="J11" s="1" t="s">
        <v>13</v>
      </c>
      <c r="K11" s="1" t="s">
        <v>15</v>
      </c>
      <c r="M11" s="2">
        <v>0.7</v>
      </c>
      <c r="N11">
        <v>14.5214</v>
      </c>
      <c r="O11">
        <v>16.016400000000001</v>
      </c>
      <c r="P11">
        <v>15.1998</v>
      </c>
    </row>
    <row r="12" spans="2:16">
      <c r="B12" s="1">
        <v>0.8</v>
      </c>
      <c r="C12" s="1"/>
      <c r="D12" s="1"/>
      <c r="E12" s="1"/>
      <c r="I12">
        <v>15.4903</v>
      </c>
      <c r="J12">
        <v>14.972899999999999</v>
      </c>
      <c r="K12">
        <v>16.093399999999999</v>
      </c>
    </row>
    <row r="13" spans="2:16">
      <c r="B13" s="1">
        <v>0.9</v>
      </c>
      <c r="C13" s="1"/>
      <c r="D13" s="1"/>
      <c r="E13" s="1"/>
    </row>
    <row r="14" spans="2:16">
      <c r="B14" s="1">
        <v>1</v>
      </c>
      <c r="C14" s="1"/>
      <c r="D14" s="1"/>
      <c r="E14" s="1"/>
      <c r="I14" t="s">
        <v>25</v>
      </c>
      <c r="N14" t="s">
        <v>29</v>
      </c>
    </row>
    <row r="15" spans="2:16">
      <c r="B15" s="1"/>
      <c r="C15" s="1"/>
      <c r="D15" s="1"/>
      <c r="E15" s="1"/>
      <c r="I15" s="1" t="s">
        <v>17</v>
      </c>
      <c r="J15" s="1" t="s">
        <v>13</v>
      </c>
      <c r="K15" s="1" t="s">
        <v>15</v>
      </c>
    </row>
    <row r="16" spans="2:16">
      <c r="E16" t="s">
        <v>23</v>
      </c>
      <c r="I16">
        <v>13.1837</v>
      </c>
      <c r="J16">
        <v>15.856199999999999</v>
      </c>
      <c r="K16">
        <v>10.365500000000001</v>
      </c>
    </row>
    <row r="19" spans="2:16">
      <c r="B19" s="1"/>
      <c r="C19" s="1" t="s">
        <v>5</v>
      </c>
      <c r="D19" s="1"/>
      <c r="E19" s="1" t="s">
        <v>27</v>
      </c>
      <c r="F19" s="1" t="s">
        <v>6</v>
      </c>
      <c r="G19" t="s">
        <v>9</v>
      </c>
      <c r="I19" t="s">
        <v>11</v>
      </c>
    </row>
    <row r="20" spans="2:16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I20" s="1" t="s">
        <v>17</v>
      </c>
      <c r="J20" s="1" t="s">
        <v>13</v>
      </c>
      <c r="K20" s="1" t="s">
        <v>15</v>
      </c>
    </row>
    <row r="21" spans="2:16">
      <c r="B21" s="1">
        <v>0</v>
      </c>
      <c r="C21" s="1"/>
      <c r="D21" s="1"/>
      <c r="E21" s="1"/>
      <c r="I21">
        <v>14.814500000000001</v>
      </c>
      <c r="J21">
        <v>13.423400000000001</v>
      </c>
      <c r="K21">
        <v>16.3245</v>
      </c>
    </row>
    <row r="22" spans="2:16">
      <c r="B22" s="1">
        <v>0.1</v>
      </c>
      <c r="C22" s="1"/>
      <c r="D22" s="1"/>
      <c r="E22" s="1"/>
    </row>
    <row r="23" spans="2:16">
      <c r="B23" s="1">
        <v>0.2</v>
      </c>
      <c r="C23" s="1"/>
      <c r="D23" s="1"/>
      <c r="E23" s="1"/>
      <c r="I23" t="s">
        <v>19</v>
      </c>
    </row>
    <row r="24" spans="2:16">
      <c r="B24" s="2">
        <v>0.3</v>
      </c>
      <c r="C24" s="1">
        <v>14.516</v>
      </c>
      <c r="D24" s="1">
        <v>12.946</v>
      </c>
      <c r="E24" s="1">
        <v>13.737299999999999</v>
      </c>
      <c r="I24" s="1" t="s">
        <v>17</v>
      </c>
      <c r="J24" s="1" t="s">
        <v>13</v>
      </c>
      <c r="K24" s="1" t="s">
        <v>15</v>
      </c>
      <c r="M24" s="2">
        <v>0.3</v>
      </c>
    </row>
    <row r="25" spans="2:16">
      <c r="B25" s="2">
        <v>0.4</v>
      </c>
      <c r="C25" s="1">
        <v>14.545500000000001</v>
      </c>
      <c r="D25" s="1">
        <v>12.4818</v>
      </c>
      <c r="E25" s="1">
        <v>13.484999999999999</v>
      </c>
      <c r="I25">
        <v>12.8544</v>
      </c>
      <c r="J25">
        <v>9.9391999999999996</v>
      </c>
      <c r="K25">
        <v>16.670000000000002</v>
      </c>
      <c r="M25" s="2">
        <v>0.4</v>
      </c>
    </row>
    <row r="26" spans="2:16">
      <c r="B26" s="2">
        <v>0.5</v>
      </c>
      <c r="C26" s="1">
        <v>14.4084</v>
      </c>
      <c r="D26" s="1">
        <v>15.773899999999999</v>
      </c>
      <c r="E26" s="1">
        <v>15.0809</v>
      </c>
      <c r="M26" s="2">
        <v>0.5</v>
      </c>
      <c r="N26">
        <v>14.4102</v>
      </c>
      <c r="O26">
        <v>15.8591</v>
      </c>
      <c r="P26">
        <v>15.123699999999999</v>
      </c>
    </row>
    <row r="27" spans="2:16">
      <c r="B27" s="2">
        <v>0.6</v>
      </c>
      <c r="C27" s="1">
        <v>13.8475</v>
      </c>
      <c r="D27" s="1">
        <v>15.602399999999999</v>
      </c>
      <c r="E27" s="1">
        <v>14.689</v>
      </c>
      <c r="I27" t="s">
        <v>21</v>
      </c>
      <c r="M27" s="2">
        <v>0.6</v>
      </c>
      <c r="N27">
        <v>13.423400000000001</v>
      </c>
      <c r="O27">
        <v>16.3245</v>
      </c>
      <c r="P27">
        <v>14.814500000000001</v>
      </c>
    </row>
    <row r="28" spans="2:16">
      <c r="B28" s="2">
        <v>0.7</v>
      </c>
      <c r="C28" s="1">
        <v>13.780900000000001</v>
      </c>
      <c r="D28" s="1">
        <v>15.9817</v>
      </c>
      <c r="E28" s="1">
        <v>14.8362</v>
      </c>
      <c r="I28" s="1" t="s">
        <v>17</v>
      </c>
      <c r="J28" s="1" t="s">
        <v>13</v>
      </c>
      <c r="K28" s="1" t="s">
        <v>15</v>
      </c>
      <c r="M28" s="2">
        <v>0.7</v>
      </c>
      <c r="N28">
        <v>13.780900000000001</v>
      </c>
      <c r="O28">
        <v>15.9817</v>
      </c>
      <c r="P28">
        <v>14.8362</v>
      </c>
    </row>
    <row r="29" spans="2:16">
      <c r="B29" s="1">
        <v>0.8</v>
      </c>
      <c r="C29" s="1"/>
      <c r="D29" s="1"/>
      <c r="E29" s="1"/>
      <c r="I29">
        <v>15.2723</v>
      </c>
      <c r="J29">
        <v>14.478199999999999</v>
      </c>
      <c r="K29">
        <v>16.091799999999999</v>
      </c>
    </row>
    <row r="30" spans="2:16">
      <c r="B30" s="1">
        <v>0.9</v>
      </c>
      <c r="C30" s="1"/>
      <c r="D30" s="1"/>
      <c r="E30" s="1"/>
    </row>
    <row r="31" spans="2:16">
      <c r="B31" s="1">
        <v>1</v>
      </c>
      <c r="C31" s="1"/>
      <c r="D31" s="1"/>
      <c r="E31" s="1"/>
      <c r="I31" t="s">
        <v>25</v>
      </c>
    </row>
    <row r="32" spans="2:16">
      <c r="B32" s="1"/>
      <c r="C32" s="1"/>
      <c r="D32" s="1"/>
      <c r="E32" s="1"/>
      <c r="I32" s="1" t="s">
        <v>17</v>
      </c>
      <c r="J32" s="1" t="s">
        <v>13</v>
      </c>
      <c r="K32" s="1" t="s">
        <v>15</v>
      </c>
    </row>
    <row r="33" spans="5:11">
      <c r="E33" t="s">
        <v>23</v>
      </c>
      <c r="I33">
        <v>11.8459</v>
      </c>
      <c r="J33">
        <v>15.890700000000001</v>
      </c>
      <c r="K33">
        <v>8.2247000000000003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FE48-F265-CE49-9F22-3C0873205965}">
  <dimension ref="B2:P33"/>
  <sheetViews>
    <sheetView topLeftCell="A13" workbookViewId="0">
      <selection activeCell="B2" sqref="B2:E2"/>
    </sheetView>
  </sheetViews>
  <sheetFormatPr baseColWidth="10" defaultRowHeight="20"/>
  <sheetData>
    <row r="2" spans="2:16">
      <c r="B2" s="1"/>
      <c r="C2" s="1" t="s">
        <v>5</v>
      </c>
      <c r="D2" s="1"/>
      <c r="E2" s="1"/>
      <c r="F2" s="1" t="s">
        <v>6</v>
      </c>
      <c r="G2" t="s">
        <v>9</v>
      </c>
      <c r="I2" t="s">
        <v>11</v>
      </c>
    </row>
    <row r="3" spans="2:16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I3" s="1" t="s">
        <v>17</v>
      </c>
      <c r="J3" s="1" t="s">
        <v>13</v>
      </c>
      <c r="K3" s="1" t="s">
        <v>15</v>
      </c>
    </row>
    <row r="4" spans="2:16">
      <c r="B4" s="1">
        <v>0</v>
      </c>
      <c r="C4" t="e">
        <f>ROUND(AVERAGE(seed1!C4,seed2!C4,seed3!C4,seed4!C4,seed5!C4),4)</f>
        <v>#DIV/0!</v>
      </c>
      <c r="D4" t="e">
        <f>ROUND(AVERAGE(seed1!D4,seed2!D4,seed3!D4,seed4!D4,seed5!D4),4)</f>
        <v>#DIV/0!</v>
      </c>
      <c r="E4" t="e">
        <f>ROUND(AVERAGE(seed1!E4,seed2!E4,seed3!E4,seed4!E4,seed5!E4),4)</f>
        <v>#DIV/0!</v>
      </c>
      <c r="I4">
        <f>ROUND(AVERAGE(seed1!I4,seed2!I4,seed3!I4,seed4!I4,seed5!I4),4)</f>
        <v>15.154299999999999</v>
      </c>
      <c r="J4">
        <f>ROUND(AVERAGE(seed1!J4,seed2!J4,seed3!J4,seed4!J4,seed5!J4),4)</f>
        <v>14.1167</v>
      </c>
      <c r="K4">
        <f>ROUND(AVERAGE(seed1!K4,seed2!K4,seed3!K4,seed4!K4,seed5!K4),4)</f>
        <v>16.365400000000001</v>
      </c>
    </row>
    <row r="5" spans="2:16">
      <c r="B5" s="1">
        <v>0.1</v>
      </c>
      <c r="C5" t="e">
        <f>ROUND(AVERAGE(seed1!C5,seed2!C5,seed3!C5,seed4!C5,seed5!C5),4)</f>
        <v>#DIV/0!</v>
      </c>
      <c r="D5" t="e">
        <f>ROUND(AVERAGE(seed1!D5,seed2!D5,seed3!D5,seed4!D5,seed5!D5),4)</f>
        <v>#DIV/0!</v>
      </c>
      <c r="E5" t="e">
        <f>ROUND(AVERAGE(seed1!E5,seed2!E5,seed3!E5,seed4!E5,seed5!E5),4)</f>
        <v>#DIV/0!</v>
      </c>
    </row>
    <row r="6" spans="2:16">
      <c r="B6" s="1">
        <v>0.2</v>
      </c>
      <c r="C6" t="e">
        <f>ROUND(AVERAGE(seed1!C6,seed2!C6,seed3!C6,seed4!C6,seed5!C6),4)</f>
        <v>#DIV/0!</v>
      </c>
      <c r="D6" t="e">
        <f>ROUND(AVERAGE(seed1!D6,seed2!D6,seed3!D6,seed4!D6,seed5!D6),4)</f>
        <v>#DIV/0!</v>
      </c>
      <c r="E6" t="e">
        <f>ROUND(AVERAGE(seed1!E6,seed2!E6,seed3!E6,seed4!E6,seed5!E6),4)</f>
        <v>#DIV/0!</v>
      </c>
      <c r="I6" t="s">
        <v>19</v>
      </c>
    </row>
    <row r="7" spans="2:16">
      <c r="B7" s="2">
        <v>0.3</v>
      </c>
      <c r="C7">
        <f>ROUND(AVERAGE(seed1!C7,seed2!C7,seed3!C7,seed4!C7,seed5!C7),4)</f>
        <v>15.3056</v>
      </c>
      <c r="D7">
        <f>ROUND(AVERAGE(seed1!D7,seed2!D7,seed3!D7,seed4!D7,seed5!D7),4)</f>
        <v>14.827299999999999</v>
      </c>
      <c r="E7">
        <f>ROUND(AVERAGE(seed1!E7,seed2!E7,seed3!E7,seed4!E7,seed5!E7),4)</f>
        <v>15.0741</v>
      </c>
      <c r="I7" s="1" t="s">
        <v>17</v>
      </c>
      <c r="J7" s="1" t="s">
        <v>13</v>
      </c>
      <c r="K7" s="1" t="s">
        <v>15</v>
      </c>
      <c r="M7" s="2">
        <v>0.3</v>
      </c>
    </row>
    <row r="8" spans="2:16">
      <c r="B8" s="2">
        <v>0.4</v>
      </c>
      <c r="C8">
        <f>ROUND(AVERAGE(seed1!C8,seed2!C8,seed3!C8,seed4!C8,seed5!C8),4)</f>
        <v>15.152799999999999</v>
      </c>
      <c r="D8">
        <f>ROUND(AVERAGE(seed1!D8,seed2!D8,seed3!D8,seed4!D8,seed5!D8),4)</f>
        <v>14.686999999999999</v>
      </c>
      <c r="E8">
        <f>ROUND(AVERAGE(seed1!E8,seed2!E8,seed3!E8,seed4!E8,seed5!E8),4)</f>
        <v>14.9274</v>
      </c>
      <c r="I8">
        <f>ROUND(AVERAGE(seed1!I8,seed2!I8,seed3!I8,seed4!I8,seed5!I8),4)</f>
        <v>14.231199999999999</v>
      </c>
      <c r="J8">
        <f>ROUND(AVERAGE(seed1!J8,seed2!J8,seed3!J8,seed4!J8,seed5!J8),4)</f>
        <v>12.286199999999999</v>
      </c>
      <c r="K8">
        <f>ROUND(AVERAGE(seed1!K8,seed2!K8,seed3!K8,seed4!K8,seed5!K8),4)</f>
        <v>16.670000000000002</v>
      </c>
      <c r="M8" s="2">
        <v>0.4</v>
      </c>
    </row>
    <row r="9" spans="2:16">
      <c r="B9" s="2">
        <v>0.5</v>
      </c>
      <c r="C9">
        <f>ROUND(AVERAGE(seed1!C9,seed2!C9,seed3!C9,seed4!C9,seed5!C9),4)</f>
        <v>14.907</v>
      </c>
      <c r="D9">
        <f>ROUND(AVERAGE(seed1!D9,seed2!D9,seed3!D9,seed4!D9,seed5!D9),4)</f>
        <v>15.745900000000001</v>
      </c>
      <c r="E9">
        <f>ROUND(AVERAGE(seed1!E9,seed2!E9,seed3!E9,seed4!E9,seed5!E9),4)</f>
        <v>15.3109</v>
      </c>
      <c r="M9" s="2">
        <v>0.5</v>
      </c>
      <c r="N9">
        <f>ROUND(AVERAGE(seed1!N9,seed2!N9,seed3!N9,seed4!N9,seed5!N9),4)</f>
        <v>14.708500000000001</v>
      </c>
      <c r="O9">
        <f>ROUND(AVERAGE(seed1!O9,seed2!O9,seed3!O9,seed4!O9,seed5!O9),4)</f>
        <v>15.9956</v>
      </c>
      <c r="P9">
        <f>ROUND(AVERAGE(seed1!P9,seed2!P9,seed3!P9,seed4!P9,seed5!P9),4)</f>
        <v>15.3337</v>
      </c>
    </row>
    <row r="10" spans="2:16">
      <c r="B10" s="2">
        <v>0.6</v>
      </c>
      <c r="C10">
        <f>ROUND(AVERAGE(seed1!C10,seed2!C10,seed3!C10,seed4!C10,seed5!C10),4)</f>
        <v>14.1067</v>
      </c>
      <c r="D10">
        <f>ROUND(AVERAGE(seed1!D10,seed2!D10,seed3!D10,seed4!D10,seed5!D10),4)</f>
        <v>16.067</v>
      </c>
      <c r="E10">
        <f>ROUND(AVERAGE(seed1!E10,seed2!E10,seed3!E10,seed4!E10,seed5!E10),4)</f>
        <v>15.037699999999999</v>
      </c>
      <c r="I10" t="s">
        <v>21</v>
      </c>
      <c r="M10" s="2">
        <v>0.6</v>
      </c>
      <c r="N10">
        <f>ROUND(AVERAGE(seed1!N10,seed2!N10,seed3!N10,seed4!N10,seed5!N10),4)</f>
        <v>14.091200000000001</v>
      </c>
      <c r="O10">
        <f>ROUND(AVERAGE(seed1!O10,seed2!O10,seed3!O10,seed4!O10,seed5!O10),4)</f>
        <v>16.369800000000001</v>
      </c>
      <c r="P10">
        <f>ROUND(AVERAGE(seed1!P10,seed2!P10,seed3!P10,seed4!P10,seed5!P10),4)</f>
        <v>15.160600000000001</v>
      </c>
    </row>
    <row r="11" spans="2:16">
      <c r="B11" s="2">
        <v>0.7</v>
      </c>
      <c r="C11">
        <f>ROUND(AVERAGE(seed1!C11,seed2!C11,seed3!C11,seed4!C11,seed5!C11),4)</f>
        <v>13.704499999999999</v>
      </c>
      <c r="D11">
        <f>ROUND(AVERAGE(seed1!D11,seed2!D11,seed3!D11,seed4!D11,seed5!D11),4)</f>
        <v>16.402699999999999</v>
      </c>
      <c r="E11">
        <f>ROUND(AVERAGE(seed1!E11,seed2!E11,seed3!E11,seed4!E11,seed5!E11),4)</f>
        <v>14.955500000000001</v>
      </c>
      <c r="I11" s="1" t="s">
        <v>17</v>
      </c>
      <c r="J11" s="1" t="s">
        <v>13</v>
      </c>
      <c r="K11" s="1" t="s">
        <v>15</v>
      </c>
      <c r="M11" s="2">
        <v>0.7</v>
      </c>
      <c r="N11">
        <f>ROUND(AVERAGE(seed1!N11,seed2!N11,seed3!N11,seed4!N11,seed5!N11),4)</f>
        <v>13.678000000000001</v>
      </c>
      <c r="O11">
        <f>ROUND(AVERAGE(seed1!O11,seed2!O11,seed3!O11,seed4!O11,seed5!O11),4)</f>
        <v>16.440200000000001</v>
      </c>
      <c r="P11">
        <f>ROUND(AVERAGE(seed1!P11,seed2!P11,seed3!P11,seed4!P11,seed5!P11),4)</f>
        <v>14.9559</v>
      </c>
    </row>
    <row r="12" spans="2:16">
      <c r="B12" s="1">
        <v>0.8</v>
      </c>
      <c r="C12" t="e">
        <f>ROUND(AVERAGE(seed1!C12,seed2!C12,seed3!C12,seed4!C12,seed5!C12),4)</f>
        <v>#DIV/0!</v>
      </c>
      <c r="D12" t="e">
        <f>ROUND(AVERAGE(seed1!D12,seed2!D12,seed3!D12,seed4!D12,seed5!D12),4)</f>
        <v>#DIV/0!</v>
      </c>
      <c r="E12" t="e">
        <f>ROUND(AVERAGE(seed1!E12,seed2!E12,seed3!E12,seed4!E12,seed5!E12),4)</f>
        <v>#DIV/0!</v>
      </c>
      <c r="I12">
        <f>ROUND(AVERAGE(seed1!I12,seed2!I12,seed3!I12,seed4!I12,seed5!I12),4)</f>
        <v>15.347</v>
      </c>
      <c r="J12">
        <f>ROUND(AVERAGE(seed1!J12,seed2!J12,seed3!J12,seed4!J12,seed5!J12),4)</f>
        <v>14.5801</v>
      </c>
      <c r="K12">
        <f>ROUND(AVERAGE(seed1!K12,seed2!K12,seed3!K12,seed4!K12,seed5!K12),4)</f>
        <v>16.194500000000001</v>
      </c>
    </row>
    <row r="13" spans="2:16">
      <c r="B13" s="1">
        <v>0.9</v>
      </c>
      <c r="C13" t="e">
        <f>ROUND(AVERAGE(seed1!C13,seed2!C13,seed3!C13,seed4!C13,seed5!C13),4)</f>
        <v>#DIV/0!</v>
      </c>
      <c r="D13" t="e">
        <f>ROUND(AVERAGE(seed1!D13,seed2!D13,seed3!D13,seed4!D13,seed5!D13),4)</f>
        <v>#DIV/0!</v>
      </c>
      <c r="E13" t="e">
        <f>ROUND(AVERAGE(seed1!E13,seed2!E13,seed3!E13,seed4!E13,seed5!E13),4)</f>
        <v>#DIV/0!</v>
      </c>
    </row>
    <row r="14" spans="2:16">
      <c r="B14" s="1">
        <v>1</v>
      </c>
      <c r="C14" t="e">
        <f>ROUND(AVERAGE(seed1!C14,seed2!C14,seed3!C14,seed4!C14,seed5!C14),4)</f>
        <v>#DIV/0!</v>
      </c>
      <c r="D14" t="e">
        <f>ROUND(AVERAGE(seed1!D14,seed2!D14,seed3!D14,seed4!D14,seed5!D14),4)</f>
        <v>#DIV/0!</v>
      </c>
      <c r="E14" t="e">
        <f>ROUND(AVERAGE(seed1!E14,seed2!E14,seed3!E14,seed4!E14,seed5!E14),4)</f>
        <v>#DIV/0!</v>
      </c>
      <c r="I14" t="s">
        <v>25</v>
      </c>
    </row>
    <row r="15" spans="2:16">
      <c r="B15" s="1"/>
      <c r="C15" s="1"/>
      <c r="D15" s="1"/>
      <c r="E15" s="1"/>
      <c r="I15" s="1" t="s">
        <v>17</v>
      </c>
      <c r="J15" s="1" t="s">
        <v>13</v>
      </c>
      <c r="K15" s="1" t="s">
        <v>15</v>
      </c>
    </row>
    <row r="16" spans="2:16">
      <c r="E16" t="s">
        <v>23</v>
      </c>
      <c r="I16">
        <f>ROUND(AVERAGE(seed1!I16,seed2!I16,seed3!I16,seed4!I16,seed5!I16),4)</f>
        <v>14.7942</v>
      </c>
      <c r="J16">
        <f>ROUND(AVERAGE(seed1!J16,seed2!J16,seed3!J16,seed4!J16,seed5!J16),4)</f>
        <v>15.5166</v>
      </c>
      <c r="K16">
        <f>ROUND(AVERAGE(seed1!K16,seed2!K16,seed3!K16,seed4!K16,seed5!K16),4)</f>
        <v>14.045999999999999</v>
      </c>
    </row>
    <row r="19" spans="2:16">
      <c r="B19" s="1"/>
      <c r="C19" s="1" t="s">
        <v>5</v>
      </c>
      <c r="D19" s="1"/>
      <c r="E19" s="1" t="s">
        <v>27</v>
      </c>
      <c r="F19" s="1" t="s">
        <v>6</v>
      </c>
      <c r="G19" t="s">
        <v>9</v>
      </c>
      <c r="I19" t="s">
        <v>11</v>
      </c>
    </row>
    <row r="20" spans="2:16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I20" s="1" t="s">
        <v>17</v>
      </c>
      <c r="J20" s="1" t="s">
        <v>13</v>
      </c>
      <c r="K20" s="1" t="s">
        <v>15</v>
      </c>
    </row>
    <row r="21" spans="2:16">
      <c r="B21" s="1">
        <v>0</v>
      </c>
      <c r="C21" t="e">
        <f>ROUND(AVERAGE(seed1!C21,seed2!C21,seed3!C21,seed4!C21,seed5!C21),4)</f>
        <v>#DIV/0!</v>
      </c>
      <c r="D21" t="e">
        <f>ROUND(AVERAGE(seed1!D21,seed2!D21,seed3!D21,seed4!D21,seed5!D21),4)</f>
        <v>#DIV/0!</v>
      </c>
      <c r="E21" t="e">
        <f>ROUND(AVERAGE(seed1!E21,seed2!E21,seed3!E21,seed4!E21,seed5!E21),4)</f>
        <v>#DIV/0!</v>
      </c>
      <c r="I21">
        <f>ROUND(AVERAGE(seed1!I21,seed2!I21,seed3!I21,seed4!I21,seed5!I21),4)</f>
        <v>14.5312</v>
      </c>
      <c r="J21">
        <f>ROUND(AVERAGE(seed1!J21,seed2!J21,seed3!J21,seed4!J21,seed5!J21),4)</f>
        <v>12.924200000000001</v>
      </c>
      <c r="K21">
        <f>ROUND(AVERAGE(seed1!K21,seed2!K21,seed3!K21,seed4!K21,seed5!K21),4)</f>
        <v>16.296900000000001</v>
      </c>
    </row>
    <row r="22" spans="2:16">
      <c r="B22" s="1">
        <v>0.1</v>
      </c>
      <c r="C22" t="e">
        <f>ROUND(AVERAGE(seed1!C22,seed2!C22,seed3!C22,seed4!C22,seed5!C22),4)</f>
        <v>#DIV/0!</v>
      </c>
      <c r="D22" t="e">
        <f>ROUND(AVERAGE(seed1!D22,seed2!D22,seed3!D22,seed4!D22,seed5!D22),4)</f>
        <v>#DIV/0!</v>
      </c>
      <c r="E22" t="e">
        <f>ROUND(AVERAGE(seed1!E22,seed2!E22,seed3!E22,seed4!E22,seed5!E22),4)</f>
        <v>#DIV/0!</v>
      </c>
    </row>
    <row r="23" spans="2:16">
      <c r="B23" s="1">
        <v>0.2</v>
      </c>
      <c r="C23" t="e">
        <f>ROUND(AVERAGE(seed1!C23,seed2!C23,seed3!C23,seed4!C23,seed5!C23),4)</f>
        <v>#DIV/0!</v>
      </c>
      <c r="D23" t="e">
        <f>ROUND(AVERAGE(seed1!D23,seed2!D23,seed3!D23,seed4!D23,seed5!D23),4)</f>
        <v>#DIV/0!</v>
      </c>
      <c r="E23" t="e">
        <f>ROUND(AVERAGE(seed1!E23,seed2!E23,seed3!E23,seed4!E23,seed5!E23),4)</f>
        <v>#DIV/0!</v>
      </c>
      <c r="I23" t="s">
        <v>19</v>
      </c>
    </row>
    <row r="24" spans="2:16">
      <c r="B24" s="2">
        <v>0.3</v>
      </c>
      <c r="C24">
        <f>ROUND(AVERAGE(seed1!C24,seed2!C24,seed3!C24,seed4!C24,seed5!C24),4)</f>
        <v>14.7667</v>
      </c>
      <c r="D24">
        <f>ROUND(AVERAGE(seed1!D24,seed2!D24,seed3!D24,seed4!D24,seed5!D24),4)</f>
        <v>14.0236</v>
      </c>
      <c r="E24">
        <f>ROUND(AVERAGE(seed1!E24,seed2!E24,seed3!E24,seed4!E24,seed5!E24),4)</f>
        <v>14.4133</v>
      </c>
      <c r="I24" s="1" t="s">
        <v>17</v>
      </c>
      <c r="J24" s="1" t="s">
        <v>13</v>
      </c>
      <c r="K24" s="1" t="s">
        <v>15</v>
      </c>
      <c r="M24" s="2">
        <v>0.3</v>
      </c>
    </row>
    <row r="25" spans="2:16">
      <c r="B25" s="2">
        <v>0.4</v>
      </c>
      <c r="C25">
        <f>ROUND(AVERAGE(seed1!C25,seed2!C25,seed3!C25,seed4!C25,seed5!C25),4)</f>
        <v>14.5122</v>
      </c>
      <c r="D25">
        <f>ROUND(AVERAGE(seed1!D25,seed2!D25,seed3!D25,seed4!D25,seed5!D25),4)</f>
        <v>13.816000000000001</v>
      </c>
      <c r="E25">
        <f>ROUND(AVERAGE(seed1!E25,seed2!E25,seed3!E25,seed4!E25,seed5!E25),4)</f>
        <v>14.1721</v>
      </c>
      <c r="I25">
        <f>ROUND(AVERAGE(seed1!I25,seed2!I25,seed3!I25,seed4!I25,seed5!I25),4)</f>
        <v>13.262700000000001</v>
      </c>
      <c r="J25">
        <f>ROUND(AVERAGE(seed1!J25,seed2!J25,seed3!J25,seed4!J25,seed5!J25),4)</f>
        <v>11.8354</v>
      </c>
      <c r="K25">
        <f>ROUND(AVERAGE(seed1!K25,seed2!K25,seed3!K25,seed4!K25,seed5!K25),4)</f>
        <v>16.670000000000002</v>
      </c>
      <c r="M25" s="2">
        <v>0.4</v>
      </c>
    </row>
    <row r="26" spans="2:16">
      <c r="B26" s="2">
        <v>0.5</v>
      </c>
      <c r="C26">
        <f>ROUND(AVERAGE(seed1!C26,seed2!C26,seed3!C26,seed4!C26,seed5!C26),4)</f>
        <v>14.1196</v>
      </c>
      <c r="D26">
        <f>ROUND(AVERAGE(seed1!D26,seed2!D26,seed3!D26,seed4!D26,seed5!D26),4)</f>
        <v>15.3569</v>
      </c>
      <c r="E26">
        <f>ROUND(AVERAGE(seed1!E26,seed2!E26,seed3!E26,seed4!E26,seed5!E26),4)</f>
        <v>14.770300000000001</v>
      </c>
      <c r="M26" s="2">
        <v>0.5</v>
      </c>
      <c r="N26">
        <f>ROUND(AVERAGE(seed1!N26,seed2!N26,seed3!N26,seed4!N26,seed5!N26),4)</f>
        <v>13.856299999999999</v>
      </c>
      <c r="O26">
        <f>ROUND(AVERAGE(seed1!O26,seed2!O26,seed3!O26,seed4!O26,seed5!O26),4)</f>
        <v>15.762</v>
      </c>
      <c r="P26">
        <f>ROUND(AVERAGE(seed1!P26,seed2!P26,seed3!P26,seed4!P26,seed5!P26),4)</f>
        <v>14.793900000000001</v>
      </c>
    </row>
    <row r="27" spans="2:16">
      <c r="B27" s="2">
        <v>0.6</v>
      </c>
      <c r="C27">
        <f>ROUND(AVERAGE(seed1!C27,seed2!C27,seed3!C27,seed4!C27,seed5!C27),4)</f>
        <v>13.091799999999999</v>
      </c>
      <c r="D27">
        <f>ROUND(AVERAGE(seed1!D27,seed2!D27,seed3!D27,seed4!D27,seed5!D27),4)</f>
        <v>15.8384</v>
      </c>
      <c r="E27">
        <f>ROUND(AVERAGE(seed1!E27,seed2!E27,seed3!E27,seed4!E27,seed5!E27),4)</f>
        <v>14.394600000000001</v>
      </c>
      <c r="I27" t="s">
        <v>21</v>
      </c>
      <c r="M27" s="2">
        <v>0.6</v>
      </c>
      <c r="N27">
        <f>ROUND(AVERAGE(seed1!N27,seed2!N27,seed3!N27,seed4!N27,seed5!N27),4)</f>
        <v>13.075900000000001</v>
      </c>
      <c r="O27">
        <f>ROUND(AVERAGE(seed1!O27,seed2!O27,seed3!O27,seed4!O27,seed5!O27),4)</f>
        <v>16.317</v>
      </c>
      <c r="P27">
        <f>ROUND(AVERAGE(seed1!P27,seed2!P27,seed3!P27,seed4!P27,seed5!P27),4)</f>
        <v>14.592599999999999</v>
      </c>
    </row>
    <row r="28" spans="2:16">
      <c r="B28" s="2">
        <v>0.7</v>
      </c>
      <c r="C28">
        <f>ROUND(AVERAGE(seed1!C28,seed2!C28,seed3!C28,seed4!C28,seed5!C28),4)</f>
        <v>12.477600000000001</v>
      </c>
      <c r="D28">
        <f>ROUND(AVERAGE(seed1!D28,seed2!D28,seed3!D28,seed4!D28,seed5!D28),4)</f>
        <v>16.370899999999999</v>
      </c>
      <c r="E28">
        <f>ROUND(AVERAGE(seed1!E28,seed2!E28,seed3!E28,seed4!E28,seed5!E28),4)</f>
        <v>14.2714</v>
      </c>
      <c r="I28" s="1" t="s">
        <v>17</v>
      </c>
      <c r="J28" s="1" t="s">
        <v>13</v>
      </c>
      <c r="K28" s="1" t="s">
        <v>15</v>
      </c>
      <c r="M28" s="2">
        <v>0.7</v>
      </c>
      <c r="N28">
        <f>ROUND(AVERAGE(seed1!N28,seed2!N28,seed3!N28,seed4!N28,seed5!N28),4)</f>
        <v>12.4352</v>
      </c>
      <c r="O28">
        <f>ROUND(AVERAGE(seed1!O28,seed2!O28,seed3!O28,seed4!O28,seed5!O28),4)</f>
        <v>16.4345</v>
      </c>
      <c r="P28">
        <f>ROUND(AVERAGE(seed1!P28,seed2!P28,seed3!P28,seed4!P28,seed5!P28),4)</f>
        <v>14.273400000000001</v>
      </c>
    </row>
    <row r="29" spans="2:16">
      <c r="B29" s="1">
        <v>0.8</v>
      </c>
      <c r="C29" t="e">
        <f>ROUND(AVERAGE(seed1!C29,seed2!C29,seed3!C29,seed4!C29,seed5!C29),4)</f>
        <v>#DIV/0!</v>
      </c>
      <c r="D29" t="e">
        <f>ROUND(AVERAGE(seed1!D29,seed2!D29,seed3!D29,seed4!D29,seed5!D29),4)</f>
        <v>#DIV/0!</v>
      </c>
      <c r="E29" t="e">
        <f>ROUND(AVERAGE(seed1!E29,seed2!E29,seed3!E29,seed4!E29,seed5!E29),4)</f>
        <v>#DIV/0!</v>
      </c>
      <c r="I29">
        <f>ROUND(AVERAGE(seed1!I29,seed2!I29,seed3!I29,seed4!I29,seed5!I29),4)</f>
        <v>14.8127</v>
      </c>
      <c r="J29">
        <f>ROUND(AVERAGE(seed1!J29,seed2!J29,seed3!J29,seed4!J29,seed5!J29),4)</f>
        <v>13.710599999999999</v>
      </c>
      <c r="K29">
        <f>ROUND(AVERAGE(seed1!K29,seed2!K29,seed3!K29,seed4!K29,seed5!K29),4)</f>
        <v>16.0852</v>
      </c>
    </row>
    <row r="30" spans="2:16">
      <c r="B30" s="1">
        <v>0.9</v>
      </c>
      <c r="C30" t="e">
        <f>ROUND(AVERAGE(seed1!C30,seed2!C30,seed3!C30,seed4!C30,seed5!C30),4)</f>
        <v>#DIV/0!</v>
      </c>
      <c r="D30" t="e">
        <f>ROUND(AVERAGE(seed1!D30,seed2!D30,seed3!D30,seed4!D30,seed5!D30),4)</f>
        <v>#DIV/0!</v>
      </c>
      <c r="E30" t="e">
        <f>ROUND(AVERAGE(seed1!E30,seed2!E30,seed3!E30,seed4!E30,seed5!E30),4)</f>
        <v>#DIV/0!</v>
      </c>
    </row>
    <row r="31" spans="2:16">
      <c r="B31" s="1">
        <v>1</v>
      </c>
      <c r="C31" t="e">
        <f>ROUND(AVERAGE(seed1!C31,seed2!C31,seed3!C31,seed4!C31,seed5!C31),4)</f>
        <v>#DIV/0!</v>
      </c>
      <c r="D31" t="e">
        <f>ROUND(AVERAGE(seed1!D31,seed2!D31,seed3!D31,seed4!D31,seed5!D31),4)</f>
        <v>#DIV/0!</v>
      </c>
      <c r="E31" t="e">
        <f>ROUND(AVERAGE(seed1!E31,seed2!E31,seed3!E31,seed4!E31,seed5!E31),4)</f>
        <v>#DIV/0!</v>
      </c>
      <c r="I31" t="s">
        <v>25</v>
      </c>
    </row>
    <row r="32" spans="2:16">
      <c r="B32" s="1"/>
      <c r="C32" s="1"/>
      <c r="D32" s="1"/>
      <c r="E32" s="1"/>
      <c r="I32" s="1" t="s">
        <v>17</v>
      </c>
      <c r="J32" s="1" t="s">
        <v>13</v>
      </c>
      <c r="K32" s="1" t="s">
        <v>15</v>
      </c>
    </row>
    <row r="33" spans="5:11">
      <c r="E33" t="s">
        <v>23</v>
      </c>
      <c r="I33">
        <f>ROUND(AVERAGE(seed1!I33,seed2!I33,seed3!I33,seed4!I33,seed5!I33),4)</f>
        <v>13.9991</v>
      </c>
      <c r="J33">
        <f>ROUND(AVERAGE(seed1!J33,seed2!J33,seed3!J33,seed4!J33,seed5!J33),4)</f>
        <v>15.112299999999999</v>
      </c>
      <c r="K33">
        <f>ROUND(AVERAGE(seed1!K33,seed2!K33,seed3!K33,seed4!K33,seed5!K33),4)</f>
        <v>13.2889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8462-7699-7D4F-B314-A224B9DC9C97}">
  <dimension ref="B2:O33"/>
  <sheetViews>
    <sheetView topLeftCell="H1" workbookViewId="0">
      <selection activeCell="I29" sqref="I29:K29"/>
    </sheetView>
  </sheetViews>
  <sheetFormatPr baseColWidth="10" defaultRowHeight="20"/>
  <sheetData>
    <row r="2" spans="2:15">
      <c r="B2" s="1"/>
      <c r="C2" s="1" t="s">
        <v>5</v>
      </c>
      <c r="D2" s="1"/>
      <c r="E2" s="1"/>
      <c r="F2" s="1" t="s">
        <v>6</v>
      </c>
      <c r="G2" t="s">
        <v>9</v>
      </c>
      <c r="I2" t="s">
        <v>11</v>
      </c>
      <c r="M2" t="s">
        <v>30</v>
      </c>
    </row>
    <row r="3" spans="2:15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I3" s="1" t="s">
        <v>17</v>
      </c>
      <c r="J3" s="1" t="s">
        <v>13</v>
      </c>
      <c r="K3" s="1" t="s">
        <v>15</v>
      </c>
      <c r="M3" s="1" t="s">
        <v>17</v>
      </c>
      <c r="N3" s="1" t="s">
        <v>12</v>
      </c>
      <c r="O3" s="1" t="s">
        <v>14</v>
      </c>
    </row>
    <row r="4" spans="2:15">
      <c r="B4" s="1">
        <v>0</v>
      </c>
      <c r="C4" s="1"/>
      <c r="D4" s="1"/>
      <c r="E4" s="1"/>
      <c r="I4">
        <v>13.328200000000001</v>
      </c>
      <c r="J4">
        <v>11.176500000000001</v>
      </c>
      <c r="K4">
        <v>16.125399999999999</v>
      </c>
      <c r="M4">
        <v>13.1447</v>
      </c>
      <c r="N4">
        <v>11.464600000000001</v>
      </c>
      <c r="O4">
        <v>15.290800000000001</v>
      </c>
    </row>
    <row r="5" spans="2:15">
      <c r="B5" s="1">
        <v>0.1</v>
      </c>
      <c r="C5" s="1"/>
      <c r="D5" s="1"/>
      <c r="E5" s="1"/>
    </row>
    <row r="6" spans="2:15">
      <c r="B6" s="1">
        <v>0.2</v>
      </c>
      <c r="C6" s="1"/>
      <c r="D6" s="1"/>
      <c r="E6" s="1"/>
      <c r="I6" t="s">
        <v>19</v>
      </c>
      <c r="M6" t="s">
        <v>31</v>
      </c>
    </row>
    <row r="7" spans="2:15">
      <c r="B7" s="2">
        <v>0.3</v>
      </c>
      <c r="C7" s="1"/>
      <c r="D7" s="1"/>
      <c r="E7" s="1"/>
      <c r="I7" s="1" t="s">
        <v>17</v>
      </c>
      <c r="J7" s="1" t="s">
        <v>13</v>
      </c>
      <c r="K7" s="1" t="s">
        <v>15</v>
      </c>
      <c r="M7" s="1" t="s">
        <v>17</v>
      </c>
      <c r="N7" s="1" t="s">
        <v>12</v>
      </c>
      <c r="O7" s="1" t="s">
        <v>14</v>
      </c>
    </row>
    <row r="8" spans="2:15">
      <c r="B8" s="2">
        <v>0.4</v>
      </c>
      <c r="C8" s="1"/>
      <c r="D8" s="1"/>
      <c r="E8" s="1"/>
      <c r="I8">
        <v>12.989100000000001</v>
      </c>
      <c r="J8">
        <v>10.3566</v>
      </c>
      <c r="K8">
        <v>16.6539</v>
      </c>
      <c r="M8">
        <v>12.7028</v>
      </c>
      <c r="N8">
        <v>12.380699999999999</v>
      </c>
      <c r="O8">
        <v>13.0632</v>
      </c>
    </row>
    <row r="9" spans="2:15">
      <c r="B9" s="2">
        <v>0.5</v>
      </c>
      <c r="C9" s="1"/>
      <c r="D9" s="1"/>
      <c r="E9" s="1"/>
    </row>
    <row r="10" spans="2:15">
      <c r="B10" s="2">
        <v>0.6</v>
      </c>
      <c r="C10" s="1"/>
      <c r="D10" s="1"/>
      <c r="E10" s="1"/>
      <c r="I10" t="s">
        <v>21</v>
      </c>
      <c r="M10" t="s">
        <v>32</v>
      </c>
    </row>
    <row r="11" spans="2:15">
      <c r="B11" s="2">
        <v>0.7</v>
      </c>
      <c r="C11" s="1"/>
      <c r="D11" s="1"/>
      <c r="E11" s="1"/>
      <c r="I11" s="1" t="s">
        <v>17</v>
      </c>
      <c r="J11" s="1" t="s">
        <v>13</v>
      </c>
      <c r="K11" s="1" t="s">
        <v>15</v>
      </c>
      <c r="M11" s="1" t="s">
        <v>17</v>
      </c>
      <c r="N11" s="1" t="s">
        <v>12</v>
      </c>
      <c r="O11" s="1" t="s">
        <v>14</v>
      </c>
    </row>
    <row r="12" spans="2:15">
      <c r="B12" s="1">
        <v>0.8</v>
      </c>
      <c r="C12" s="1"/>
      <c r="D12" s="1"/>
      <c r="E12" s="1"/>
      <c r="I12">
        <v>13.698499999999999</v>
      </c>
      <c r="J12">
        <v>11.757</v>
      </c>
      <c r="K12">
        <v>16.226299999999998</v>
      </c>
      <c r="M12">
        <v>13.147600000000001</v>
      </c>
      <c r="N12">
        <v>11.4664</v>
      </c>
      <c r="O12">
        <v>15.295199999999999</v>
      </c>
    </row>
    <row r="13" spans="2:15">
      <c r="B13" s="1">
        <v>0.9</v>
      </c>
      <c r="C13" s="1"/>
      <c r="D13" s="1"/>
      <c r="E13" s="1"/>
    </row>
    <row r="14" spans="2:15">
      <c r="B14" s="1">
        <v>1</v>
      </c>
      <c r="C14" s="1"/>
      <c r="D14" s="1"/>
      <c r="E14" s="1"/>
      <c r="I14" t="s">
        <v>25</v>
      </c>
      <c r="M14" t="s">
        <v>33</v>
      </c>
    </row>
    <row r="15" spans="2:15">
      <c r="B15" s="1"/>
      <c r="C15" s="1"/>
      <c r="D15" s="1"/>
      <c r="E15" s="1"/>
      <c r="I15" s="1" t="s">
        <v>17</v>
      </c>
      <c r="J15" s="1" t="s">
        <v>13</v>
      </c>
      <c r="K15" s="1" t="s">
        <v>15</v>
      </c>
      <c r="M15" s="1" t="s">
        <v>17</v>
      </c>
      <c r="N15" s="1" t="s">
        <v>12</v>
      </c>
      <c r="O15" s="1" t="s">
        <v>14</v>
      </c>
    </row>
    <row r="16" spans="2:15">
      <c r="E16" t="s">
        <v>23</v>
      </c>
      <c r="I16">
        <v>12.354799999999999</v>
      </c>
      <c r="J16">
        <v>13.1778</v>
      </c>
      <c r="K16">
        <v>11.5046</v>
      </c>
      <c r="M16">
        <v>12.702199999999999</v>
      </c>
      <c r="N16">
        <v>12.4374</v>
      </c>
      <c r="O16">
        <v>12.9948</v>
      </c>
    </row>
    <row r="19" spans="2:15">
      <c r="B19" s="1"/>
      <c r="C19" s="1" t="s">
        <v>5</v>
      </c>
      <c r="D19" s="1"/>
      <c r="E19" s="1" t="s">
        <v>27</v>
      </c>
      <c r="F19" s="1" t="s">
        <v>6</v>
      </c>
      <c r="G19" t="s">
        <v>9</v>
      </c>
      <c r="I19" t="s">
        <v>11</v>
      </c>
      <c r="M19" t="s">
        <v>30</v>
      </c>
    </row>
    <row r="20" spans="2:15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I20" s="1" t="s">
        <v>17</v>
      </c>
      <c r="J20" s="1" t="s">
        <v>13</v>
      </c>
      <c r="K20" s="1" t="s">
        <v>15</v>
      </c>
      <c r="M20" s="1" t="s">
        <v>17</v>
      </c>
      <c r="N20" s="1" t="s">
        <v>12</v>
      </c>
      <c r="O20" s="1" t="s">
        <v>14</v>
      </c>
    </row>
    <row r="21" spans="2:15">
      <c r="B21" s="1">
        <v>0</v>
      </c>
      <c r="C21" s="1"/>
      <c r="D21" s="1"/>
      <c r="E21" s="1"/>
      <c r="I21">
        <v>12.8102</v>
      </c>
      <c r="J21">
        <v>10.2006</v>
      </c>
      <c r="K21">
        <v>16.212399999999999</v>
      </c>
      <c r="M21">
        <v>12.579800000000001</v>
      </c>
      <c r="N21">
        <v>10.557499999999999</v>
      </c>
      <c r="O21">
        <v>15.1586</v>
      </c>
    </row>
    <row r="22" spans="2:15">
      <c r="B22" s="1">
        <v>0.1</v>
      </c>
      <c r="C22" s="1"/>
      <c r="D22" s="1"/>
      <c r="E22" s="1"/>
    </row>
    <row r="23" spans="2:15">
      <c r="B23" s="1">
        <v>0.2</v>
      </c>
      <c r="C23" s="1"/>
      <c r="D23" s="1"/>
      <c r="E23" s="1"/>
      <c r="I23" t="s">
        <v>19</v>
      </c>
      <c r="M23" t="s">
        <v>31</v>
      </c>
    </row>
    <row r="24" spans="2:15">
      <c r="B24" s="2">
        <v>0.3</v>
      </c>
      <c r="C24" s="1"/>
      <c r="D24" s="1"/>
      <c r="E24" s="1"/>
      <c r="I24" s="1" t="s">
        <v>17</v>
      </c>
      <c r="J24" s="1" t="s">
        <v>13</v>
      </c>
      <c r="K24" s="1" t="s">
        <v>15</v>
      </c>
      <c r="M24" s="1" t="s">
        <v>17</v>
      </c>
      <c r="N24" s="1" t="s">
        <v>12</v>
      </c>
      <c r="O24" s="1" t="s">
        <v>14</v>
      </c>
    </row>
    <row r="25" spans="2:15">
      <c r="B25" s="2">
        <v>0.4</v>
      </c>
      <c r="C25" s="1"/>
      <c r="D25" s="1"/>
      <c r="E25" s="1"/>
      <c r="I25">
        <v>12.289199999999999</v>
      </c>
      <c r="J25">
        <v>9.2216000000000005</v>
      </c>
      <c r="K25">
        <v>16.6495</v>
      </c>
      <c r="M25">
        <v>12.033899999999999</v>
      </c>
      <c r="N25">
        <v>11.6744</v>
      </c>
      <c r="O25">
        <v>12.4222</v>
      </c>
    </row>
    <row r="26" spans="2:15">
      <c r="B26" s="2">
        <v>0.5</v>
      </c>
      <c r="C26" s="1"/>
      <c r="D26" s="1"/>
      <c r="E26" s="1"/>
    </row>
    <row r="27" spans="2:15">
      <c r="B27" s="2">
        <v>0.6</v>
      </c>
      <c r="C27" s="1"/>
      <c r="D27" s="1"/>
      <c r="E27" s="1"/>
      <c r="I27" t="s">
        <v>21</v>
      </c>
      <c r="M27" t="s">
        <v>32</v>
      </c>
    </row>
    <row r="28" spans="2:15">
      <c r="B28" s="2">
        <v>0.7</v>
      </c>
      <c r="C28" s="1"/>
      <c r="D28" s="1"/>
      <c r="E28" s="1"/>
      <c r="I28" s="1" t="s">
        <v>17</v>
      </c>
      <c r="J28" s="1" t="s">
        <v>13</v>
      </c>
      <c r="K28" s="1" t="s">
        <v>15</v>
      </c>
      <c r="M28" s="1" t="s">
        <v>17</v>
      </c>
      <c r="N28" s="1" t="s">
        <v>12</v>
      </c>
      <c r="O28" s="1" t="s">
        <v>14</v>
      </c>
    </row>
    <row r="29" spans="2:15">
      <c r="B29" s="1">
        <v>0.8</v>
      </c>
      <c r="C29" s="1"/>
      <c r="D29" s="1"/>
      <c r="E29" s="1"/>
      <c r="I29">
        <v>13.1699</v>
      </c>
      <c r="J29">
        <v>10.921099999999999</v>
      </c>
      <c r="K29">
        <v>16.107399999999998</v>
      </c>
      <c r="M29">
        <v>12.583500000000001</v>
      </c>
      <c r="N29">
        <v>10.559699999999999</v>
      </c>
      <c r="O29">
        <v>15.164099999999999</v>
      </c>
    </row>
    <row r="30" spans="2:15">
      <c r="B30" s="1">
        <v>0.9</v>
      </c>
      <c r="C30" s="1"/>
      <c r="D30" s="1"/>
      <c r="E30" s="1"/>
    </row>
    <row r="31" spans="2:15">
      <c r="B31" s="1">
        <v>1</v>
      </c>
      <c r="C31" s="1"/>
      <c r="D31" s="1"/>
      <c r="E31" s="1"/>
      <c r="I31" t="s">
        <v>25</v>
      </c>
      <c r="M31" t="s">
        <v>33</v>
      </c>
    </row>
    <row r="32" spans="2:15">
      <c r="B32" s="1"/>
      <c r="C32" s="1"/>
      <c r="D32" s="1"/>
      <c r="E32" s="1"/>
      <c r="I32" s="1" t="s">
        <v>17</v>
      </c>
      <c r="J32" s="1" t="s">
        <v>13</v>
      </c>
      <c r="K32" s="1" t="s">
        <v>15</v>
      </c>
      <c r="M32" s="1" t="s">
        <v>17</v>
      </c>
      <c r="N32" s="1" t="s">
        <v>12</v>
      </c>
      <c r="O32" s="1" t="s">
        <v>14</v>
      </c>
    </row>
    <row r="33" spans="5:15">
      <c r="E33" t="s">
        <v>23</v>
      </c>
      <c r="I33">
        <v>11.5907</v>
      </c>
      <c r="J33">
        <v>12.665699999999999</v>
      </c>
      <c r="K33">
        <v>10.5411</v>
      </c>
      <c r="M33">
        <v>12.0379</v>
      </c>
      <c r="N33">
        <v>11.746600000000001</v>
      </c>
      <c r="O33">
        <v>12.3476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CF0E-A659-5940-8284-761642A65D4F}">
  <dimension ref="B2:O35"/>
  <sheetViews>
    <sheetView topLeftCell="G4" workbookViewId="0">
      <selection activeCell="I29" sqref="I29:K29"/>
    </sheetView>
  </sheetViews>
  <sheetFormatPr baseColWidth="10" defaultRowHeight="20"/>
  <sheetData>
    <row r="2" spans="2:15">
      <c r="B2" s="1"/>
      <c r="C2" s="1" t="s">
        <v>4</v>
      </c>
      <c r="D2" s="1"/>
      <c r="E2" s="1"/>
      <c r="F2" s="1" t="s">
        <v>6</v>
      </c>
      <c r="G2" s="1" t="s">
        <v>8</v>
      </c>
      <c r="H2" s="1"/>
      <c r="I2" s="1" t="s">
        <v>10</v>
      </c>
      <c r="J2" s="1"/>
      <c r="K2" s="1"/>
      <c r="M2" t="s">
        <v>30</v>
      </c>
    </row>
    <row r="3" spans="2:15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/>
      <c r="H3" s="1"/>
      <c r="I3" s="1" t="s">
        <v>16</v>
      </c>
      <c r="J3" s="1" t="s">
        <v>12</v>
      </c>
      <c r="K3" s="1" t="s">
        <v>14</v>
      </c>
      <c r="M3" s="1" t="s">
        <v>17</v>
      </c>
      <c r="N3" s="1" t="s">
        <v>12</v>
      </c>
      <c r="O3" s="1" t="s">
        <v>14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13.1357</v>
      </c>
      <c r="J4" s="1">
        <v>11.4564</v>
      </c>
      <c r="K4" s="1">
        <v>15.02</v>
      </c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18</v>
      </c>
      <c r="J6" s="1"/>
      <c r="K6" s="1"/>
      <c r="M6" t="s">
        <v>31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16</v>
      </c>
      <c r="J7" s="1" t="s">
        <v>12</v>
      </c>
      <c r="K7" s="1" t="s">
        <v>14</v>
      </c>
      <c r="M7" s="1" t="s">
        <v>17</v>
      </c>
      <c r="N7" s="1" t="s">
        <v>12</v>
      </c>
      <c r="O7" s="1" t="s">
        <v>14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11.3217</v>
      </c>
      <c r="J8" s="1">
        <v>7.9661</v>
      </c>
      <c r="K8" s="1">
        <v>16.670000000000002</v>
      </c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20</v>
      </c>
      <c r="J10" s="1"/>
      <c r="K10" s="1"/>
      <c r="M10" t="s">
        <v>32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16</v>
      </c>
      <c r="J11" s="1" t="s">
        <v>12</v>
      </c>
      <c r="K11" s="1" t="s">
        <v>14</v>
      </c>
      <c r="M11" s="1" t="s">
        <v>17</v>
      </c>
      <c r="N11" s="1" t="s">
        <v>12</v>
      </c>
      <c r="O11" s="1" t="s">
        <v>14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13.4411</v>
      </c>
      <c r="J12" s="1">
        <v>11.9498</v>
      </c>
      <c r="K12" s="1">
        <v>15.1425</v>
      </c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M14" t="s">
        <v>33</v>
      </c>
    </row>
    <row r="15" spans="2:15">
      <c r="B15" s="1"/>
      <c r="C15" s="1"/>
      <c r="D15" s="1"/>
      <c r="E15" s="1"/>
      <c r="F15" s="1"/>
      <c r="G15" s="1"/>
      <c r="H15" s="1"/>
      <c r="I15" s="1" t="s">
        <v>16</v>
      </c>
      <c r="J15" s="1" t="s">
        <v>12</v>
      </c>
      <c r="K15" s="1" t="s">
        <v>14</v>
      </c>
      <c r="M15" s="1" t="s">
        <v>17</v>
      </c>
      <c r="N15" s="1" t="s">
        <v>12</v>
      </c>
      <c r="O15" s="1" t="s">
        <v>14</v>
      </c>
    </row>
    <row r="16" spans="2:15">
      <c r="B16" s="1"/>
      <c r="C16" s="1"/>
      <c r="D16" s="1"/>
      <c r="E16" s="1" t="s">
        <v>22</v>
      </c>
      <c r="F16" s="1"/>
      <c r="G16" s="1"/>
      <c r="H16" s="1"/>
      <c r="I16" s="1">
        <v>12.597</v>
      </c>
      <c r="J16" s="1">
        <v>12.8719</v>
      </c>
      <c r="K16" s="1">
        <v>12.327199999999999</v>
      </c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5">
      <c r="B19" s="1"/>
      <c r="C19" s="1" t="s">
        <v>4</v>
      </c>
      <c r="D19" s="1"/>
      <c r="E19" s="1" t="s">
        <v>26</v>
      </c>
      <c r="F19" s="1" t="s">
        <v>6</v>
      </c>
      <c r="G19" s="1" t="s">
        <v>8</v>
      </c>
      <c r="H19" s="1"/>
      <c r="I19" s="1" t="s">
        <v>10</v>
      </c>
      <c r="J19" s="1"/>
      <c r="K19" s="1"/>
      <c r="M19" t="s">
        <v>30</v>
      </c>
    </row>
    <row r="20" spans="2:15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G20" s="1"/>
      <c r="H20" s="1"/>
      <c r="I20" s="1" t="s">
        <v>16</v>
      </c>
      <c r="J20" s="1" t="s">
        <v>12</v>
      </c>
      <c r="K20" s="1" t="s">
        <v>14</v>
      </c>
      <c r="M20" s="1" t="s">
        <v>17</v>
      </c>
      <c r="N20" s="1" t="s">
        <v>12</v>
      </c>
      <c r="O20" s="1" t="s">
        <v>14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12.409000000000001</v>
      </c>
      <c r="J21" s="1">
        <v>10.208399999999999</v>
      </c>
      <c r="K21" s="1">
        <v>14.738899999999999</v>
      </c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18</v>
      </c>
      <c r="J23" s="1"/>
      <c r="K23" s="1"/>
      <c r="M23" t="s">
        <v>31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16</v>
      </c>
      <c r="J24" s="1" t="s">
        <v>12</v>
      </c>
      <c r="K24" s="1" t="s">
        <v>14</v>
      </c>
      <c r="M24" s="1" t="s">
        <v>17</v>
      </c>
      <c r="N24" s="1" t="s">
        <v>12</v>
      </c>
      <c r="O24" s="1" t="s">
        <v>14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10.4366</v>
      </c>
      <c r="J25" s="1">
        <v>6.5744999999999996</v>
      </c>
      <c r="K25" s="1">
        <v>16.670000000000002</v>
      </c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20</v>
      </c>
      <c r="J27" s="1"/>
      <c r="K27" s="1"/>
      <c r="M27" t="s">
        <v>32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16</v>
      </c>
      <c r="J28" s="1" t="s">
        <v>12</v>
      </c>
      <c r="K28" s="1" t="s">
        <v>14</v>
      </c>
      <c r="M28" s="1" t="s">
        <v>17</v>
      </c>
      <c r="N28" s="1" t="s">
        <v>12</v>
      </c>
      <c r="O28" s="1" t="s">
        <v>14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12.7849</v>
      </c>
      <c r="J29" s="1">
        <v>10.8474</v>
      </c>
      <c r="K29" s="1">
        <v>14.8934</v>
      </c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M31" t="s">
        <v>33</v>
      </c>
    </row>
    <row r="32" spans="2:15">
      <c r="B32" s="1"/>
      <c r="C32" s="1"/>
      <c r="D32" s="1"/>
      <c r="E32" s="1"/>
      <c r="F32" s="1"/>
      <c r="G32" s="1"/>
      <c r="H32" s="1"/>
      <c r="I32" s="1" t="s">
        <v>16</v>
      </c>
      <c r="J32" s="1" t="s">
        <v>12</v>
      </c>
      <c r="K32" s="1" t="s">
        <v>14</v>
      </c>
      <c r="M32" s="1" t="s">
        <v>17</v>
      </c>
      <c r="N32" s="1" t="s">
        <v>12</v>
      </c>
      <c r="O32" s="1" t="s">
        <v>14</v>
      </c>
    </row>
    <row r="33" spans="2:11">
      <c r="B33" s="1"/>
      <c r="C33" s="1"/>
      <c r="D33" s="1"/>
      <c r="E33" s="1" t="s">
        <v>22</v>
      </c>
      <c r="F33" s="1"/>
      <c r="G33" s="1"/>
      <c r="H33" s="1"/>
      <c r="I33" s="1">
        <v>11.782999999999999</v>
      </c>
      <c r="J33" s="1">
        <v>11.962999999999999</v>
      </c>
      <c r="K33" s="1">
        <v>11.620699999999999</v>
      </c>
    </row>
    <row r="34" spans="2:1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D388-BF8F-9548-862A-B2BECF64EE8D}">
  <dimension ref="B2:O35"/>
  <sheetViews>
    <sheetView topLeftCell="H4" workbookViewId="0">
      <selection activeCell="I29" sqref="I29:K29"/>
    </sheetView>
  </sheetViews>
  <sheetFormatPr baseColWidth="10" defaultRowHeight="20"/>
  <sheetData>
    <row r="2" spans="2:15">
      <c r="B2" s="1"/>
      <c r="C2" s="1" t="s">
        <v>4</v>
      </c>
      <c r="D2" s="1"/>
      <c r="E2" s="1"/>
      <c r="F2" s="1" t="s">
        <v>6</v>
      </c>
      <c r="G2" s="1" t="s">
        <v>8</v>
      </c>
      <c r="H2" s="1"/>
      <c r="I2" s="1" t="s">
        <v>10</v>
      </c>
      <c r="J2" s="1"/>
      <c r="K2" s="1"/>
      <c r="M2" t="s">
        <v>30</v>
      </c>
    </row>
    <row r="3" spans="2:15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/>
      <c r="H3" s="1"/>
      <c r="I3" s="1" t="s">
        <v>16</v>
      </c>
      <c r="J3" s="1" t="s">
        <v>12</v>
      </c>
      <c r="K3" s="1" t="s">
        <v>14</v>
      </c>
      <c r="M3" s="1" t="s">
        <v>17</v>
      </c>
      <c r="N3" s="1" t="s">
        <v>12</v>
      </c>
      <c r="O3" s="1" t="s">
        <v>14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11.2105</v>
      </c>
      <c r="J4" s="1">
        <v>8.4549000000000003</v>
      </c>
      <c r="K4" s="1">
        <v>15.7707</v>
      </c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18</v>
      </c>
      <c r="J6" s="1"/>
      <c r="K6" s="1"/>
      <c r="M6" t="s">
        <v>31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16</v>
      </c>
      <c r="J7" s="1" t="s">
        <v>12</v>
      </c>
      <c r="K7" s="1" t="s">
        <v>14</v>
      </c>
      <c r="M7" s="1" t="s">
        <v>17</v>
      </c>
      <c r="N7" s="1" t="s">
        <v>12</v>
      </c>
      <c r="O7" s="1" t="s">
        <v>14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11.104799999999999</v>
      </c>
      <c r="J8" s="1">
        <v>7.8833000000000002</v>
      </c>
      <c r="K8" s="1">
        <v>16.651599999999998</v>
      </c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20</v>
      </c>
      <c r="J10" s="1"/>
      <c r="K10" s="1"/>
      <c r="M10" t="s">
        <v>32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16</v>
      </c>
      <c r="J11" s="1" t="s">
        <v>12</v>
      </c>
      <c r="K11" s="1" t="s">
        <v>14</v>
      </c>
      <c r="M11" s="1" t="s">
        <v>17</v>
      </c>
      <c r="N11" s="1" t="s">
        <v>12</v>
      </c>
      <c r="O11" s="1" t="s">
        <v>14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12.836399999999999</v>
      </c>
      <c r="J12" s="1">
        <v>10.4451</v>
      </c>
      <c r="K12" s="1">
        <v>16.343499999999999</v>
      </c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M14" t="s">
        <v>33</v>
      </c>
    </row>
    <row r="15" spans="2:15">
      <c r="B15" s="1"/>
      <c r="C15" s="1"/>
      <c r="D15" s="1"/>
      <c r="E15" s="1"/>
      <c r="F15" s="1"/>
      <c r="G15" s="1"/>
      <c r="H15" s="1"/>
      <c r="I15" s="1" t="s">
        <v>16</v>
      </c>
      <c r="J15" s="1" t="s">
        <v>12</v>
      </c>
      <c r="K15" s="1" t="s">
        <v>14</v>
      </c>
      <c r="M15" s="1" t="s">
        <v>17</v>
      </c>
      <c r="N15" s="1" t="s">
        <v>12</v>
      </c>
      <c r="O15" s="1" t="s">
        <v>14</v>
      </c>
    </row>
    <row r="16" spans="2:15">
      <c r="B16" s="1"/>
      <c r="C16" s="1"/>
      <c r="D16" s="1"/>
      <c r="E16" s="1" t="s">
        <v>22</v>
      </c>
      <c r="F16" s="1"/>
      <c r="G16" s="1"/>
      <c r="H16" s="1"/>
      <c r="I16" s="1">
        <v>9.1415000000000006</v>
      </c>
      <c r="J16" s="1">
        <v>8.0169999999999995</v>
      </c>
      <c r="K16" s="1">
        <v>10.448499999999999</v>
      </c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5">
      <c r="B19" s="1"/>
      <c r="C19" s="1" t="s">
        <v>4</v>
      </c>
      <c r="D19" s="1"/>
      <c r="E19" s="1" t="s">
        <v>26</v>
      </c>
      <c r="F19" s="1" t="s">
        <v>6</v>
      </c>
      <c r="G19" s="1" t="s">
        <v>8</v>
      </c>
      <c r="H19" s="1"/>
      <c r="I19" s="1" t="s">
        <v>10</v>
      </c>
      <c r="J19" s="1"/>
      <c r="K19" s="1"/>
      <c r="M19" t="s">
        <v>30</v>
      </c>
    </row>
    <row r="20" spans="2:15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G20" s="1"/>
      <c r="H20" s="1"/>
      <c r="I20" s="1" t="s">
        <v>16</v>
      </c>
      <c r="J20" s="1" t="s">
        <v>12</v>
      </c>
      <c r="K20" s="1" t="s">
        <v>14</v>
      </c>
      <c r="M20" s="1" t="s">
        <v>17</v>
      </c>
      <c r="N20" s="1" t="s">
        <v>12</v>
      </c>
      <c r="O20" s="1" t="s">
        <v>14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10.173</v>
      </c>
      <c r="J21" s="1">
        <v>7.61</v>
      </c>
      <c r="K21" s="1">
        <v>15.436</v>
      </c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18</v>
      </c>
      <c r="J23" s="1"/>
      <c r="K23" s="1"/>
      <c r="M23" t="s">
        <v>31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16</v>
      </c>
      <c r="J24" s="1" t="s">
        <v>12</v>
      </c>
      <c r="K24" s="1" t="s">
        <v>14</v>
      </c>
      <c r="M24" s="1" t="s">
        <v>17</v>
      </c>
      <c r="N24" s="1" t="s">
        <v>12</v>
      </c>
      <c r="O24" s="1" t="s">
        <v>14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10.0611</v>
      </c>
      <c r="J25" s="1">
        <v>6.9870999999999999</v>
      </c>
      <c r="K25" s="1">
        <v>16.642199999999999</v>
      </c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20</v>
      </c>
      <c r="J27" s="1"/>
      <c r="K27" s="1"/>
      <c r="M27" t="s">
        <v>32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16</v>
      </c>
      <c r="J28" s="1" t="s">
        <v>12</v>
      </c>
      <c r="K28" s="1" t="s">
        <v>14</v>
      </c>
      <c r="M28" s="1" t="s">
        <v>17</v>
      </c>
      <c r="N28" s="1" t="s">
        <v>12</v>
      </c>
      <c r="O28" s="1" t="s">
        <v>14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12.1656</v>
      </c>
      <c r="J29" s="1">
        <v>9.7413000000000007</v>
      </c>
      <c r="K29" s="1">
        <v>16.4664</v>
      </c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M31" t="s">
        <v>33</v>
      </c>
    </row>
    <row r="32" spans="2:15">
      <c r="B32" s="1"/>
      <c r="C32" s="1"/>
      <c r="D32" s="1"/>
      <c r="E32" s="1"/>
      <c r="F32" s="1"/>
      <c r="G32" s="1"/>
      <c r="H32" s="1"/>
      <c r="I32" s="1" t="s">
        <v>16</v>
      </c>
      <c r="J32" s="1" t="s">
        <v>12</v>
      </c>
      <c r="K32" s="1" t="s">
        <v>14</v>
      </c>
      <c r="M32" s="1" t="s">
        <v>17</v>
      </c>
      <c r="N32" s="1" t="s">
        <v>12</v>
      </c>
      <c r="O32" s="1" t="s">
        <v>14</v>
      </c>
    </row>
    <row r="33" spans="2:11">
      <c r="B33" s="1"/>
      <c r="C33" s="1"/>
      <c r="D33" s="1"/>
      <c r="E33" s="1" t="s">
        <v>22</v>
      </c>
      <c r="F33" s="1"/>
      <c r="G33" s="1"/>
      <c r="H33" s="1"/>
      <c r="I33" s="1">
        <v>8.1744000000000003</v>
      </c>
      <c r="J33" s="1">
        <v>6.9759000000000002</v>
      </c>
      <c r="K33" s="1">
        <v>9.6812000000000005</v>
      </c>
    </row>
    <row r="34" spans="2:1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5D38-D594-4044-9841-DA14CF367E2A}">
  <dimension ref="B2:O35"/>
  <sheetViews>
    <sheetView topLeftCell="I1" workbookViewId="0">
      <selection activeCell="I29" sqref="I29:K29"/>
    </sheetView>
  </sheetViews>
  <sheetFormatPr baseColWidth="10" defaultRowHeight="20"/>
  <sheetData>
    <row r="2" spans="2:15">
      <c r="B2" s="1"/>
      <c r="C2" s="1" t="s">
        <v>4</v>
      </c>
      <c r="D2" s="1"/>
      <c r="E2" s="1"/>
      <c r="F2" s="1" t="s">
        <v>6</v>
      </c>
      <c r="G2" s="1" t="s">
        <v>8</v>
      </c>
      <c r="H2" s="1"/>
      <c r="I2" s="1" t="s">
        <v>10</v>
      </c>
      <c r="J2" s="1"/>
      <c r="K2" s="1"/>
      <c r="M2" t="s">
        <v>30</v>
      </c>
    </row>
    <row r="3" spans="2:15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/>
      <c r="H3" s="1"/>
      <c r="I3" s="1" t="s">
        <v>16</v>
      </c>
      <c r="J3" s="1" t="s">
        <v>12</v>
      </c>
      <c r="K3" s="1" t="s">
        <v>14</v>
      </c>
      <c r="M3" s="1" t="s">
        <v>17</v>
      </c>
      <c r="N3" s="1" t="s">
        <v>12</v>
      </c>
      <c r="O3" s="1" t="s">
        <v>14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14.6877</v>
      </c>
      <c r="J4" s="1">
        <v>13.237</v>
      </c>
      <c r="K4" s="1">
        <v>16.483000000000001</v>
      </c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18</v>
      </c>
      <c r="J6" s="1"/>
      <c r="K6" s="1"/>
      <c r="M6" t="s">
        <v>31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16</v>
      </c>
      <c r="J7" s="1" t="s">
        <v>12</v>
      </c>
      <c r="K7" s="1" t="s">
        <v>14</v>
      </c>
      <c r="M7" s="1" t="s">
        <v>17</v>
      </c>
      <c r="N7" s="1" t="s">
        <v>12</v>
      </c>
      <c r="O7" s="1" t="s">
        <v>14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13.0054</v>
      </c>
      <c r="J8" s="1">
        <v>10.4245</v>
      </c>
      <c r="K8" s="1">
        <v>16.670000000000002</v>
      </c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20</v>
      </c>
      <c r="J10" s="1"/>
      <c r="K10" s="1"/>
      <c r="M10" t="s">
        <v>32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16</v>
      </c>
      <c r="J11" s="1" t="s">
        <v>12</v>
      </c>
      <c r="K11" s="1" t="s">
        <v>14</v>
      </c>
      <c r="M11" s="1" t="s">
        <v>17</v>
      </c>
      <c r="N11" s="1" t="s">
        <v>12</v>
      </c>
      <c r="O11" s="1" t="s">
        <v>14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14.0685</v>
      </c>
      <c r="J12" s="1">
        <v>12.2149</v>
      </c>
      <c r="K12" s="1">
        <v>16.514700000000001</v>
      </c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M14" t="s">
        <v>33</v>
      </c>
    </row>
    <row r="15" spans="2:15">
      <c r="B15" s="1"/>
      <c r="C15" s="1"/>
      <c r="D15" s="1"/>
      <c r="E15" s="1"/>
      <c r="F15" s="1"/>
      <c r="G15" s="1"/>
      <c r="H15" s="1"/>
      <c r="I15" s="1" t="s">
        <v>16</v>
      </c>
      <c r="J15" s="1" t="s">
        <v>12</v>
      </c>
      <c r="K15" s="1" t="s">
        <v>14</v>
      </c>
      <c r="M15" s="1" t="s">
        <v>17</v>
      </c>
      <c r="N15" s="1" t="s">
        <v>12</v>
      </c>
      <c r="O15" s="1" t="s">
        <v>14</v>
      </c>
    </row>
    <row r="16" spans="2:15">
      <c r="B16" s="1"/>
      <c r="C16" s="1"/>
      <c r="D16" s="1"/>
      <c r="E16" s="1" t="s">
        <v>22</v>
      </c>
      <c r="F16" s="1"/>
      <c r="G16" s="1"/>
      <c r="H16" s="1"/>
      <c r="I16" s="1">
        <v>11.938000000000001</v>
      </c>
      <c r="J16" s="1">
        <v>13.1557</v>
      </c>
      <c r="K16" s="1">
        <v>10.748799999999999</v>
      </c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5">
      <c r="B19" s="1"/>
      <c r="C19" s="1" t="s">
        <v>4</v>
      </c>
      <c r="D19" s="1"/>
      <c r="E19" s="1" t="s">
        <v>26</v>
      </c>
      <c r="F19" s="1" t="s">
        <v>6</v>
      </c>
      <c r="G19" s="1" t="s">
        <v>8</v>
      </c>
      <c r="H19" s="1"/>
      <c r="I19" s="1" t="s">
        <v>10</v>
      </c>
      <c r="J19" s="1"/>
      <c r="K19" s="1"/>
      <c r="M19" t="s">
        <v>30</v>
      </c>
    </row>
    <row r="20" spans="2:15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G20" s="1"/>
      <c r="H20" s="1"/>
      <c r="I20" s="1" t="s">
        <v>16</v>
      </c>
      <c r="J20" s="1" t="s">
        <v>12</v>
      </c>
      <c r="K20" s="1" t="s">
        <v>14</v>
      </c>
      <c r="M20" s="1" t="s">
        <v>17</v>
      </c>
      <c r="N20" s="1" t="s">
        <v>12</v>
      </c>
      <c r="O20" s="1" t="s">
        <v>14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14.1952</v>
      </c>
      <c r="J21" s="1">
        <v>12.4521</v>
      </c>
      <c r="K21" s="1">
        <v>16.430499999999999</v>
      </c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18</v>
      </c>
      <c r="J23" s="1"/>
      <c r="K23" s="1"/>
      <c r="M23" t="s">
        <v>31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16</v>
      </c>
      <c r="J24" s="1" t="s">
        <v>12</v>
      </c>
      <c r="K24" s="1" t="s">
        <v>14</v>
      </c>
      <c r="M24" s="1" t="s">
        <v>17</v>
      </c>
      <c r="N24" s="1" t="s">
        <v>12</v>
      </c>
      <c r="O24" s="1" t="s">
        <v>14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12.136900000000001</v>
      </c>
      <c r="J25" s="1">
        <v>9.1572999999999993</v>
      </c>
      <c r="K25" s="1">
        <v>16.670000000000002</v>
      </c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20</v>
      </c>
      <c r="J27" s="1"/>
      <c r="K27" s="1"/>
      <c r="M27" t="s">
        <v>32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16</v>
      </c>
      <c r="J28" s="1" t="s">
        <v>12</v>
      </c>
      <c r="K28" s="1" t="s">
        <v>14</v>
      </c>
      <c r="M28" s="1" t="s">
        <v>17</v>
      </c>
      <c r="N28" s="1" t="s">
        <v>12</v>
      </c>
      <c r="O28" s="1" t="s">
        <v>14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13.4345</v>
      </c>
      <c r="J29" s="1">
        <v>11.249499999999999</v>
      </c>
      <c r="K29" s="1">
        <v>16.471399999999999</v>
      </c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M31" t="s">
        <v>33</v>
      </c>
    </row>
    <row r="32" spans="2:15">
      <c r="B32" s="1"/>
      <c r="C32" s="1"/>
      <c r="D32" s="1"/>
      <c r="E32" s="1"/>
      <c r="F32" s="1"/>
      <c r="G32" s="1"/>
      <c r="H32" s="1"/>
      <c r="I32" s="1" t="s">
        <v>16</v>
      </c>
      <c r="J32" s="1" t="s">
        <v>12</v>
      </c>
      <c r="K32" s="1" t="s">
        <v>14</v>
      </c>
      <c r="M32" s="1" t="s">
        <v>17</v>
      </c>
      <c r="N32" s="1" t="s">
        <v>12</v>
      </c>
      <c r="O32" s="1" t="s">
        <v>14</v>
      </c>
    </row>
    <row r="33" spans="2:11">
      <c r="B33" s="1"/>
      <c r="C33" s="1"/>
      <c r="D33" s="1"/>
      <c r="E33" s="1" t="s">
        <v>22</v>
      </c>
      <c r="F33" s="1"/>
      <c r="G33" s="1"/>
      <c r="H33" s="1"/>
      <c r="I33" s="1">
        <v>10.8428</v>
      </c>
      <c r="J33" s="1">
        <v>12.3405</v>
      </c>
      <c r="K33" s="1">
        <v>9.4172999999999991</v>
      </c>
    </row>
    <row r="34" spans="2:1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2D1E-505E-6342-AAD1-1FA96D9500F8}">
  <dimension ref="B2:O35"/>
  <sheetViews>
    <sheetView topLeftCell="G4" workbookViewId="0">
      <selection activeCell="I29" sqref="I29:K29"/>
    </sheetView>
  </sheetViews>
  <sheetFormatPr baseColWidth="10" defaultRowHeight="20"/>
  <sheetData>
    <row r="2" spans="2:15">
      <c r="B2" s="1"/>
      <c r="C2" s="1" t="s">
        <v>4</v>
      </c>
      <c r="D2" s="1"/>
      <c r="E2" s="1"/>
      <c r="F2" s="1" t="s">
        <v>6</v>
      </c>
      <c r="G2" s="1" t="s">
        <v>8</v>
      </c>
      <c r="H2" s="1"/>
      <c r="I2" s="1" t="s">
        <v>10</v>
      </c>
      <c r="J2" s="1"/>
      <c r="K2" s="1"/>
      <c r="M2" t="s">
        <v>30</v>
      </c>
    </row>
    <row r="3" spans="2:15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/>
      <c r="H3" s="1"/>
      <c r="I3" s="1" t="s">
        <v>16</v>
      </c>
      <c r="J3" s="1" t="s">
        <v>12</v>
      </c>
      <c r="K3" s="1" t="s">
        <v>14</v>
      </c>
      <c r="M3" s="1" t="s">
        <v>17</v>
      </c>
      <c r="N3" s="1" t="s">
        <v>12</v>
      </c>
      <c r="O3" s="1" t="s">
        <v>14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13.4937</v>
      </c>
      <c r="J4" s="1">
        <v>11.449299999999999</v>
      </c>
      <c r="K4" s="1">
        <v>16.045300000000001</v>
      </c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18</v>
      </c>
      <c r="J6" s="1"/>
      <c r="K6" s="1"/>
      <c r="M6" t="s">
        <v>31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16</v>
      </c>
      <c r="J7" s="1" t="s">
        <v>12</v>
      </c>
      <c r="K7" s="1" t="s">
        <v>14</v>
      </c>
      <c r="M7" s="1" t="s">
        <v>17</v>
      </c>
      <c r="N7" s="1" t="s">
        <v>12</v>
      </c>
      <c r="O7" s="1" t="s">
        <v>14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11.301299999999999</v>
      </c>
      <c r="J8" s="1">
        <v>7.9161000000000001</v>
      </c>
      <c r="K8" s="1">
        <v>16.670000000000002</v>
      </c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20</v>
      </c>
      <c r="J10" s="1"/>
      <c r="K10" s="1"/>
      <c r="M10" t="s">
        <v>32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16</v>
      </c>
      <c r="J11" s="1" t="s">
        <v>12</v>
      </c>
      <c r="K11" s="1" t="s">
        <v>14</v>
      </c>
      <c r="M11" s="1" t="s">
        <v>17</v>
      </c>
      <c r="N11" s="1" t="s">
        <v>12</v>
      </c>
      <c r="O11" s="1" t="s">
        <v>14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13.325200000000001</v>
      </c>
      <c r="J12" s="1">
        <v>11.0661</v>
      </c>
      <c r="K12" s="1">
        <v>16.190799999999999</v>
      </c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M14" t="s">
        <v>33</v>
      </c>
    </row>
    <row r="15" spans="2:15">
      <c r="B15" s="1"/>
      <c r="C15" s="1"/>
      <c r="D15" s="1"/>
      <c r="E15" s="1"/>
      <c r="F15" s="1"/>
      <c r="G15" s="1"/>
      <c r="H15" s="1"/>
      <c r="I15" s="1" t="s">
        <v>16</v>
      </c>
      <c r="J15" s="1" t="s">
        <v>12</v>
      </c>
      <c r="K15" s="1" t="s">
        <v>14</v>
      </c>
      <c r="M15" s="1" t="s">
        <v>17</v>
      </c>
      <c r="N15" s="1" t="s">
        <v>12</v>
      </c>
      <c r="O15" s="1" t="s">
        <v>14</v>
      </c>
    </row>
    <row r="16" spans="2:15">
      <c r="B16" s="1"/>
      <c r="C16" s="1"/>
      <c r="D16" s="1"/>
      <c r="E16" s="1" t="s">
        <v>22</v>
      </c>
      <c r="F16" s="1"/>
      <c r="G16" s="1"/>
      <c r="H16" s="1"/>
      <c r="I16" s="1">
        <v>10.087400000000001</v>
      </c>
      <c r="J16" s="1">
        <v>9.56</v>
      </c>
      <c r="K16" s="1">
        <v>10.616899999999999</v>
      </c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5">
      <c r="B19" s="1"/>
      <c r="C19" s="1" t="s">
        <v>4</v>
      </c>
      <c r="D19" s="1"/>
      <c r="E19" s="1" t="s">
        <v>26</v>
      </c>
      <c r="F19" s="1" t="s">
        <v>6</v>
      </c>
      <c r="G19" s="1" t="s">
        <v>8</v>
      </c>
      <c r="H19" s="1"/>
      <c r="I19" s="1" t="s">
        <v>10</v>
      </c>
      <c r="J19" s="1"/>
      <c r="K19" s="1"/>
      <c r="M19" t="s">
        <v>30</v>
      </c>
    </row>
    <row r="20" spans="2:15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G20" s="1"/>
      <c r="H20" s="1"/>
      <c r="I20" s="1" t="s">
        <v>16</v>
      </c>
      <c r="J20" s="1" t="s">
        <v>12</v>
      </c>
      <c r="K20" s="1" t="s">
        <v>14</v>
      </c>
      <c r="M20" s="1" t="s">
        <v>17</v>
      </c>
      <c r="N20" s="1" t="s">
        <v>12</v>
      </c>
      <c r="O20" s="1" t="s">
        <v>14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12.914899999999999</v>
      </c>
      <c r="J21" s="1">
        <v>10.873100000000001</v>
      </c>
      <c r="K21" s="1">
        <v>15.8851</v>
      </c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18</v>
      </c>
      <c r="J23" s="1"/>
      <c r="K23" s="1"/>
      <c r="M23" t="s">
        <v>31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16</v>
      </c>
      <c r="J24" s="1" t="s">
        <v>12</v>
      </c>
      <c r="K24" s="1" t="s">
        <v>14</v>
      </c>
      <c r="M24" s="1" t="s">
        <v>17</v>
      </c>
      <c r="N24" s="1" t="s">
        <v>12</v>
      </c>
      <c r="O24" s="1" t="s">
        <v>14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10.324400000000001</v>
      </c>
      <c r="J25" s="1">
        <v>7.0427</v>
      </c>
      <c r="K25" s="1">
        <v>16.670000000000002</v>
      </c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20</v>
      </c>
      <c r="J27" s="1"/>
      <c r="K27" s="1"/>
      <c r="M27" t="s">
        <v>32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16</v>
      </c>
      <c r="J28" s="1" t="s">
        <v>12</v>
      </c>
      <c r="K28" s="1" t="s">
        <v>14</v>
      </c>
      <c r="M28" s="1" t="s">
        <v>17</v>
      </c>
      <c r="N28" s="1" t="s">
        <v>12</v>
      </c>
      <c r="O28" s="1" t="s">
        <v>14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12.6867</v>
      </c>
      <c r="J29" s="1">
        <v>10.3748</v>
      </c>
      <c r="K29" s="1">
        <v>16.119800000000001</v>
      </c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M31" t="s">
        <v>33</v>
      </c>
    </row>
    <row r="32" spans="2:15">
      <c r="B32" s="1"/>
      <c r="C32" s="1"/>
      <c r="D32" s="1"/>
      <c r="E32" s="1"/>
      <c r="F32" s="1"/>
      <c r="G32" s="1"/>
      <c r="H32" s="1"/>
      <c r="I32" s="1" t="s">
        <v>16</v>
      </c>
      <c r="J32" s="1" t="s">
        <v>12</v>
      </c>
      <c r="K32" s="1" t="s">
        <v>14</v>
      </c>
      <c r="M32" s="1" t="s">
        <v>17</v>
      </c>
      <c r="N32" s="1" t="s">
        <v>12</v>
      </c>
      <c r="O32" s="1" t="s">
        <v>14</v>
      </c>
    </row>
    <row r="33" spans="2:11">
      <c r="B33" s="1"/>
      <c r="C33" s="1"/>
      <c r="D33" s="1"/>
      <c r="E33" s="1" t="s">
        <v>22</v>
      </c>
      <c r="F33" s="1"/>
      <c r="G33" s="1"/>
      <c r="H33" s="1"/>
      <c r="I33" s="1">
        <v>9.0128000000000004</v>
      </c>
      <c r="J33" s="1">
        <v>8.6593</v>
      </c>
      <c r="K33" s="1">
        <v>9.3948</v>
      </c>
    </row>
    <row r="34" spans="2:1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D7FE-D3A9-1245-926C-CBEC9A2AD25E}">
  <dimension ref="B2:O35"/>
  <sheetViews>
    <sheetView tabSelected="1" topLeftCell="E5" workbookViewId="0">
      <selection activeCell="I29" sqref="I29:K29"/>
    </sheetView>
  </sheetViews>
  <sheetFormatPr baseColWidth="10" defaultRowHeight="20"/>
  <sheetData>
    <row r="2" spans="2:15">
      <c r="B2" s="1"/>
      <c r="C2" s="1" t="s">
        <v>4</v>
      </c>
      <c r="D2" s="1"/>
      <c r="E2" s="1"/>
      <c r="F2" s="1" t="s">
        <v>6</v>
      </c>
      <c r="G2" s="1" t="s">
        <v>8</v>
      </c>
      <c r="H2" s="1"/>
      <c r="I2" s="1" t="s">
        <v>10</v>
      </c>
      <c r="J2" s="1"/>
      <c r="K2" s="1"/>
      <c r="M2" t="s">
        <v>30</v>
      </c>
    </row>
    <row r="3" spans="2:15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/>
      <c r="H3" s="1"/>
      <c r="I3" s="1" t="s">
        <v>16</v>
      </c>
      <c r="J3" s="1" t="s">
        <v>12</v>
      </c>
      <c r="K3" s="1" t="s">
        <v>14</v>
      </c>
      <c r="M3" s="1" t="s">
        <v>17</v>
      </c>
      <c r="N3" s="1" t="s">
        <v>12</v>
      </c>
      <c r="O3" s="1" t="s">
        <v>14</v>
      </c>
    </row>
    <row r="4" spans="2:15">
      <c r="B4" s="1">
        <v>0</v>
      </c>
      <c r="C4" s="1"/>
      <c r="D4" s="1"/>
      <c r="E4" s="1"/>
      <c r="F4" s="1"/>
      <c r="G4" s="1"/>
      <c r="H4" s="1"/>
      <c r="I4" s="1">
        <v>12.340299999999999</v>
      </c>
      <c r="J4" s="1">
        <v>10.061299999999999</v>
      </c>
      <c r="K4" s="1">
        <v>15.527900000000001</v>
      </c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18</v>
      </c>
      <c r="J6" s="1"/>
      <c r="K6" s="1"/>
      <c r="M6" t="s">
        <v>31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16</v>
      </c>
      <c r="J7" s="1" t="s">
        <v>12</v>
      </c>
      <c r="K7" s="1" t="s">
        <v>14</v>
      </c>
      <c r="M7" s="1" t="s">
        <v>17</v>
      </c>
      <c r="N7" s="1" t="s">
        <v>12</v>
      </c>
      <c r="O7" s="1" t="s">
        <v>14</v>
      </c>
    </row>
    <row r="8" spans="2:15">
      <c r="B8" s="3">
        <v>0.4</v>
      </c>
      <c r="C8" s="1"/>
      <c r="D8" s="1"/>
      <c r="E8" s="1"/>
      <c r="F8" s="1"/>
      <c r="G8" s="1"/>
      <c r="H8" s="1"/>
      <c r="I8" s="1">
        <v>11.106299999999999</v>
      </c>
      <c r="J8" s="1">
        <v>7.8739999999999997</v>
      </c>
      <c r="K8" s="1">
        <v>16.670000000000002</v>
      </c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20</v>
      </c>
      <c r="J10" s="1"/>
      <c r="K10" s="1"/>
      <c r="M10" t="s">
        <v>32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16</v>
      </c>
      <c r="J11" s="1" t="s">
        <v>12</v>
      </c>
      <c r="K11" s="1" t="s">
        <v>14</v>
      </c>
      <c r="M11" s="1" t="s">
        <v>17</v>
      </c>
      <c r="N11" s="1" t="s">
        <v>12</v>
      </c>
      <c r="O11" s="1" t="s">
        <v>14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>
        <v>12.669</v>
      </c>
      <c r="J12" s="1">
        <v>10.372999999999999</v>
      </c>
      <c r="K12" s="1">
        <v>15.877700000000001</v>
      </c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M14" t="s">
        <v>33</v>
      </c>
    </row>
    <row r="15" spans="2:15">
      <c r="B15" s="1"/>
      <c r="C15" s="1"/>
      <c r="D15" s="1"/>
      <c r="E15" s="1"/>
      <c r="F15" s="1"/>
      <c r="G15" s="1"/>
      <c r="H15" s="1"/>
      <c r="I15" s="1" t="s">
        <v>16</v>
      </c>
      <c r="J15" s="1" t="s">
        <v>12</v>
      </c>
      <c r="K15" s="1" t="s">
        <v>14</v>
      </c>
      <c r="M15" s="1" t="s">
        <v>17</v>
      </c>
      <c r="N15" s="1" t="s">
        <v>12</v>
      </c>
      <c r="O15" s="1" t="s">
        <v>14</v>
      </c>
    </row>
    <row r="16" spans="2:15">
      <c r="B16" s="1"/>
      <c r="C16" s="1"/>
      <c r="D16" s="1"/>
      <c r="E16" s="1" t="s">
        <v>22</v>
      </c>
      <c r="F16" s="1"/>
      <c r="G16" s="1"/>
      <c r="H16" s="1"/>
      <c r="I16" s="1">
        <v>9.9536999999999995</v>
      </c>
      <c r="J16" s="1">
        <v>8.5632999999999999</v>
      </c>
      <c r="K16" s="1">
        <v>11.602600000000001</v>
      </c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5">
      <c r="B19" s="1"/>
      <c r="C19" s="1" t="s">
        <v>4</v>
      </c>
      <c r="D19" s="1"/>
      <c r="E19" s="1" t="s">
        <v>26</v>
      </c>
      <c r="F19" s="1" t="s">
        <v>6</v>
      </c>
      <c r="G19" s="1" t="s">
        <v>8</v>
      </c>
      <c r="H19" s="1"/>
      <c r="I19" s="1" t="s">
        <v>10</v>
      </c>
      <c r="J19" s="1"/>
      <c r="K19" s="1"/>
      <c r="M19" t="s">
        <v>30</v>
      </c>
    </row>
    <row r="20" spans="2:15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G20" s="1"/>
      <c r="H20" s="1"/>
      <c r="I20" s="1" t="s">
        <v>16</v>
      </c>
      <c r="J20" s="1" t="s">
        <v>12</v>
      </c>
      <c r="K20" s="1" t="s">
        <v>14</v>
      </c>
      <c r="M20" s="1" t="s">
        <v>17</v>
      </c>
      <c r="N20" s="1" t="s">
        <v>12</v>
      </c>
      <c r="O20" s="1" t="s">
        <v>14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>
        <v>11.8294</v>
      </c>
      <c r="J21" s="1">
        <v>9.6184999999999992</v>
      </c>
      <c r="K21" s="1">
        <v>15.4697</v>
      </c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18</v>
      </c>
      <c r="J23" s="1"/>
      <c r="K23" s="1"/>
      <c r="M23" t="s">
        <v>31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16</v>
      </c>
      <c r="J24" s="1" t="s">
        <v>12</v>
      </c>
      <c r="K24" s="1" t="s">
        <v>14</v>
      </c>
      <c r="M24" s="1" t="s">
        <v>17</v>
      </c>
      <c r="N24" s="1" t="s">
        <v>12</v>
      </c>
      <c r="O24" s="1" t="s">
        <v>14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>
        <v>10.313800000000001</v>
      </c>
      <c r="J25" s="1">
        <v>7.2862</v>
      </c>
      <c r="K25" s="1">
        <v>16.670000000000002</v>
      </c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20</v>
      </c>
      <c r="J27" s="1"/>
      <c r="K27" s="1"/>
      <c r="M27" t="s">
        <v>32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16</v>
      </c>
      <c r="J28" s="1" t="s">
        <v>12</v>
      </c>
      <c r="K28" s="1" t="s">
        <v>14</v>
      </c>
      <c r="M28" s="1" t="s">
        <v>17</v>
      </c>
      <c r="N28" s="1" t="s">
        <v>12</v>
      </c>
      <c r="O28" s="1" t="s">
        <v>14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>
        <v>12.1791</v>
      </c>
      <c r="J29" s="1">
        <v>9.9405999999999999</v>
      </c>
      <c r="K29" s="1">
        <v>15.8743</v>
      </c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M31" t="s">
        <v>33</v>
      </c>
    </row>
    <row r="32" spans="2:15">
      <c r="B32" s="1"/>
      <c r="C32" s="1"/>
      <c r="D32" s="1"/>
      <c r="E32" s="1"/>
      <c r="F32" s="1"/>
      <c r="G32" s="1"/>
      <c r="H32" s="1"/>
      <c r="I32" s="1" t="s">
        <v>16</v>
      </c>
      <c r="J32" s="1" t="s">
        <v>12</v>
      </c>
      <c r="K32" s="1" t="s">
        <v>14</v>
      </c>
      <c r="M32" s="1" t="s">
        <v>17</v>
      </c>
      <c r="N32" s="1" t="s">
        <v>12</v>
      </c>
      <c r="O32" s="1" t="s">
        <v>14</v>
      </c>
    </row>
    <row r="33" spans="2:11">
      <c r="B33" s="1"/>
      <c r="C33" s="1"/>
      <c r="D33" s="1"/>
      <c r="E33" s="1" t="s">
        <v>22</v>
      </c>
      <c r="F33" s="1"/>
      <c r="G33" s="1"/>
      <c r="H33" s="1"/>
      <c r="I33" s="1">
        <v>9.0898000000000003</v>
      </c>
      <c r="J33" s="1">
        <v>7.9367000000000001</v>
      </c>
      <c r="K33" s="1">
        <v>10.613899999999999</v>
      </c>
    </row>
    <row r="34" spans="2:1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7E6A-4B63-C34A-8217-66BE39585ED8}">
  <dimension ref="B2:K34"/>
  <sheetViews>
    <sheetView workbookViewId="0">
      <selection activeCell="M21" sqref="M21"/>
    </sheetView>
  </sheetViews>
  <sheetFormatPr baseColWidth="10" defaultRowHeight="20"/>
  <sheetData>
    <row r="2" spans="2:11">
      <c r="B2" s="1"/>
      <c r="C2" s="1" t="s">
        <v>4</v>
      </c>
      <c r="D2" s="1"/>
      <c r="E2" s="1"/>
      <c r="F2" s="1" t="s">
        <v>6</v>
      </c>
      <c r="G2" s="1" t="s">
        <v>8</v>
      </c>
      <c r="H2" s="1"/>
      <c r="I2" s="1" t="s">
        <v>10</v>
      </c>
      <c r="J2" s="1"/>
      <c r="K2" s="1"/>
    </row>
    <row r="3" spans="2:11">
      <c r="B3" s="1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/>
      <c r="H3" s="1"/>
      <c r="I3" s="1" t="s">
        <v>16</v>
      </c>
      <c r="J3" s="1" t="s">
        <v>12</v>
      </c>
      <c r="K3" s="1" t="s">
        <v>14</v>
      </c>
    </row>
    <row r="4" spans="2:11">
      <c r="B4" s="1">
        <v>0</v>
      </c>
      <c r="C4" s="1"/>
      <c r="D4" s="1"/>
      <c r="E4" s="1"/>
      <c r="F4" s="1"/>
      <c r="G4" s="1"/>
      <c r="H4" s="1"/>
      <c r="I4" s="1">
        <f>ROUND(AVERAGE(seed1_90s!I4,seed2_90s!I4,seed3_90s!I4,seed4_90s!I4,seed5_90s!I4,seed6_90s!I4),4)</f>
        <v>13.0327</v>
      </c>
      <c r="J4" s="1">
        <f>ROUND(AVERAGE(seed1_90s!J4,seed2_90s!J4,seed3_90s!J4,seed4_90s!J4,seed5_90s!J4,seed6_90s!J4),4)</f>
        <v>10.9726</v>
      </c>
      <c r="K4" s="1">
        <f>ROUND(AVERAGE(seed1_90s!K4,seed2_90s!K4,seed3_90s!K4,seed4_90s!K4,seed5_90s!K4,seed6_90s!K4),4)</f>
        <v>15.8287</v>
      </c>
    </row>
    <row r="5" spans="2:11">
      <c r="B5" s="1">
        <v>0.1</v>
      </c>
      <c r="C5" s="1"/>
      <c r="D5" s="1"/>
      <c r="E5" s="1"/>
      <c r="F5" s="1"/>
      <c r="G5" s="1"/>
      <c r="H5" s="1"/>
      <c r="I5" s="1"/>
      <c r="J5" s="1"/>
      <c r="K5" s="1"/>
    </row>
    <row r="6" spans="2:11">
      <c r="B6" s="1">
        <v>0.2</v>
      </c>
      <c r="C6" s="1"/>
      <c r="D6" s="1"/>
      <c r="E6" s="1"/>
      <c r="F6" s="1"/>
      <c r="G6" s="1"/>
      <c r="H6" s="1"/>
      <c r="I6" s="1" t="s">
        <v>18</v>
      </c>
      <c r="J6" s="1"/>
      <c r="K6" s="1"/>
    </row>
    <row r="7" spans="2:11">
      <c r="B7" s="3">
        <v>0.3</v>
      </c>
      <c r="C7" s="1"/>
      <c r="D7" s="1"/>
      <c r="E7" s="1"/>
      <c r="F7" s="1"/>
      <c r="G7" s="1"/>
      <c r="H7" s="1"/>
      <c r="I7" s="1" t="s">
        <v>16</v>
      </c>
      <c r="J7" s="1" t="s">
        <v>12</v>
      </c>
      <c r="K7" s="1" t="s">
        <v>14</v>
      </c>
    </row>
    <row r="8" spans="2:11">
      <c r="B8" s="3">
        <v>0.4</v>
      </c>
      <c r="C8" s="1"/>
      <c r="D8" s="1"/>
      <c r="E8" s="1"/>
      <c r="F8" s="1"/>
      <c r="G8" s="1"/>
      <c r="H8" s="1"/>
      <c r="I8" s="1">
        <f>ROUND(AVERAGE(seed1_90s!I8,seed2_90s!I8,seed3_90s!I8,seed4_90s!I8,seed5_90s!I8,seed6_90s!I8),4)</f>
        <v>11.8048</v>
      </c>
      <c r="J8" s="1">
        <f>ROUND(AVERAGE(seed1_90s!J8,seed2_90s!J8,seed3_90s!J8,seed4_90s!J8,seed5_90s!J8,seed6_90s!J8),4)</f>
        <v>8.7368000000000006</v>
      </c>
      <c r="K8" s="1">
        <f>ROUND(AVERAGE(seed1_90s!K8,seed2_90s!K8,seed3_90s!K8,seed4_90s!K8,seed5_90s!K8,seed6_90s!K8),4)</f>
        <v>16.664300000000001</v>
      </c>
    </row>
    <row r="9" spans="2:11">
      <c r="B9" s="3">
        <v>0.5</v>
      </c>
      <c r="C9" s="1"/>
      <c r="D9" s="1"/>
      <c r="E9" s="1"/>
      <c r="F9" s="1"/>
      <c r="G9" s="1"/>
      <c r="H9" s="1"/>
      <c r="I9" s="1"/>
      <c r="J9" s="1"/>
      <c r="K9" s="1"/>
    </row>
    <row r="10" spans="2:11">
      <c r="B10" s="3">
        <v>0.6</v>
      </c>
      <c r="C10" s="1"/>
      <c r="D10" s="1"/>
      <c r="E10" s="1"/>
      <c r="F10" s="1"/>
      <c r="G10" s="1"/>
      <c r="H10" s="1"/>
      <c r="I10" s="1" t="s">
        <v>20</v>
      </c>
      <c r="J10" s="1"/>
      <c r="K10" s="1"/>
    </row>
    <row r="11" spans="2:11">
      <c r="B11" s="3">
        <v>0.7</v>
      </c>
      <c r="C11" s="1"/>
      <c r="D11" s="1"/>
      <c r="E11" s="1"/>
      <c r="F11" s="1"/>
      <c r="G11" s="1"/>
      <c r="H11" s="1"/>
      <c r="I11" s="1" t="s">
        <v>16</v>
      </c>
      <c r="J11" s="1" t="s">
        <v>12</v>
      </c>
      <c r="K11" s="1" t="s">
        <v>14</v>
      </c>
    </row>
    <row r="12" spans="2:11">
      <c r="B12" s="1">
        <v>0.8</v>
      </c>
      <c r="C12" s="1"/>
      <c r="D12" s="1"/>
      <c r="E12" s="1"/>
      <c r="F12" s="1"/>
      <c r="G12" s="1"/>
      <c r="H12" s="1"/>
      <c r="I12" s="1">
        <f>ROUND(AVERAGE(seed1_90s!I12,seed2_90s!I12,seed3_90s!I12,seed4_90s!I12,seed5_90s!I12,seed6_90s!I12),4)</f>
        <v>13.3398</v>
      </c>
      <c r="J12" s="1">
        <f>ROUND(AVERAGE(seed1_90s!J12,seed2_90s!J12,seed3_90s!J12,seed4_90s!J12,seed5_90s!J12,seed6_90s!J12),4)</f>
        <v>11.301</v>
      </c>
      <c r="K12" s="1">
        <f>ROUND(AVERAGE(seed1_90s!K12,seed2_90s!K12,seed3_90s!K12,seed4_90s!K12,seed5_90s!K12,seed6_90s!K12),4)</f>
        <v>16.049299999999999</v>
      </c>
    </row>
    <row r="13" spans="2:11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</row>
    <row r="15" spans="2:11">
      <c r="B15" s="1"/>
      <c r="C15" s="1"/>
      <c r="D15" s="1"/>
      <c r="E15" s="1"/>
      <c r="F15" s="1"/>
      <c r="G15" s="1"/>
      <c r="H15" s="1"/>
      <c r="I15" s="1" t="s">
        <v>16</v>
      </c>
      <c r="J15" s="1" t="s">
        <v>12</v>
      </c>
      <c r="K15" s="1" t="s">
        <v>14</v>
      </c>
    </row>
    <row r="16" spans="2:11">
      <c r="B16" s="1"/>
      <c r="C16" s="1"/>
      <c r="D16" s="1"/>
      <c r="E16" s="1" t="s">
        <v>22</v>
      </c>
      <c r="F16" s="1"/>
      <c r="G16" s="1"/>
      <c r="H16" s="1"/>
      <c r="I16" s="1">
        <f>ROUND(AVERAGE(seed1_90s!I16,seed2_90s!I16,seed3_90s!I16,seed4_90s!I16,seed5_90s!I16,seed6_90s!I16),4)</f>
        <v>11.0121</v>
      </c>
      <c r="J16" s="1">
        <f>ROUND(AVERAGE(seed1_90s!J16,seed2_90s!J16,seed3_90s!J16,seed4_90s!J16,seed5_90s!J16,seed6_90s!J16),4)</f>
        <v>10.891</v>
      </c>
      <c r="K16" s="1">
        <f>ROUND(AVERAGE(seed1_90s!K16,seed2_90s!K16,seed3_90s!K16,seed4_90s!K16,seed5_90s!K16,seed6_90s!K16),4)</f>
        <v>11.2081</v>
      </c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B19" s="1"/>
      <c r="C19" s="1" t="s">
        <v>4</v>
      </c>
      <c r="D19" s="1"/>
      <c r="E19" s="1" t="s">
        <v>26</v>
      </c>
      <c r="F19" s="1" t="s">
        <v>6</v>
      </c>
      <c r="G19" s="1" t="s">
        <v>8</v>
      </c>
      <c r="H19" s="1"/>
      <c r="I19" s="1" t="s">
        <v>10</v>
      </c>
      <c r="J19" s="1"/>
      <c r="K19" s="1"/>
    </row>
    <row r="20" spans="2:11">
      <c r="B20" s="1" t="s">
        <v>0</v>
      </c>
      <c r="C20" s="1" t="s">
        <v>1</v>
      </c>
      <c r="D20" s="1" t="s">
        <v>2</v>
      </c>
      <c r="E20" s="1" t="s">
        <v>3</v>
      </c>
      <c r="F20" s="1" t="s">
        <v>7</v>
      </c>
      <c r="G20" s="1"/>
      <c r="H20" s="1"/>
      <c r="I20" s="1" t="s">
        <v>16</v>
      </c>
      <c r="J20" s="1" t="s">
        <v>12</v>
      </c>
      <c r="K20" s="1" t="s">
        <v>14</v>
      </c>
    </row>
    <row r="21" spans="2:11">
      <c r="B21" s="1">
        <v>0</v>
      </c>
      <c r="C21" s="1"/>
      <c r="D21" s="1"/>
      <c r="E21" s="1"/>
      <c r="F21" s="1"/>
      <c r="G21" s="1"/>
      <c r="H21" s="1"/>
      <c r="I21" s="1">
        <f>ROUND(AVERAGE(seed1_90s!I21,seed2_90s!I21,seed3_90s!I21,seed4_90s!I21,seed5_90s!I21,seed6_90s!I21),4)</f>
        <v>12.3886</v>
      </c>
      <c r="J21" s="1">
        <f>ROUND(AVERAGE(seed1_90s!J21,seed2_90s!J21,seed3_90s!J21,seed4_90s!J21,seed5_90s!J21,seed6_90s!J21),4)</f>
        <v>10.160500000000001</v>
      </c>
      <c r="K21" s="1">
        <f>ROUND(AVERAGE(seed1_90s!K21,seed2_90s!K21,seed3_90s!K21,seed4_90s!K21,seed5_90s!K21,seed6_90s!K21),4)</f>
        <v>15.695399999999999</v>
      </c>
    </row>
    <row r="22" spans="2:11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>
        <v>0.2</v>
      </c>
      <c r="C23" s="1"/>
      <c r="D23" s="1"/>
      <c r="E23" s="1"/>
      <c r="F23" s="1"/>
      <c r="G23" s="1"/>
      <c r="H23" s="1"/>
      <c r="I23" s="1" t="s">
        <v>18</v>
      </c>
      <c r="J23" s="1"/>
      <c r="K23" s="1"/>
    </row>
    <row r="24" spans="2:11">
      <c r="B24" s="3">
        <v>0.3</v>
      </c>
      <c r="C24" s="1"/>
      <c r="D24" s="1"/>
      <c r="E24" s="1"/>
      <c r="F24" s="1"/>
      <c r="G24" s="1"/>
      <c r="H24" s="1"/>
      <c r="I24" s="1" t="s">
        <v>16</v>
      </c>
      <c r="J24" s="1" t="s">
        <v>12</v>
      </c>
      <c r="K24" s="1" t="s">
        <v>14</v>
      </c>
    </row>
    <row r="25" spans="2:11">
      <c r="B25" s="3">
        <v>0.4</v>
      </c>
      <c r="C25" s="1"/>
      <c r="D25" s="1"/>
      <c r="E25" s="1"/>
      <c r="F25" s="1"/>
      <c r="G25" s="1"/>
      <c r="H25" s="1"/>
      <c r="I25" s="1">
        <f>ROUND(AVERAGE(seed1_90s!I25,seed2_90s!I25,seed3_90s!I25,seed4_90s!I25,seed5_90s!I25,seed6_90s!I25),4)</f>
        <v>10.927</v>
      </c>
      <c r="J25" s="1">
        <f>ROUND(AVERAGE(seed1_90s!J25,seed2_90s!J25,seed3_90s!J25,seed4_90s!J25,seed5_90s!J25,seed6_90s!J25),4)</f>
        <v>7.7115999999999998</v>
      </c>
      <c r="K25" s="1">
        <f>ROUND(AVERAGE(seed1_90s!K25,seed2_90s!K25,seed3_90s!K25,seed4_90s!K25,seed5_90s!K25,seed6_90s!K25),4)</f>
        <v>16.661999999999999</v>
      </c>
    </row>
    <row r="26" spans="2:11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>
      <c r="B27" s="3">
        <v>0.6</v>
      </c>
      <c r="C27" s="1"/>
      <c r="D27" s="1"/>
      <c r="E27" s="1"/>
      <c r="F27" s="1"/>
      <c r="G27" s="1"/>
      <c r="H27" s="1"/>
      <c r="I27" s="1" t="s">
        <v>20</v>
      </c>
      <c r="J27" s="1"/>
      <c r="K27" s="1"/>
    </row>
    <row r="28" spans="2:11">
      <c r="B28" s="3">
        <v>0.7</v>
      </c>
      <c r="C28" s="1"/>
      <c r="D28" s="1"/>
      <c r="E28" s="1"/>
      <c r="F28" s="1"/>
      <c r="G28" s="1"/>
      <c r="H28" s="1"/>
      <c r="I28" s="1" t="s">
        <v>16</v>
      </c>
      <c r="J28" s="1" t="s">
        <v>12</v>
      </c>
      <c r="K28" s="1" t="s">
        <v>14</v>
      </c>
    </row>
    <row r="29" spans="2:11">
      <c r="B29" s="1">
        <v>0.8</v>
      </c>
      <c r="C29" s="1"/>
      <c r="D29" s="1"/>
      <c r="E29" s="1"/>
      <c r="F29" s="1"/>
      <c r="G29" s="1"/>
      <c r="H29" s="1"/>
      <c r="I29" s="1">
        <f>ROUND(AVERAGE(seed1_90s!I29,seed2_90s!I29,seed3_90s!I29,seed4_90s!I29,seed5_90s!I29,seed6_90s!I29),4)</f>
        <v>12.736800000000001</v>
      </c>
      <c r="J29" s="1">
        <f>ROUND(AVERAGE(seed1_90s!J29,seed2_90s!J29,seed3_90s!J29,seed4_90s!J29,seed5_90s!J29,seed6_90s!J29),4)</f>
        <v>10.512499999999999</v>
      </c>
      <c r="K29" s="1">
        <f>ROUND(AVERAGE(seed1_90s!K29,seed2_90s!K29,seed3_90s!K29,seed4_90s!K29,seed5_90s!K29,seed6_90s!K29),4)</f>
        <v>15.988799999999999</v>
      </c>
    </row>
    <row r="30" spans="2:11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 t="s">
        <v>16</v>
      </c>
      <c r="J32" s="1" t="s">
        <v>12</v>
      </c>
      <c r="K32" s="1" t="s">
        <v>14</v>
      </c>
    </row>
    <row r="33" spans="2:11">
      <c r="B33" s="1"/>
      <c r="C33" s="1"/>
      <c r="D33" s="1"/>
      <c r="E33" s="1" t="s">
        <v>22</v>
      </c>
      <c r="F33" s="1"/>
      <c r="G33" s="1"/>
      <c r="H33" s="1"/>
      <c r="I33" s="1">
        <f>ROUND(AVERAGE(seed1_90s!I33,seed2_90s!I33,seed3_90s!I33,seed4_90s!I33,seed5_90s!I33,seed6_90s!I33),4)</f>
        <v>10.0823</v>
      </c>
      <c r="J33" s="1">
        <f>ROUND(AVERAGE(seed1_90s!J33,seed2_90s!J33,seed3_90s!J33,seed4_90s!J33,seed5_90s!J33,seed6_90s!J33),4)</f>
        <v>10.090199999999999</v>
      </c>
      <c r="K33" s="1">
        <f>ROUND(AVERAGE(seed1_90s!K33,seed2_90s!K33,seed3_90s!K33,seed4_90s!K33,seed5_90s!K33,seed6_90s!K33),4)</f>
        <v>10.211499999999999</v>
      </c>
    </row>
    <row r="34" spans="2:11"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seed1</vt:lpstr>
      <vt:lpstr>seed2</vt:lpstr>
      <vt:lpstr>seed3</vt:lpstr>
      <vt:lpstr>seed4</vt:lpstr>
      <vt:lpstr>seed5</vt:lpstr>
      <vt:lpstr>average1-5</vt:lpstr>
      <vt:lpstr>seed1_90s</vt:lpstr>
      <vt:lpstr>seed2_90s</vt:lpstr>
      <vt:lpstr>seed3_90s</vt:lpstr>
      <vt:lpstr>seed4_90s</vt:lpstr>
      <vt:lpstr>seed5_90s</vt:lpstr>
      <vt:lpstr>seed6_90s</vt:lpstr>
      <vt:lpstr>average1-6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2023-12-23T07:02:28Z</dcterms:created>
  <dcterms:modified xsi:type="dcterms:W3CDTF">2024-01-14T07:53:23Z</dcterms:modified>
</cp:coreProperties>
</file>