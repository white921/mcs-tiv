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2EB905A7-9163-1E47-AAD8-0373CE3F9849}" xr6:coauthVersionLast="47" xr6:coauthVersionMax="47" xr10:uidLastSave="{00000000-0000-0000-0000-000000000000}"/>
  <bookViews>
    <workbookView xWindow="2100" yWindow="1900" windowWidth="26700" windowHeight="14560" activeTab="6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seed6" sheetId="7" r:id="rId6"/>
    <sheet name="平均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0" i="2" l="1"/>
  <c r="V56" i="2"/>
  <c r="V57" i="2"/>
  <c r="U21" i="2"/>
  <c r="I41" i="7"/>
  <c r="I40" i="7"/>
  <c r="I39" i="7"/>
  <c r="H41" i="7"/>
  <c r="H40" i="7"/>
  <c r="H39" i="7"/>
  <c r="G41" i="7"/>
  <c r="G40" i="7"/>
  <c r="G39" i="7"/>
  <c r="F41" i="7"/>
  <c r="F40" i="7"/>
  <c r="F39" i="7"/>
  <c r="E41" i="7"/>
  <c r="E40" i="7"/>
  <c r="E39" i="7"/>
  <c r="D41" i="7"/>
  <c r="D40" i="7"/>
  <c r="D39" i="7"/>
  <c r="C41" i="7"/>
  <c r="C40" i="7"/>
  <c r="C39" i="7"/>
  <c r="N63" i="2"/>
  <c r="O63" i="2"/>
  <c r="P63" i="2"/>
  <c r="Q63" i="2"/>
  <c r="R63" i="2"/>
  <c r="S63" i="2"/>
  <c r="N64" i="2"/>
  <c r="O64" i="2"/>
  <c r="P64" i="2"/>
  <c r="Q64" i="2"/>
  <c r="R64" i="2"/>
  <c r="S64" i="2"/>
  <c r="N65" i="2"/>
  <c r="O65" i="2"/>
  <c r="P65" i="2"/>
  <c r="Q65" i="2"/>
  <c r="Q66" i="2" s="1"/>
  <c r="R65" i="2"/>
  <c r="S65" i="2"/>
  <c r="M64" i="2"/>
  <c r="M65" i="2"/>
  <c r="M63" i="2"/>
  <c r="M51" i="2"/>
  <c r="N51" i="2"/>
  <c r="O51" i="2"/>
  <c r="P51" i="2"/>
  <c r="Q51" i="2"/>
  <c r="R51" i="2"/>
  <c r="S51" i="2"/>
  <c r="M52" i="2"/>
  <c r="M62" i="2" s="1"/>
  <c r="N52" i="2"/>
  <c r="O52" i="2"/>
  <c r="P52" i="2"/>
  <c r="Q52" i="2"/>
  <c r="R52" i="2"/>
  <c r="S52" i="2"/>
  <c r="S62" i="2" s="1"/>
  <c r="M53" i="2"/>
  <c r="N53" i="2"/>
  <c r="O53" i="2"/>
  <c r="P53" i="2"/>
  <c r="Q53" i="2"/>
  <c r="R53" i="2"/>
  <c r="S53" i="2"/>
  <c r="M54" i="2"/>
  <c r="N54" i="2"/>
  <c r="O54" i="2"/>
  <c r="P54" i="2"/>
  <c r="Q54" i="2"/>
  <c r="R54" i="2"/>
  <c r="S54" i="2"/>
  <c r="M55" i="2"/>
  <c r="N55" i="2"/>
  <c r="N62" i="2" s="1"/>
  <c r="O55" i="2"/>
  <c r="O62" i="2" s="1"/>
  <c r="P55" i="2"/>
  <c r="Q55" i="2"/>
  <c r="R55" i="2"/>
  <c r="S55" i="2"/>
  <c r="M56" i="2"/>
  <c r="N56" i="2"/>
  <c r="O56" i="2"/>
  <c r="P56" i="2"/>
  <c r="Q56" i="2"/>
  <c r="R56" i="2"/>
  <c r="S56" i="2"/>
  <c r="M57" i="2"/>
  <c r="N57" i="2"/>
  <c r="O57" i="2"/>
  <c r="P57" i="2"/>
  <c r="Q57" i="2"/>
  <c r="R57" i="2"/>
  <c r="S57" i="2"/>
  <c r="M58" i="2"/>
  <c r="N58" i="2"/>
  <c r="O58" i="2"/>
  <c r="P58" i="2"/>
  <c r="Q58" i="2"/>
  <c r="R58" i="2"/>
  <c r="S58" i="2"/>
  <c r="M59" i="2"/>
  <c r="N59" i="2"/>
  <c r="O59" i="2"/>
  <c r="P59" i="2"/>
  <c r="Q59" i="2"/>
  <c r="R59" i="2"/>
  <c r="S59" i="2"/>
  <c r="M60" i="2"/>
  <c r="N60" i="2"/>
  <c r="O60" i="2"/>
  <c r="P60" i="2"/>
  <c r="Q60" i="2"/>
  <c r="R60" i="2"/>
  <c r="S60" i="2"/>
  <c r="M61" i="2"/>
  <c r="N61" i="2"/>
  <c r="O61" i="2"/>
  <c r="P61" i="2"/>
  <c r="Q61" i="2"/>
  <c r="R61" i="2"/>
  <c r="S61" i="2"/>
  <c r="N50" i="2"/>
  <c r="O50" i="2"/>
  <c r="P50" i="2"/>
  <c r="Q50" i="2"/>
  <c r="R50" i="2"/>
  <c r="S50" i="2"/>
  <c r="M50" i="2"/>
  <c r="R62" i="2"/>
  <c r="Q62" i="2"/>
  <c r="P62" i="2"/>
  <c r="H64" i="2"/>
  <c r="H65" i="2"/>
  <c r="H63" i="2"/>
  <c r="D63" i="2"/>
  <c r="E63" i="2"/>
  <c r="F63" i="2"/>
  <c r="G63" i="2"/>
  <c r="I63" i="2"/>
  <c r="D64" i="2"/>
  <c r="E64" i="2"/>
  <c r="F64" i="2"/>
  <c r="G64" i="2"/>
  <c r="I64" i="2"/>
  <c r="D65" i="2"/>
  <c r="E65" i="2"/>
  <c r="F65" i="2"/>
  <c r="G65" i="2"/>
  <c r="I65" i="2"/>
  <c r="C64" i="2"/>
  <c r="C65" i="2"/>
  <c r="C63" i="2"/>
  <c r="H51" i="2"/>
  <c r="H52" i="2"/>
  <c r="H53" i="2"/>
  <c r="H54" i="2"/>
  <c r="H55" i="2"/>
  <c r="H56" i="2"/>
  <c r="H57" i="2"/>
  <c r="H58" i="2"/>
  <c r="H59" i="2"/>
  <c r="H60" i="2"/>
  <c r="H61" i="2"/>
  <c r="H50" i="2"/>
  <c r="D50" i="2"/>
  <c r="E50" i="2"/>
  <c r="F50" i="2"/>
  <c r="G50" i="2"/>
  <c r="I50" i="2"/>
  <c r="D51" i="2"/>
  <c r="E51" i="2"/>
  <c r="F51" i="2"/>
  <c r="G51" i="2"/>
  <c r="I51" i="2"/>
  <c r="D52" i="2"/>
  <c r="E52" i="2"/>
  <c r="F52" i="2"/>
  <c r="G52" i="2"/>
  <c r="I52" i="2"/>
  <c r="D53" i="2"/>
  <c r="E53" i="2"/>
  <c r="F53" i="2"/>
  <c r="G53" i="2"/>
  <c r="I53" i="2"/>
  <c r="D54" i="2"/>
  <c r="E54" i="2"/>
  <c r="F54" i="2"/>
  <c r="G54" i="2"/>
  <c r="I54" i="2"/>
  <c r="D55" i="2"/>
  <c r="D62" i="2" s="1"/>
  <c r="E55" i="2"/>
  <c r="F55" i="2"/>
  <c r="G55" i="2"/>
  <c r="I55" i="2"/>
  <c r="D56" i="2"/>
  <c r="E56" i="2"/>
  <c r="F56" i="2"/>
  <c r="G56" i="2"/>
  <c r="I56" i="2"/>
  <c r="D57" i="2"/>
  <c r="E57" i="2"/>
  <c r="F57" i="2"/>
  <c r="G57" i="2"/>
  <c r="I57" i="2"/>
  <c r="D58" i="2"/>
  <c r="E58" i="2"/>
  <c r="F58" i="2"/>
  <c r="G58" i="2"/>
  <c r="I58" i="2"/>
  <c r="D59" i="2"/>
  <c r="E59" i="2"/>
  <c r="F59" i="2"/>
  <c r="G59" i="2"/>
  <c r="I59" i="2"/>
  <c r="D60" i="2"/>
  <c r="E60" i="2"/>
  <c r="F60" i="2"/>
  <c r="G60" i="2"/>
  <c r="I60" i="2"/>
  <c r="D61" i="2"/>
  <c r="E61" i="2"/>
  <c r="F61" i="2"/>
  <c r="G61" i="2"/>
  <c r="I61" i="2"/>
  <c r="C51" i="2"/>
  <c r="C52" i="2"/>
  <c r="C53" i="2"/>
  <c r="C54" i="2"/>
  <c r="C55" i="2"/>
  <c r="C56" i="2"/>
  <c r="C57" i="2"/>
  <c r="C58" i="2"/>
  <c r="C59" i="2"/>
  <c r="C60" i="2"/>
  <c r="C61" i="2"/>
  <c r="C50" i="2"/>
  <c r="I66" i="2" l="1"/>
  <c r="S66" i="2"/>
  <c r="H66" i="2"/>
  <c r="R66" i="2"/>
  <c r="G66" i="2"/>
  <c r="F66" i="2"/>
  <c r="P66" i="2"/>
  <c r="E66" i="2"/>
  <c r="O66" i="2"/>
  <c r="D66" i="2"/>
  <c r="N66" i="2"/>
  <c r="M66" i="2"/>
  <c r="C66" i="2"/>
  <c r="I62" i="2"/>
  <c r="H62" i="2"/>
  <c r="G62" i="2"/>
  <c r="F62" i="2"/>
  <c r="E62" i="2"/>
  <c r="C62" i="2"/>
  <c r="C41" i="6" l="1"/>
  <c r="C40" i="6"/>
  <c r="C39" i="6"/>
  <c r="D41" i="6"/>
  <c r="D40" i="6"/>
  <c r="D39" i="6"/>
  <c r="E41" i="6"/>
  <c r="E40" i="6"/>
  <c r="E39" i="6"/>
  <c r="F40" i="6"/>
  <c r="F39" i="6"/>
  <c r="F41" i="6"/>
  <c r="G40" i="6"/>
  <c r="G39" i="6"/>
  <c r="G41" i="6"/>
  <c r="H39" i="6"/>
  <c r="H41" i="6"/>
  <c r="H40" i="6"/>
  <c r="H39" i="2"/>
  <c r="I41" i="6"/>
  <c r="I40" i="6"/>
  <c r="I39" i="6"/>
  <c r="I40" i="4"/>
  <c r="I41" i="4"/>
  <c r="I39" i="4"/>
  <c r="I39" i="2" s="1"/>
  <c r="H41" i="4"/>
  <c r="H40" i="4"/>
  <c r="H39" i="4"/>
  <c r="G41" i="4"/>
  <c r="G40" i="4"/>
  <c r="G39" i="4"/>
  <c r="F41" i="4"/>
  <c r="F40" i="4"/>
  <c r="F39" i="4"/>
  <c r="E41" i="4"/>
  <c r="E40" i="4"/>
  <c r="E39" i="4"/>
  <c r="D41" i="4"/>
  <c r="D40" i="4"/>
  <c r="D39" i="4"/>
  <c r="C41" i="4"/>
  <c r="C40" i="4"/>
  <c r="C39" i="4"/>
  <c r="I41" i="3"/>
  <c r="I40" i="3"/>
  <c r="I39" i="3"/>
  <c r="H41" i="3"/>
  <c r="H40" i="3"/>
  <c r="H39" i="3"/>
  <c r="G39" i="3"/>
  <c r="G40" i="3"/>
  <c r="G41" i="3"/>
  <c r="G41" i="2" s="1"/>
  <c r="G40" i="2"/>
  <c r="F39" i="3"/>
  <c r="F41" i="3"/>
  <c r="F41" i="2" s="1"/>
  <c r="F40" i="3"/>
  <c r="E39" i="3"/>
  <c r="E40" i="3"/>
  <c r="E41" i="3"/>
  <c r="D41" i="3"/>
  <c r="D40" i="3"/>
  <c r="D39" i="3"/>
  <c r="C40" i="3"/>
  <c r="C39" i="3"/>
  <c r="C41" i="3"/>
  <c r="I41" i="1"/>
  <c r="I40" i="1"/>
  <c r="I39" i="1"/>
  <c r="H41" i="1"/>
  <c r="H39" i="1"/>
  <c r="H40" i="1"/>
  <c r="G41" i="1"/>
  <c r="G39" i="1"/>
  <c r="G40" i="1"/>
  <c r="G39" i="2"/>
  <c r="F40" i="1"/>
  <c r="F39" i="1"/>
  <c r="F41" i="1"/>
  <c r="E39" i="1"/>
  <c r="E41" i="1"/>
  <c r="E40" i="1"/>
  <c r="E39" i="2"/>
  <c r="D41" i="1"/>
  <c r="D40" i="1"/>
  <c r="D39" i="1"/>
  <c r="C41" i="1"/>
  <c r="C40" i="1"/>
  <c r="C39" i="1"/>
  <c r="I20" i="6"/>
  <c r="I19" i="6"/>
  <c r="I18" i="6"/>
  <c r="H18" i="6"/>
  <c r="H20" i="6"/>
  <c r="H19" i="6"/>
  <c r="G18" i="6"/>
  <c r="G20" i="6"/>
  <c r="G19" i="6"/>
  <c r="G19" i="2" s="1"/>
  <c r="F20" i="6"/>
  <c r="F20" i="2"/>
  <c r="F19" i="6"/>
  <c r="F18" i="6"/>
  <c r="E20" i="6"/>
  <c r="E19" i="6"/>
  <c r="E18" i="6"/>
  <c r="F18" i="2"/>
  <c r="E19" i="2"/>
  <c r="D20" i="6"/>
  <c r="D19" i="6"/>
  <c r="D18" i="6"/>
  <c r="C20" i="6"/>
  <c r="C19" i="6"/>
  <c r="C18" i="6"/>
  <c r="I20" i="5"/>
  <c r="I19" i="5"/>
  <c r="I19" i="2" s="1"/>
  <c r="I18" i="5"/>
  <c r="H20" i="5"/>
  <c r="H19" i="5"/>
  <c r="H18" i="5"/>
  <c r="G20" i="5"/>
  <c r="G19" i="5"/>
  <c r="G18" i="5"/>
  <c r="F19" i="5"/>
  <c r="F18" i="5"/>
  <c r="F20" i="5"/>
  <c r="E19" i="5"/>
  <c r="E18" i="5"/>
  <c r="E20" i="5"/>
  <c r="D20" i="5"/>
  <c r="D19" i="5"/>
  <c r="D18" i="5"/>
  <c r="C20" i="5"/>
  <c r="C19" i="5"/>
  <c r="C18" i="5"/>
  <c r="I20" i="4"/>
  <c r="I18" i="4"/>
  <c r="I19" i="4"/>
  <c r="H18" i="4"/>
  <c r="H20" i="4"/>
  <c r="H19" i="4"/>
  <c r="G18" i="4"/>
  <c r="G20" i="4"/>
  <c r="G19" i="4"/>
  <c r="F18" i="4"/>
  <c r="F20" i="4"/>
  <c r="F19" i="4"/>
  <c r="E20" i="4"/>
  <c r="E19" i="4"/>
  <c r="E18" i="4"/>
  <c r="D20" i="4"/>
  <c r="D18" i="4"/>
  <c r="D19" i="4"/>
  <c r="C20" i="4"/>
  <c r="C19" i="4"/>
  <c r="C18" i="4"/>
  <c r="I19" i="3"/>
  <c r="I20" i="3"/>
  <c r="I18" i="3"/>
  <c r="I18" i="2" s="1"/>
  <c r="H20" i="3"/>
  <c r="H19" i="3"/>
  <c r="H18" i="3"/>
  <c r="G20" i="3"/>
  <c r="G19" i="3"/>
  <c r="G18" i="3"/>
  <c r="G18" i="2" s="1"/>
  <c r="F19" i="3"/>
  <c r="F20" i="3"/>
  <c r="F18" i="3"/>
  <c r="E20" i="3"/>
  <c r="E19" i="3"/>
  <c r="E18" i="3"/>
  <c r="D19" i="3"/>
  <c r="D19" i="2"/>
  <c r="D20" i="3"/>
  <c r="D18" i="3"/>
  <c r="C20" i="3"/>
  <c r="C19" i="3"/>
  <c r="C18" i="3"/>
  <c r="I20" i="1"/>
  <c r="I19" i="1"/>
  <c r="I18" i="1"/>
  <c r="H20" i="1"/>
  <c r="H19" i="1"/>
  <c r="H18" i="1"/>
  <c r="G20" i="1"/>
  <c r="G19" i="1"/>
  <c r="G18" i="1"/>
  <c r="F20" i="1"/>
  <c r="F19" i="1"/>
  <c r="F18" i="1"/>
  <c r="E20" i="1"/>
  <c r="E19" i="1"/>
  <c r="E18" i="1"/>
  <c r="D20" i="1"/>
  <c r="D19" i="1"/>
  <c r="D18" i="1"/>
  <c r="C20" i="1"/>
  <c r="C19" i="1"/>
  <c r="C18" i="1"/>
  <c r="I41" i="2"/>
  <c r="H41" i="2"/>
  <c r="E41" i="2"/>
  <c r="D41" i="2"/>
  <c r="C41" i="2"/>
  <c r="I40" i="2"/>
  <c r="H40" i="2"/>
  <c r="F40" i="2"/>
  <c r="E40" i="2"/>
  <c r="D40" i="2"/>
  <c r="C40" i="2"/>
  <c r="F39" i="2"/>
  <c r="D39" i="2"/>
  <c r="C39" i="2"/>
  <c r="Q21" i="2"/>
  <c r="O21" i="2"/>
  <c r="N21" i="2"/>
  <c r="R20" i="2"/>
  <c r="Q20" i="2"/>
  <c r="P20" i="2"/>
  <c r="O20" i="2"/>
  <c r="N20" i="2"/>
  <c r="M20" i="2"/>
  <c r="L20" i="2"/>
  <c r="R19" i="2"/>
  <c r="Q19" i="2"/>
  <c r="P19" i="2"/>
  <c r="O19" i="2"/>
  <c r="N19" i="2"/>
  <c r="M19" i="2"/>
  <c r="L19" i="2"/>
  <c r="R18" i="2"/>
  <c r="R21" i="2" s="1"/>
  <c r="Q18" i="2"/>
  <c r="P18" i="2"/>
  <c r="P21" i="2" s="1"/>
  <c r="O18" i="2"/>
  <c r="N18" i="2"/>
  <c r="M18" i="2"/>
  <c r="M21" i="2" s="1"/>
  <c r="L18" i="2"/>
  <c r="L21" i="2" s="1"/>
  <c r="C19" i="2"/>
  <c r="F19" i="2"/>
  <c r="H19" i="2"/>
  <c r="C20" i="2"/>
  <c r="D20" i="2"/>
  <c r="E20" i="2"/>
  <c r="G20" i="2"/>
  <c r="D18" i="2"/>
  <c r="E18" i="2"/>
  <c r="H18" i="2"/>
  <c r="C18" i="2"/>
  <c r="R16" i="2"/>
  <c r="Q16" i="2"/>
  <c r="P16" i="2"/>
  <c r="O16" i="2"/>
  <c r="N16" i="2"/>
  <c r="M16" i="2"/>
  <c r="L16" i="2"/>
  <c r="R15" i="2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R13" i="2"/>
  <c r="Q13" i="2"/>
  <c r="P13" i="2"/>
  <c r="O13" i="2"/>
  <c r="N13" i="2"/>
  <c r="M13" i="2"/>
  <c r="L13" i="2"/>
  <c r="R12" i="2"/>
  <c r="Q12" i="2"/>
  <c r="P12" i="2"/>
  <c r="O12" i="2"/>
  <c r="N12" i="2"/>
  <c r="M12" i="2"/>
  <c r="L12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R17" i="2" s="1"/>
  <c r="Q7" i="2"/>
  <c r="Q17" i="2" s="1"/>
  <c r="P7" i="2"/>
  <c r="P17" i="2" s="1"/>
  <c r="O7" i="2"/>
  <c r="O17" i="2" s="1"/>
  <c r="N7" i="2"/>
  <c r="N17" i="2" s="1"/>
  <c r="M7" i="2"/>
  <c r="M17" i="2" s="1"/>
  <c r="L7" i="2"/>
  <c r="L17" i="2" s="1"/>
  <c r="R6" i="2"/>
  <c r="Q6" i="2"/>
  <c r="P6" i="2"/>
  <c r="O6" i="2"/>
  <c r="N6" i="2"/>
  <c r="M6" i="2"/>
  <c r="L6" i="2"/>
  <c r="R5" i="2"/>
  <c r="Q5" i="2"/>
  <c r="P5" i="2"/>
  <c r="O5" i="2"/>
  <c r="N5" i="2"/>
  <c r="M5" i="2"/>
  <c r="L5" i="2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I33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D16" i="2"/>
  <c r="E16" i="2"/>
  <c r="F16" i="2"/>
  <c r="G16" i="2"/>
  <c r="H16" i="2"/>
  <c r="I16" i="2"/>
  <c r="C6" i="2"/>
  <c r="C7" i="2"/>
  <c r="C8" i="2"/>
  <c r="C9" i="2"/>
  <c r="C10" i="2"/>
  <c r="C11" i="2"/>
  <c r="C12" i="2"/>
  <c r="C13" i="2"/>
  <c r="C14" i="2"/>
  <c r="C15" i="2"/>
  <c r="C16" i="2"/>
  <c r="C5" i="2"/>
  <c r="I42" i="2" l="1"/>
  <c r="H42" i="2"/>
  <c r="G42" i="2"/>
  <c r="F42" i="2"/>
  <c r="E42" i="2"/>
  <c r="D42" i="2"/>
  <c r="C42" i="2"/>
  <c r="H20" i="2"/>
  <c r="H21" i="2" s="1"/>
  <c r="I20" i="2"/>
  <c r="I21" i="2" s="1"/>
  <c r="I38" i="2"/>
  <c r="H38" i="2"/>
  <c r="G38" i="2"/>
  <c r="F38" i="2"/>
  <c r="E38" i="2"/>
  <c r="D38" i="2"/>
  <c r="C38" i="2"/>
  <c r="F21" i="2"/>
  <c r="C21" i="2"/>
  <c r="G21" i="2"/>
  <c r="E21" i="2"/>
  <c r="D21" i="2"/>
  <c r="H17" i="2"/>
  <c r="D17" i="2"/>
  <c r="F17" i="2"/>
  <c r="E17" i="2"/>
  <c r="I17" i="2"/>
  <c r="C17" i="2"/>
  <c r="G17" i="2"/>
</calcChain>
</file>

<file path=xl/sharedStrings.xml><?xml version="1.0" encoding="utf-8"?>
<sst xmlns="http://schemas.openxmlformats.org/spreadsheetml/2006/main" count="544" uniqueCount="31">
  <si>
    <t>400/400/400</t>
    <phoneticPr fontId="1"/>
  </si>
  <si>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</si>
  <si>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</si>
  <si>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</si>
  <si>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</si>
  <si>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</si>
  <si>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</si>
  <si>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</si>
  <si>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</si>
  <si>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600/600/600</t>
    <phoneticPr fontId="1"/>
  </si>
  <si>
    <t>性能込み</t>
    <rPh sb="0" eb="2">
      <t>セイノウ</t>
    </rPh>
    <rPh sb="2" eb="3">
      <t>コミ</t>
    </rPh>
    <phoneticPr fontId="1"/>
  </si>
  <si>
    <t>（Bus）</t>
    <phoneticPr fontId="1"/>
  </si>
  <si>
    <t>（Car）</t>
    <phoneticPr fontId="1"/>
  </si>
  <si>
    <t>500/500/500</t>
    <phoneticPr fontId="1"/>
  </si>
  <si>
    <t>交差点前_平均</t>
    <rPh sb="0" eb="4">
      <t>コウサ</t>
    </rPh>
    <rPh sb="5" eb="7">
      <t>ヘイキn</t>
    </rPh>
    <phoneticPr fontId="1"/>
  </si>
  <si>
    <t>通過台数_L</t>
    <rPh sb="0" eb="2">
      <t>ツウカ</t>
    </rPh>
    <rPh sb="2" eb="4">
      <t>ダイスウ</t>
    </rPh>
    <phoneticPr fontId="1"/>
  </si>
  <si>
    <t>通過台数_R</t>
    <rPh sb="0" eb="1">
      <t>ツウカ</t>
    </rPh>
    <phoneticPr fontId="1"/>
  </si>
  <si>
    <t>通過台数_B</t>
    <rPh sb="0" eb="4">
      <t>ツウカ</t>
    </rPh>
    <phoneticPr fontId="1"/>
  </si>
  <si>
    <t>通過台数_合計</t>
    <rPh sb="0" eb="4">
      <t>ツウカ</t>
    </rPh>
    <rPh sb="5" eb="7">
      <t>ゴウケイ</t>
    </rPh>
    <phoneticPr fontId="1"/>
  </si>
  <si>
    <t>RB+BL</t>
    <phoneticPr fontId="1"/>
  </si>
  <si>
    <t>LB+BR</t>
    <phoneticPr fontId="1"/>
  </si>
  <si>
    <t>LR+RL</t>
    <phoneticPr fontId="1"/>
  </si>
  <si>
    <t>ALW</t>
  </si>
  <si>
    <t>ACT</t>
  </si>
  <si>
    <t>SPD</t>
  </si>
  <si>
    <t>UTF</t>
  </si>
  <si>
    <t>TIV_te</t>
    <phoneticPr fontId="1"/>
  </si>
  <si>
    <t>TIV_tep</t>
    <phoneticPr fontId="1"/>
  </si>
  <si>
    <t>600s seed1-5</t>
    <phoneticPr fontId="1"/>
  </si>
  <si>
    <t>seed2,3,5,6</t>
    <phoneticPr fontId="1"/>
  </si>
  <si>
    <t>seed3,5,6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</si>
</sst>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1346673771042"/>
          <c:y val="4.4272439344856633E-2"/>
          <c:w val="0.84121761095652514"/>
          <c:h val="0.77816497235587057"/>
        </c:manualLayout>
      </c:layout>
      <c:lineChart>
        <c:grouping val="standard"/>
        <c:varyColors val="0"/>
        <c:ser>
          <c:idx val="0"/>
          <c:order val="0"/>
          <c:tx>
            <c:strRef>
              <c:f>平均!$L$32</c:f>
              <c:strCache>
                <c:ptCount val="1"/>
                <c:pt idx="0">
                  <c:v>ALW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平均!$M$32:$N$32</c:f>
              <c:numCache>
                <c:formatCode>General</c:formatCode>
                <c:ptCount val="2"/>
                <c:pt idx="0">
                  <c:v>6.6074999999999999</c:v>
                </c:pt>
                <c:pt idx="1">
                  <c:v>4.6017000000000001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E-0A41-9271-1AEB8D9CF7E3}"/>
            </c:ext>
          </c:extLst>
        </c:ser>
        <c:ser>
          <c:idx val="1"/>
          <c:order val="1"/>
          <c:tx>
            <c:strRef>
              <c:f>平均!$L$33</c:f>
              <c:strCache>
                <c:ptCount val="1"/>
                <c:pt idx="0">
                  <c:v>ACT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平均!$M$33:$N$33</c:f>
              <c:numCache>
                <c:formatCode>General</c:formatCode>
                <c:ptCount val="2"/>
                <c:pt idx="0">
                  <c:v>6.6722000000000001</c:v>
                </c:pt>
                <c:pt idx="1">
                  <c:v>4.8418999999999999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E-0A41-9271-1AEB8D9CF7E3}"/>
            </c:ext>
          </c:extLst>
        </c:ser>
        <c:ser>
          <c:idx val="2"/>
          <c:order val="2"/>
          <c:tx>
            <c:strRef>
              <c:f>平均!$L$34</c:f>
              <c:strCache>
                <c:ptCount val="1"/>
                <c:pt idx="0">
                  <c:v>SPD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平均!$M$34:$N$34</c:f>
              <c:numCache>
                <c:formatCode>General</c:formatCode>
                <c:ptCount val="2"/>
                <c:pt idx="0">
                  <c:v>7.3775000000000004</c:v>
                </c:pt>
                <c:pt idx="1">
                  <c:v>5.9591000000000003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E-0A41-9271-1AEB8D9CF7E3}"/>
            </c:ext>
          </c:extLst>
        </c:ser>
        <c:ser>
          <c:idx val="3"/>
          <c:order val="3"/>
          <c:tx>
            <c:strRef>
              <c:f>平均!$L$35</c:f>
              <c:strCache>
                <c:ptCount val="1"/>
                <c:pt idx="0">
                  <c:v>UTF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平均!$M$35:$N$35</c:f>
              <c:numCache>
                <c:formatCode>General</c:formatCode>
                <c:ptCount val="2"/>
                <c:pt idx="0">
                  <c:v>6.8242000000000003</c:v>
                </c:pt>
                <c:pt idx="1">
                  <c:v>5.5057999999999998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E-0A41-9271-1AEB8D9CF7E3}"/>
            </c:ext>
          </c:extLst>
        </c:ser>
        <c:ser>
          <c:idx val="4"/>
          <c:order val="4"/>
          <c:tx>
            <c:strRef>
              <c:f>平均!$L$36</c:f>
              <c:strCache>
                <c:ptCount val="1"/>
                <c:pt idx="0">
                  <c:v>TIV_te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5400">
                <a:solidFill>
                  <a:schemeClr val="accent5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平均!$M$36:$N$36</c:f>
              <c:numCache>
                <c:formatCode>General</c:formatCode>
                <c:ptCount val="2"/>
                <c:pt idx="0">
                  <c:v>7.3583999999999996</c:v>
                </c:pt>
                <c:pt idx="1">
                  <c:v>6.1898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E-0A41-9271-1AEB8D9CF7E3}"/>
            </c:ext>
          </c:extLst>
        </c:ser>
        <c:ser>
          <c:idx val="5"/>
          <c:order val="5"/>
          <c:tx>
            <c:strRef>
              <c:f>平均!$L$37</c:f>
              <c:strCache>
                <c:ptCount val="1"/>
                <c:pt idx="0">
                  <c:v>TIV_tep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平均!$M$31:$N$31</c:f>
              <c:numCache>
                <c:formatCode>General</c:formatCode>
                <c:ptCount val="2"/>
                <c:pt idx="0">
                  <c:v>400</c:v>
                </c:pt>
                <c:pt idx="1">
                  <c:v>500</c:v>
                </c:pt>
              </c:numCache>
            </c:numRef>
          </c:cat>
          <c:val>
            <c:numRef>
              <c:f>平均!$M$37:$N$37</c:f>
              <c:numCache>
                <c:formatCode>General</c:formatCode>
                <c:ptCount val="2"/>
                <c:pt idx="0">
                  <c:v>7.4158999999999997</c:v>
                </c:pt>
                <c:pt idx="1">
                  <c:v>6.4954999999999998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E-0A41-9271-1AEB8D9CF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518927"/>
        <c:axId val="2034179696"/>
      </c:lineChart>
      <c:catAx>
        <c:axId val="133651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Inflow</a:t>
                </a:r>
                <a:r>
                  <a:rPr lang="en-US" altLang="ja-JP" sz="1400" baseline="0"/>
                  <a:t> per one direction [vehicles/h]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179696"/>
        <c:crosses val="autoZero"/>
        <c:auto val="1"/>
        <c:lblAlgn val="ctr"/>
        <c:lblOffset val="100"/>
        <c:noMultiLvlLbl val="0"/>
      </c:catAx>
      <c:valAx>
        <c:axId val="2034179696"/>
        <c:scaling>
          <c:orientation val="minMax"/>
          <c:max val="7.5"/>
          <c:min val="4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Total</a:t>
                </a:r>
                <a:r>
                  <a:rPr lang="en-US" altLang="ja-JP" sz="1400" baseline="0"/>
                  <a:t> average speed [m/s]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6518927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180115643439306"/>
          <c:y val="0.67047170905559927"/>
          <c:w val="0.46827738637933414"/>
          <c:h val="0.13231469749913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660400</xdr:colOff>
      <xdr:row>29</xdr:row>
      <xdr:rowOff>12700</xdr:rowOff>
    </xdr:from>
    <xdr:to>
      <xdr:col>21</xdr:col>
      <xdr:colOff>12700</xdr:colOff>
      <xdr:row>41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F70D7CD-050E-27B1-E79E-99135FDD2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A2:R41"/>
  <sheetViews>
    <sheetView topLeftCell="A15" workbookViewId="0">
      <selection activeCell="I42" sqref="I42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4.9484000000000004</v>
      </c>
      <c r="D5">
        <v>5.1426999999999996</v>
      </c>
      <c r="E5">
        <v>5.2819000000000003</v>
      </c>
      <c r="F5">
        <v>5.4664999999999999</v>
      </c>
      <c r="G5">
        <v>4.8777999999999997</v>
      </c>
      <c r="H5">
        <v>5.1702000000000004</v>
      </c>
      <c r="I5">
        <v>5.3071999999999999</v>
      </c>
      <c r="K5" s="2" t="s">
        <v>11</v>
      </c>
    </row>
    <row r="6" spans="2:18">
      <c r="B6" s="2" t="s">
        <v>12</v>
      </c>
      <c r="C6">
        <v>4.7051999999999996</v>
      </c>
      <c r="D6">
        <v>4.2178000000000004</v>
      </c>
      <c r="E6">
        <v>5.2812999999999999</v>
      </c>
      <c r="F6">
        <v>4.9020999999999999</v>
      </c>
      <c r="G6">
        <v>4.5187999999999997</v>
      </c>
      <c r="H6">
        <v>4.4672000000000001</v>
      </c>
      <c r="I6">
        <v>4.8639000000000001</v>
      </c>
      <c r="K6" s="2" t="s">
        <v>12</v>
      </c>
    </row>
    <row r="7" spans="2:18">
      <c r="B7" t="s">
        <v>2</v>
      </c>
      <c r="C7">
        <v>4.7485999999999997</v>
      </c>
      <c r="D7">
        <v>4.3639000000000001</v>
      </c>
      <c r="E7">
        <v>5.2813999999999997</v>
      </c>
      <c r="F7">
        <v>4.9976000000000003</v>
      </c>
      <c r="G7">
        <v>4.5815000000000001</v>
      </c>
      <c r="H7">
        <v>4.5831999999999997</v>
      </c>
      <c r="I7">
        <v>4.9400000000000004</v>
      </c>
      <c r="K7" t="s">
        <v>2</v>
      </c>
    </row>
    <row r="8" spans="2:18">
      <c r="B8" s="2" t="s">
        <v>11</v>
      </c>
      <c r="C8">
        <v>5.1509</v>
      </c>
      <c r="D8">
        <v>3.7244999999999999</v>
      </c>
      <c r="E8">
        <v>4.8525999999999998</v>
      </c>
      <c r="F8">
        <v>4.6013999999999999</v>
      </c>
      <c r="G8">
        <v>4.2210000000000001</v>
      </c>
      <c r="H8">
        <v>5.0415999999999999</v>
      </c>
      <c r="I8">
        <v>4.9311999999999996</v>
      </c>
      <c r="K8" s="2" t="s">
        <v>11</v>
      </c>
    </row>
    <row r="9" spans="2:18">
      <c r="B9" s="2" t="s">
        <v>12</v>
      </c>
      <c r="C9">
        <v>5.22</v>
      </c>
      <c r="D9">
        <v>3.8813</v>
      </c>
      <c r="E9">
        <v>4.6203000000000003</v>
      </c>
      <c r="F9">
        <v>4.4973000000000001</v>
      </c>
      <c r="G9">
        <v>4.5429000000000004</v>
      </c>
      <c r="H9">
        <v>4.5315000000000003</v>
      </c>
      <c r="I9">
        <v>4.8720999999999997</v>
      </c>
      <c r="K9" s="2" t="s">
        <v>12</v>
      </c>
    </row>
    <row r="10" spans="2:18">
      <c r="B10" t="s">
        <v>3</v>
      </c>
      <c r="C10">
        <v>5.2012999999999998</v>
      </c>
      <c r="D10">
        <v>3.8376999999999999</v>
      </c>
      <c r="E10">
        <v>4.6802999999999999</v>
      </c>
      <c r="F10">
        <v>4.5246000000000004</v>
      </c>
      <c r="G10">
        <v>4.4523000000000001</v>
      </c>
      <c r="H10">
        <v>4.6574</v>
      </c>
      <c r="I10">
        <v>4.8876999999999997</v>
      </c>
      <c r="K10" t="s">
        <v>3</v>
      </c>
    </row>
    <row r="11" spans="2:18">
      <c r="B11" s="2" t="s">
        <v>11</v>
      </c>
      <c r="C11">
        <v>3.6968000000000001</v>
      </c>
      <c r="D11">
        <v>6.6452</v>
      </c>
      <c r="E11">
        <v>7.8323999999999998</v>
      </c>
      <c r="F11">
        <v>7.8590999999999998</v>
      </c>
      <c r="G11">
        <v>6.0411000000000001</v>
      </c>
      <c r="H11">
        <v>4.8068</v>
      </c>
      <c r="I11">
        <v>5.9135999999999997</v>
      </c>
      <c r="K11" s="2" t="s">
        <v>11</v>
      </c>
    </row>
    <row r="12" spans="2:18">
      <c r="B12" s="2" t="s">
        <v>12</v>
      </c>
      <c r="C12">
        <v>5.0956000000000001</v>
      </c>
      <c r="D12">
        <v>7.6654999999999998</v>
      </c>
      <c r="E12">
        <v>7.5728999999999997</v>
      </c>
      <c r="F12">
        <v>7.1576000000000004</v>
      </c>
      <c r="G12">
        <v>5.5035999999999996</v>
      </c>
      <c r="H12">
        <v>6.3589000000000002</v>
      </c>
      <c r="I12">
        <v>6.9320000000000004</v>
      </c>
      <c r="K12" s="2" t="s">
        <v>12</v>
      </c>
    </row>
    <row r="13" spans="2:18">
      <c r="B13" t="s">
        <v>1</v>
      </c>
      <c r="C13">
        <v>4.9305000000000003</v>
      </c>
      <c r="D13">
        <v>7.5631000000000004</v>
      </c>
      <c r="E13">
        <v>7.5951000000000004</v>
      </c>
      <c r="F13">
        <v>7.2144000000000004</v>
      </c>
      <c r="G13">
        <v>5.5472000000000001</v>
      </c>
      <c r="H13">
        <v>6.1822999999999997</v>
      </c>
      <c r="I13">
        <v>6.8278999999999996</v>
      </c>
      <c r="K13" t="s">
        <v>1</v>
      </c>
    </row>
    <row r="14" spans="2:18">
      <c r="B14" s="2" t="s">
        <v>11</v>
      </c>
      <c r="C14">
        <v>6.4516</v>
      </c>
      <c r="D14">
        <v>6.1403999999999996</v>
      </c>
      <c r="E14">
        <v>7.0247000000000002</v>
      </c>
      <c r="F14">
        <v>6.8235000000000001</v>
      </c>
      <c r="G14">
        <v>6.3754999999999997</v>
      </c>
      <c r="H14">
        <v>6.6181000000000001</v>
      </c>
      <c r="I14">
        <v>6.7717999999999998</v>
      </c>
      <c r="K14" s="2" t="s">
        <v>11</v>
      </c>
    </row>
    <row r="15" spans="2:18">
      <c r="B15" s="2" t="s">
        <v>12</v>
      </c>
      <c r="C15">
        <v>6.9532999999999996</v>
      </c>
      <c r="D15">
        <v>6.9550999999999998</v>
      </c>
      <c r="E15">
        <v>7.6829000000000001</v>
      </c>
      <c r="F15">
        <v>7.4413999999999998</v>
      </c>
      <c r="G15">
        <v>6.8444000000000003</v>
      </c>
      <c r="H15">
        <v>7.0816999999999997</v>
      </c>
      <c r="I15">
        <v>7.4660000000000002</v>
      </c>
      <c r="K15" s="2" t="s">
        <v>12</v>
      </c>
    </row>
    <row r="16" spans="2:18">
      <c r="B16" t="s">
        <v>4</v>
      </c>
      <c r="C16">
        <v>6.8582999999999998</v>
      </c>
      <c r="D16">
        <v>6.7931999999999997</v>
      </c>
      <c r="E16">
        <v>7.5568</v>
      </c>
      <c r="F16">
        <v>7.3232999999999997</v>
      </c>
      <c r="G16">
        <v>6.7557</v>
      </c>
      <c r="H16">
        <v>6.9946000000000002</v>
      </c>
      <c r="I16">
        <v>7.3316999999999997</v>
      </c>
      <c r="K16" t="s">
        <v>4</v>
      </c>
    </row>
    <row r="18" spans="1:11">
      <c r="A18" t="s">
        <v>19</v>
      </c>
      <c r="B18" t="s">
        <v>15</v>
      </c>
      <c r="C18">
        <f>32+31</f>
        <v>63</v>
      </c>
      <c r="D18">
        <f>32+29</f>
        <v>61</v>
      </c>
      <c r="E18">
        <f>32+31</f>
        <v>63</v>
      </c>
      <c r="F18">
        <f>32+31</f>
        <v>63</v>
      </c>
      <c r="G18">
        <f>32+31</f>
        <v>63</v>
      </c>
      <c r="H18">
        <f>32+31</f>
        <v>63</v>
      </c>
      <c r="I18">
        <f>32+31</f>
        <v>63</v>
      </c>
      <c r="J18" t="s">
        <v>19</v>
      </c>
      <c r="K18" t="s">
        <v>15</v>
      </c>
    </row>
    <row r="19" spans="1:11">
      <c r="A19" t="s">
        <v>20</v>
      </c>
      <c r="B19" t="s">
        <v>16</v>
      </c>
      <c r="C19">
        <f>25+33</f>
        <v>58</v>
      </c>
      <c r="D19">
        <f>25+33</f>
        <v>58</v>
      </c>
      <c r="E19">
        <f>25+33</f>
        <v>58</v>
      </c>
      <c r="F19">
        <f>25+33</f>
        <v>58</v>
      </c>
      <c r="G19">
        <f>25+33</f>
        <v>58</v>
      </c>
      <c r="H19">
        <f>25+33</f>
        <v>58</v>
      </c>
      <c r="I19">
        <f>25+33</f>
        <v>58</v>
      </c>
      <c r="J19" t="s">
        <v>20</v>
      </c>
      <c r="K19" t="s">
        <v>16</v>
      </c>
    </row>
    <row r="20" spans="1:11">
      <c r="A20" t="s">
        <v>21</v>
      </c>
      <c r="B20" t="s">
        <v>17</v>
      </c>
      <c r="C20">
        <f>37+31</f>
        <v>68</v>
      </c>
      <c r="D20">
        <f>37+31</f>
        <v>68</v>
      </c>
      <c r="E20">
        <f>37+31</f>
        <v>68</v>
      </c>
      <c r="F20">
        <f>37+31</f>
        <v>68</v>
      </c>
      <c r="G20">
        <f>37+31</f>
        <v>68</v>
      </c>
      <c r="H20">
        <f>37+31</f>
        <v>68</v>
      </c>
      <c r="I20">
        <f>37+31</f>
        <v>68</v>
      </c>
      <c r="J20" t="s">
        <v>21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  <c r="C26">
        <v>2.0236000000000001</v>
      </c>
      <c r="D26">
        <v>2.6785999999999999</v>
      </c>
      <c r="E26">
        <v>2.9066000000000001</v>
      </c>
      <c r="F26">
        <v>4.5068999999999999</v>
      </c>
      <c r="G26">
        <v>3.7959999999999998</v>
      </c>
      <c r="H26">
        <v>3.6128</v>
      </c>
      <c r="I26">
        <v>1.5096000000000001</v>
      </c>
    </row>
    <row r="27" spans="1:11">
      <c r="B27" s="2" t="s">
        <v>12</v>
      </c>
      <c r="C27">
        <v>1.8029999999999999</v>
      </c>
      <c r="D27">
        <v>3.2921</v>
      </c>
      <c r="E27">
        <v>3.1436000000000002</v>
      </c>
      <c r="F27">
        <v>4.1875</v>
      </c>
      <c r="G27">
        <v>3.6198999999999999</v>
      </c>
      <c r="H27">
        <v>4.0720999999999998</v>
      </c>
      <c r="I27">
        <v>1.7963</v>
      </c>
    </row>
    <row r="28" spans="1:11">
      <c r="B28" t="s">
        <v>2</v>
      </c>
      <c r="C28">
        <v>1.84</v>
      </c>
      <c r="D28">
        <v>3.1623999999999999</v>
      </c>
      <c r="E28">
        <v>3.0981000000000001</v>
      </c>
      <c r="F28">
        <v>4.2409999999999997</v>
      </c>
      <c r="G28">
        <v>3.6501000000000001</v>
      </c>
      <c r="H28">
        <v>3.9813999999999998</v>
      </c>
      <c r="I28">
        <v>1.7476</v>
      </c>
    </row>
    <row r="29" spans="1:11">
      <c r="B29" s="2" t="s">
        <v>11</v>
      </c>
      <c r="C29">
        <v>3.3521999999999998</v>
      </c>
      <c r="D29">
        <v>2.2684000000000002</v>
      </c>
      <c r="E29">
        <v>2.8877000000000002</v>
      </c>
      <c r="F29">
        <v>3.5842000000000001</v>
      </c>
      <c r="G29">
        <v>3.7002999999999999</v>
      </c>
      <c r="H29">
        <v>3.8557999999999999</v>
      </c>
      <c r="I29">
        <v>2.3117999999999999</v>
      </c>
    </row>
    <row r="30" spans="1:11">
      <c r="B30" s="2" t="s">
        <v>12</v>
      </c>
      <c r="C30">
        <v>3.3506999999999998</v>
      </c>
      <c r="D30">
        <v>2.0327999999999999</v>
      </c>
      <c r="E30">
        <v>2.9144999999999999</v>
      </c>
      <c r="F30">
        <v>3.7572000000000001</v>
      </c>
      <c r="G30">
        <v>3.6878000000000002</v>
      </c>
      <c r="H30">
        <v>3.7233999999999998</v>
      </c>
      <c r="I30">
        <v>2.6375999999999999</v>
      </c>
    </row>
    <row r="31" spans="1:11">
      <c r="B31" t="s">
        <v>3</v>
      </c>
      <c r="C31">
        <v>3.3511000000000002</v>
      </c>
      <c r="D31">
        <v>2.0941999999999998</v>
      </c>
      <c r="E31">
        <v>2.9068999999999998</v>
      </c>
      <c r="F31">
        <v>3.7073</v>
      </c>
      <c r="G31">
        <v>3.6913</v>
      </c>
      <c r="H31">
        <v>3.7599</v>
      </c>
      <c r="I31">
        <v>2.5352999999999999</v>
      </c>
    </row>
    <row r="32" spans="1:11">
      <c r="B32" s="2" t="s">
        <v>11</v>
      </c>
      <c r="C32">
        <v>1.5744</v>
      </c>
      <c r="D32">
        <v>2.5891999999999999</v>
      </c>
      <c r="E32">
        <v>4.3672000000000004</v>
      </c>
      <c r="F32">
        <v>4.0151000000000003</v>
      </c>
      <c r="G32">
        <v>3.7561</v>
      </c>
      <c r="H32">
        <v>3.7845</v>
      </c>
      <c r="I32">
        <v>1.5820000000000001</v>
      </c>
    </row>
    <row r="33" spans="1:9">
      <c r="B33" s="2" t="s">
        <v>12</v>
      </c>
      <c r="C33">
        <v>1.7369000000000001</v>
      </c>
      <c r="D33">
        <v>3.1286999999999998</v>
      </c>
      <c r="E33">
        <v>4.9444999999999997</v>
      </c>
      <c r="F33">
        <v>4.7394999999999996</v>
      </c>
      <c r="G33">
        <v>3.8490000000000002</v>
      </c>
      <c r="H33">
        <v>4.6986999999999997</v>
      </c>
      <c r="I33">
        <v>3.1757</v>
      </c>
    </row>
    <row r="34" spans="1:9">
      <c r="B34" t="s">
        <v>1</v>
      </c>
      <c r="C34">
        <v>1.7125999999999999</v>
      </c>
      <c r="D34">
        <v>3.0286</v>
      </c>
      <c r="E34">
        <v>4.843</v>
      </c>
      <c r="F34">
        <v>4.6083999999999996</v>
      </c>
      <c r="G34">
        <v>3.8338999999999999</v>
      </c>
      <c r="H34">
        <v>4.5251999999999999</v>
      </c>
      <c r="I34">
        <v>2.8107000000000002</v>
      </c>
    </row>
    <row r="35" spans="1:9">
      <c r="B35" s="2" t="s">
        <v>11</v>
      </c>
      <c r="C35">
        <v>3.6617999999999999</v>
      </c>
      <c r="D35">
        <v>3.9266999999999999</v>
      </c>
      <c r="E35">
        <v>4.7778</v>
      </c>
      <c r="F35">
        <v>5.6821999999999999</v>
      </c>
      <c r="G35">
        <v>5.4423000000000004</v>
      </c>
      <c r="H35">
        <v>5.4659000000000004</v>
      </c>
      <c r="I35">
        <v>3.0131000000000001</v>
      </c>
    </row>
    <row r="36" spans="1:9">
      <c r="B36" s="2" t="s">
        <v>12</v>
      </c>
      <c r="C36">
        <v>3.4573999999999998</v>
      </c>
      <c r="D36">
        <v>4.4085999999999999</v>
      </c>
      <c r="E36">
        <v>5.3616000000000001</v>
      </c>
      <c r="F36">
        <v>6.1695000000000002</v>
      </c>
      <c r="G36">
        <v>5.5571000000000002</v>
      </c>
      <c r="H36">
        <v>6.0156000000000001</v>
      </c>
      <c r="I36">
        <v>3.8311999999999999</v>
      </c>
    </row>
    <row r="37" spans="1:9">
      <c r="B37" t="s">
        <v>4</v>
      </c>
      <c r="C37">
        <v>3.4961000000000002</v>
      </c>
      <c r="D37">
        <v>4.3007</v>
      </c>
      <c r="E37">
        <v>5.2302</v>
      </c>
      <c r="F37">
        <v>6.0625999999999998</v>
      </c>
      <c r="G37">
        <v>5.5331999999999999</v>
      </c>
      <c r="H37">
        <v>5.8937999999999997</v>
      </c>
      <c r="I37" s="3">
        <v>3.6497999999999999</v>
      </c>
    </row>
    <row r="39" spans="1:9">
      <c r="A39" t="s">
        <v>19</v>
      </c>
      <c r="B39" t="s">
        <v>15</v>
      </c>
      <c r="C39">
        <f>40+33</f>
        <v>73</v>
      </c>
      <c r="D39">
        <f>34+33</f>
        <v>67</v>
      </c>
      <c r="E39">
        <f>40+34</f>
        <v>74</v>
      </c>
      <c r="F39">
        <f>40+36</f>
        <v>76</v>
      </c>
      <c r="G39">
        <f>38+36</f>
        <v>74</v>
      </c>
      <c r="H39">
        <f>39+36</f>
        <v>75</v>
      </c>
      <c r="I39">
        <f>40+23</f>
        <v>63</v>
      </c>
    </row>
    <row r="40" spans="1:9">
      <c r="A40" t="s">
        <v>20</v>
      </c>
      <c r="B40" t="s">
        <v>16</v>
      </c>
      <c r="C40">
        <f>25+42</f>
        <v>67</v>
      </c>
      <c r="D40">
        <f>38+42</f>
        <v>80</v>
      </c>
      <c r="E40">
        <f>38+42</f>
        <v>80</v>
      </c>
      <c r="F40">
        <f>38+45</f>
        <v>83</v>
      </c>
      <c r="G40">
        <f>37+45</f>
        <v>82</v>
      </c>
      <c r="H40">
        <f>37+45</f>
        <v>82</v>
      </c>
      <c r="I40">
        <f>22+30</f>
        <v>52</v>
      </c>
    </row>
    <row r="41" spans="1:9">
      <c r="A41" t="s">
        <v>21</v>
      </c>
      <c r="B41" t="s">
        <v>17</v>
      </c>
      <c r="C41">
        <f>29+39</f>
        <v>68</v>
      </c>
      <c r="D41">
        <f>41+36</f>
        <v>77</v>
      </c>
      <c r="E41">
        <f>41+39</f>
        <v>80</v>
      </c>
      <c r="F41">
        <f>41+39</f>
        <v>80</v>
      </c>
      <c r="G41">
        <f>41+38</f>
        <v>79</v>
      </c>
      <c r="H41">
        <f>41+39</f>
        <v>80</v>
      </c>
      <c r="I41">
        <f>28+39</f>
        <v>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A2:R41"/>
  <sheetViews>
    <sheetView topLeftCell="A21" workbookViewId="0">
      <selection activeCell="I41" sqref="I4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4.1692999999999998</v>
      </c>
      <c r="D5">
        <v>4.7626999999999997</v>
      </c>
      <c r="E5">
        <v>5.6849999999999996</v>
      </c>
      <c r="F5">
        <v>5.4920999999999998</v>
      </c>
      <c r="G5">
        <v>4.7291999999999996</v>
      </c>
      <c r="H5">
        <v>5.5590999999999999</v>
      </c>
      <c r="I5">
        <v>5.6223000000000001</v>
      </c>
      <c r="K5" s="2" t="s">
        <v>11</v>
      </c>
    </row>
    <row r="6" spans="2:18">
      <c r="B6" s="2" t="s">
        <v>12</v>
      </c>
      <c r="C6">
        <v>5.1283000000000003</v>
      </c>
      <c r="D6">
        <v>4.0759999999999996</v>
      </c>
      <c r="E6">
        <v>5.3875000000000002</v>
      </c>
      <c r="F6">
        <v>5.7592999999999996</v>
      </c>
      <c r="G6">
        <v>4.6632999999999996</v>
      </c>
      <c r="H6">
        <v>5.5475000000000003</v>
      </c>
      <c r="I6">
        <v>5.3243999999999998</v>
      </c>
      <c r="K6" s="2" t="s">
        <v>12</v>
      </c>
    </row>
    <row r="7" spans="2:18">
      <c r="B7" t="s">
        <v>2</v>
      </c>
      <c r="C7">
        <v>4.8940000000000001</v>
      </c>
      <c r="D7">
        <v>4.2016</v>
      </c>
      <c r="E7">
        <v>5.4458000000000002</v>
      </c>
      <c r="F7">
        <v>5.7019000000000002</v>
      </c>
      <c r="G7">
        <v>4.6768000000000001</v>
      </c>
      <c r="H7">
        <v>5.5499000000000001</v>
      </c>
      <c r="I7">
        <v>5.3832000000000004</v>
      </c>
      <c r="K7" t="s">
        <v>2</v>
      </c>
    </row>
    <row r="8" spans="2:18">
      <c r="B8" s="2" t="s">
        <v>11</v>
      </c>
      <c r="C8">
        <v>5.2782999999999998</v>
      </c>
      <c r="D8">
        <v>4.0998999999999999</v>
      </c>
      <c r="E8">
        <v>4.9374000000000002</v>
      </c>
      <c r="F8">
        <v>4.7342000000000004</v>
      </c>
      <c r="G8">
        <v>4.5034000000000001</v>
      </c>
      <c r="H8">
        <v>4.8531000000000004</v>
      </c>
      <c r="I8">
        <v>5.0339999999999998</v>
      </c>
      <c r="K8" s="2" t="s">
        <v>11</v>
      </c>
    </row>
    <row r="9" spans="2:18">
      <c r="B9" s="2" t="s">
        <v>12</v>
      </c>
      <c r="C9">
        <v>5.1928999999999998</v>
      </c>
      <c r="D9">
        <v>3.7290000000000001</v>
      </c>
      <c r="E9">
        <v>4.5682999999999998</v>
      </c>
      <c r="F9">
        <v>4.6043000000000003</v>
      </c>
      <c r="G9">
        <v>4.1544999999999996</v>
      </c>
      <c r="H9">
        <v>5.0411999999999999</v>
      </c>
      <c r="I9">
        <v>4.8834</v>
      </c>
      <c r="K9" s="2" t="s">
        <v>12</v>
      </c>
    </row>
    <row r="10" spans="2:18">
      <c r="B10" t="s">
        <v>3</v>
      </c>
      <c r="C10">
        <v>5.2122999999999999</v>
      </c>
      <c r="D10">
        <v>3.8081</v>
      </c>
      <c r="E10">
        <v>4.6483999999999996</v>
      </c>
      <c r="F10">
        <v>4.6336000000000004</v>
      </c>
      <c r="G10">
        <v>4.2298</v>
      </c>
      <c r="H10">
        <v>4.9965999999999999</v>
      </c>
      <c r="I10">
        <v>4.9172000000000002</v>
      </c>
      <c r="K10" t="s">
        <v>3</v>
      </c>
    </row>
    <row r="11" spans="2:18">
      <c r="B11" s="2" t="s">
        <v>11</v>
      </c>
      <c r="C11">
        <v>3.3847999999999998</v>
      </c>
      <c r="D11">
        <v>8.5001999999999995</v>
      </c>
      <c r="E11">
        <v>8.2045999999999992</v>
      </c>
      <c r="F11">
        <v>7.9786999999999999</v>
      </c>
      <c r="G11">
        <v>4.6214000000000004</v>
      </c>
      <c r="H11">
        <v>5.9596999999999998</v>
      </c>
      <c r="I11">
        <v>7.3296000000000001</v>
      </c>
      <c r="K11" s="2" t="s">
        <v>11</v>
      </c>
    </row>
    <row r="12" spans="2:18">
      <c r="B12" s="2" t="s">
        <v>12</v>
      </c>
      <c r="C12">
        <v>5.3179999999999996</v>
      </c>
      <c r="D12">
        <v>7.6580000000000004</v>
      </c>
      <c r="E12">
        <v>7.9690000000000003</v>
      </c>
      <c r="F12">
        <v>7.6265999999999998</v>
      </c>
      <c r="G12">
        <v>5.5701000000000001</v>
      </c>
      <c r="H12">
        <v>7.7587999999999999</v>
      </c>
      <c r="I12">
        <v>7.6140999999999996</v>
      </c>
      <c r="K12" s="2" t="s">
        <v>12</v>
      </c>
    </row>
    <row r="13" spans="2:18">
      <c r="B13" t="s">
        <v>1</v>
      </c>
      <c r="C13">
        <v>4.7670000000000003</v>
      </c>
      <c r="D13">
        <v>7.8140000000000001</v>
      </c>
      <c r="E13">
        <v>8.0152000000000001</v>
      </c>
      <c r="F13">
        <v>7.6948999999999996</v>
      </c>
      <c r="G13">
        <v>5.3487</v>
      </c>
      <c r="H13">
        <v>7.3136000000000001</v>
      </c>
      <c r="I13">
        <v>7.5548999999999999</v>
      </c>
      <c r="K13" t="s">
        <v>1</v>
      </c>
    </row>
    <row r="14" spans="2:18">
      <c r="B14" s="2" t="s">
        <v>11</v>
      </c>
      <c r="C14">
        <v>5.8773</v>
      </c>
      <c r="D14">
        <v>6.8856999999999999</v>
      </c>
      <c r="E14">
        <v>7.4988000000000001</v>
      </c>
      <c r="F14">
        <v>7.3445</v>
      </c>
      <c r="G14">
        <v>6.2135999999999996</v>
      </c>
      <c r="H14">
        <v>6.9987000000000004</v>
      </c>
      <c r="I14">
        <v>7.4168000000000003</v>
      </c>
      <c r="K14" s="2" t="s">
        <v>11</v>
      </c>
    </row>
    <row r="15" spans="2:18">
      <c r="B15" s="2" t="s">
        <v>12</v>
      </c>
      <c r="C15">
        <v>7.1079999999999997</v>
      </c>
      <c r="D15">
        <v>6.6944999999999997</v>
      </c>
      <c r="E15">
        <v>7.6852999999999998</v>
      </c>
      <c r="F15">
        <v>7.7865000000000002</v>
      </c>
      <c r="G15">
        <v>6.6708999999999996</v>
      </c>
      <c r="H15">
        <v>7.8871000000000002</v>
      </c>
      <c r="I15">
        <v>7.7058</v>
      </c>
      <c r="K15" s="2" t="s">
        <v>12</v>
      </c>
    </row>
    <row r="16" spans="2:18">
      <c r="B16" t="s">
        <v>4</v>
      </c>
      <c r="C16">
        <v>6.8033999999999999</v>
      </c>
      <c r="D16">
        <v>6.7343999999999999</v>
      </c>
      <c r="E16">
        <v>7.6448</v>
      </c>
      <c r="F16">
        <v>7.6879999999999997</v>
      </c>
      <c r="G16">
        <v>6.5669000000000004</v>
      </c>
      <c r="H16">
        <v>7.6794000000000002</v>
      </c>
      <c r="I16">
        <v>7.6424000000000003</v>
      </c>
      <c r="K16" t="s">
        <v>4</v>
      </c>
    </row>
    <row r="18" spans="1:11">
      <c r="A18" t="s">
        <v>19</v>
      </c>
      <c r="B18" t="s">
        <v>15</v>
      </c>
      <c r="C18">
        <f>30+24</f>
        <v>54</v>
      </c>
      <c r="D18">
        <f>30+24</f>
        <v>54</v>
      </c>
      <c r="E18">
        <f>30+24</f>
        <v>54</v>
      </c>
      <c r="F18">
        <f>30+24</f>
        <v>54</v>
      </c>
      <c r="G18">
        <f>29+24</f>
        <v>53</v>
      </c>
      <c r="H18">
        <f>30+24</f>
        <v>54</v>
      </c>
      <c r="I18">
        <f>30+24</f>
        <v>54</v>
      </c>
      <c r="J18" t="s">
        <v>19</v>
      </c>
      <c r="K18" t="s">
        <v>15</v>
      </c>
    </row>
    <row r="19" spans="1:11">
      <c r="A19" t="s">
        <v>20</v>
      </c>
      <c r="B19" t="s">
        <v>16</v>
      </c>
      <c r="C19">
        <f>28+35</f>
        <v>63</v>
      </c>
      <c r="D19">
        <f>28+37</f>
        <v>65</v>
      </c>
      <c r="E19">
        <f>28+37</f>
        <v>65</v>
      </c>
      <c r="F19">
        <f>28+36</f>
        <v>64</v>
      </c>
      <c r="G19">
        <f>26+35</f>
        <v>61</v>
      </c>
      <c r="H19">
        <f>28+36</f>
        <v>64</v>
      </c>
      <c r="I19">
        <f>27+36</f>
        <v>63</v>
      </c>
      <c r="J19" t="s">
        <v>20</v>
      </c>
      <c r="K19" t="s">
        <v>16</v>
      </c>
    </row>
    <row r="20" spans="1:11">
      <c r="A20" t="s">
        <v>21</v>
      </c>
      <c r="B20" t="s">
        <v>17</v>
      </c>
      <c r="C20">
        <f>35+33</f>
        <v>68</v>
      </c>
      <c r="D20">
        <f>35+33</f>
        <v>68</v>
      </c>
      <c r="E20">
        <f>35+33</f>
        <v>68</v>
      </c>
      <c r="F20">
        <f>35+33</f>
        <v>68</v>
      </c>
      <c r="G20">
        <f>35+33</f>
        <v>68</v>
      </c>
      <c r="H20">
        <f>35+33</f>
        <v>68</v>
      </c>
      <c r="I20">
        <f>35+33</f>
        <v>68</v>
      </c>
      <c r="J20" t="s">
        <v>21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  <c r="C26">
        <v>1.2927999999999999</v>
      </c>
      <c r="D26">
        <v>3.9262000000000001</v>
      </c>
      <c r="E26">
        <v>4.8087</v>
      </c>
      <c r="F26">
        <v>3.8031999999999999</v>
      </c>
      <c r="G26">
        <v>4.3132999999999999</v>
      </c>
      <c r="H26">
        <v>3.0283000000000002</v>
      </c>
      <c r="I26">
        <v>3.9649000000000001</v>
      </c>
    </row>
    <row r="27" spans="1:11">
      <c r="B27" s="2" t="s">
        <v>12</v>
      </c>
      <c r="C27">
        <v>1.7148000000000001</v>
      </c>
      <c r="D27">
        <v>3.4011999999999998</v>
      </c>
      <c r="E27">
        <v>4.2286000000000001</v>
      </c>
      <c r="F27">
        <v>4.0292000000000003</v>
      </c>
      <c r="G27">
        <v>3.8388</v>
      </c>
      <c r="H27">
        <v>1.4215</v>
      </c>
      <c r="I27">
        <v>4.4572000000000003</v>
      </c>
    </row>
    <row r="28" spans="1:11">
      <c r="B28" t="s">
        <v>2</v>
      </c>
      <c r="C28">
        <v>1.5992</v>
      </c>
      <c r="D28">
        <v>3.4952000000000001</v>
      </c>
      <c r="E28">
        <v>4.3323999999999998</v>
      </c>
      <c r="F28">
        <v>3.9820000000000002</v>
      </c>
      <c r="G28">
        <v>3.9239999999999999</v>
      </c>
      <c r="H28">
        <v>1.6422000000000001</v>
      </c>
      <c r="I28">
        <v>4.3493000000000004</v>
      </c>
    </row>
    <row r="29" spans="1:11">
      <c r="B29" s="2" t="s">
        <v>11</v>
      </c>
      <c r="C29">
        <v>2.4394</v>
      </c>
      <c r="D29">
        <v>2.5760000000000001</v>
      </c>
      <c r="E29">
        <v>2.9198</v>
      </c>
      <c r="F29">
        <v>3.4315000000000002</v>
      </c>
      <c r="G29">
        <v>3.1747999999999998</v>
      </c>
      <c r="H29">
        <v>1.3514999999999999</v>
      </c>
      <c r="I29">
        <v>4.1487999999999996</v>
      </c>
    </row>
    <row r="30" spans="1:11">
      <c r="B30" s="2" t="s">
        <v>12</v>
      </c>
      <c r="C30">
        <v>2.7252000000000001</v>
      </c>
      <c r="D30">
        <v>2.6219000000000001</v>
      </c>
      <c r="E30">
        <v>2.8614999999999999</v>
      </c>
      <c r="F30">
        <v>3.7597</v>
      </c>
      <c r="G30">
        <v>3.3043999999999998</v>
      </c>
      <c r="H30">
        <v>1.8627</v>
      </c>
      <c r="I30">
        <v>4.2731000000000003</v>
      </c>
    </row>
    <row r="31" spans="1:11">
      <c r="B31" t="s">
        <v>3</v>
      </c>
      <c r="C31">
        <v>2.6299000000000001</v>
      </c>
      <c r="D31">
        <v>2.6074000000000002</v>
      </c>
      <c r="E31">
        <v>2.8794</v>
      </c>
      <c r="F31">
        <v>3.6509</v>
      </c>
      <c r="G31">
        <v>3.2631999999999999</v>
      </c>
      <c r="H31">
        <v>1.6911</v>
      </c>
      <c r="I31">
        <v>4.2339000000000002</v>
      </c>
    </row>
    <row r="32" spans="1:11">
      <c r="B32" s="2" t="s">
        <v>11</v>
      </c>
      <c r="C32">
        <v>1.9148000000000001</v>
      </c>
      <c r="D32">
        <v>4.3079999999999998</v>
      </c>
      <c r="E32">
        <v>4.3658999999999999</v>
      </c>
      <c r="F32">
        <v>5.1578999999999997</v>
      </c>
      <c r="G32">
        <v>3.7593000000000001</v>
      </c>
      <c r="H32">
        <v>1.6981999999999999</v>
      </c>
      <c r="I32">
        <v>4.7069999999999999</v>
      </c>
    </row>
    <row r="33" spans="1:9">
      <c r="B33" s="2" t="s">
        <v>12</v>
      </c>
      <c r="C33">
        <v>1.7057</v>
      </c>
      <c r="D33">
        <v>4.3413000000000004</v>
      </c>
      <c r="E33">
        <v>4.4831000000000003</v>
      </c>
      <c r="F33">
        <v>5.0176999999999996</v>
      </c>
      <c r="G33">
        <v>3.9784999999999999</v>
      </c>
      <c r="H33">
        <v>1.8403</v>
      </c>
      <c r="I33">
        <v>4.6018999999999997</v>
      </c>
    </row>
    <row r="34" spans="1:9">
      <c r="B34" t="s">
        <v>1</v>
      </c>
      <c r="C34">
        <v>1.7542</v>
      </c>
      <c r="D34">
        <v>4.3323</v>
      </c>
      <c r="E34">
        <v>4.4508000000000001</v>
      </c>
      <c r="F34">
        <v>5.0548000000000002</v>
      </c>
      <c r="G34">
        <v>3.9169</v>
      </c>
      <c r="H34">
        <v>1.8010999999999999</v>
      </c>
      <c r="I34">
        <v>4.6296999999999997</v>
      </c>
    </row>
    <row r="35" spans="1:9">
      <c r="B35" s="2" t="s">
        <v>11</v>
      </c>
      <c r="C35">
        <v>3.0529000000000002</v>
      </c>
      <c r="D35">
        <v>4.9169</v>
      </c>
      <c r="E35">
        <v>5.3521999999999998</v>
      </c>
      <c r="F35">
        <v>5.6558000000000002</v>
      </c>
      <c r="G35">
        <v>5.2076000000000002</v>
      </c>
      <c r="H35">
        <v>2.8317000000000001</v>
      </c>
      <c r="I35">
        <v>5.9467999999999996</v>
      </c>
    </row>
    <row r="36" spans="1:9">
      <c r="B36" s="2" t="s">
        <v>12</v>
      </c>
      <c r="C36">
        <v>3.2808999999999999</v>
      </c>
      <c r="D36">
        <v>5.0872999999999999</v>
      </c>
      <c r="E36">
        <v>5.5152999999999999</v>
      </c>
      <c r="F36">
        <v>6.0505000000000004</v>
      </c>
      <c r="G36">
        <v>5.5237999999999996</v>
      </c>
      <c r="H36">
        <v>2.8115999999999999</v>
      </c>
      <c r="I36">
        <v>6.3724999999999996</v>
      </c>
    </row>
    <row r="37" spans="1:9">
      <c r="B37" t="s">
        <v>4</v>
      </c>
      <c r="C37">
        <v>3.2166000000000001</v>
      </c>
      <c r="D37">
        <v>5.0415999999999999</v>
      </c>
      <c r="E37">
        <v>5.4715999999999996</v>
      </c>
      <c r="F37">
        <v>5.9416000000000002</v>
      </c>
      <c r="G37">
        <v>5.4382000000000001</v>
      </c>
      <c r="H37" s="3">
        <v>2.8168000000000002</v>
      </c>
      <c r="I37">
        <v>6.2557</v>
      </c>
    </row>
    <row r="39" spans="1:9">
      <c r="A39" t="s">
        <v>19</v>
      </c>
      <c r="B39" t="s">
        <v>15</v>
      </c>
      <c r="C39">
        <f>45+33</f>
        <v>78</v>
      </c>
      <c r="D39">
        <f>44+34</f>
        <v>78</v>
      </c>
      <c r="E39">
        <f>45+35</f>
        <v>80</v>
      </c>
      <c r="F39">
        <f>44+36</f>
        <v>80</v>
      </c>
      <c r="G39">
        <f>44+38</f>
        <v>82</v>
      </c>
      <c r="H39">
        <f>43+19</f>
        <v>62</v>
      </c>
      <c r="I39">
        <f>45+36</f>
        <v>81</v>
      </c>
    </row>
    <row r="40" spans="1:9">
      <c r="A40" t="s">
        <v>20</v>
      </c>
      <c r="B40" t="s">
        <v>16</v>
      </c>
      <c r="C40">
        <f>27+34</f>
        <v>61</v>
      </c>
      <c r="D40">
        <f>36+34</f>
        <v>70</v>
      </c>
      <c r="E40">
        <f>37+36</f>
        <v>73</v>
      </c>
      <c r="F40">
        <f>37+36</f>
        <v>73</v>
      </c>
      <c r="G40">
        <f>36+36</f>
        <v>72</v>
      </c>
      <c r="H40">
        <f>21+24</f>
        <v>45</v>
      </c>
      <c r="I40">
        <f>36+36</f>
        <v>72</v>
      </c>
    </row>
    <row r="41" spans="1:9">
      <c r="A41" t="s">
        <v>21</v>
      </c>
      <c r="B41" t="s">
        <v>17</v>
      </c>
      <c r="C41">
        <f>30+34</f>
        <v>64</v>
      </c>
      <c r="D41">
        <f>42+34</f>
        <v>76</v>
      </c>
      <c r="E41">
        <f>42+34</f>
        <v>76</v>
      </c>
      <c r="F41">
        <f>42+34</f>
        <v>76</v>
      </c>
      <c r="G41">
        <f>42+34</f>
        <v>76</v>
      </c>
      <c r="H41">
        <f>25+34</f>
        <v>59</v>
      </c>
      <c r="I41">
        <f>41+34</f>
        <v>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A2:R41"/>
  <sheetViews>
    <sheetView topLeftCell="A23" workbookViewId="0">
      <selection activeCell="I41" sqref="I4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4.9917999999999996</v>
      </c>
      <c r="D5">
        <v>3.6145999999999998</v>
      </c>
      <c r="E5">
        <v>4.9588000000000001</v>
      </c>
      <c r="F5">
        <v>5.3693</v>
      </c>
      <c r="G5">
        <v>5.4776999999999996</v>
      </c>
      <c r="H5">
        <v>5.2220000000000004</v>
      </c>
      <c r="I5">
        <v>5.3651</v>
      </c>
      <c r="K5" s="2" t="s">
        <v>11</v>
      </c>
    </row>
    <row r="6" spans="2:18">
      <c r="B6" s="2" t="s">
        <v>12</v>
      </c>
      <c r="C6">
        <v>4.4142999999999999</v>
      </c>
      <c r="D6">
        <v>3.4863</v>
      </c>
      <c r="E6">
        <v>4.9325000000000001</v>
      </c>
      <c r="F6">
        <v>4.7821999999999996</v>
      </c>
      <c r="G6">
        <v>5.1429</v>
      </c>
      <c r="H6">
        <v>5.6470000000000002</v>
      </c>
      <c r="I6">
        <v>5.6947000000000001</v>
      </c>
      <c r="K6" s="2" t="s">
        <v>12</v>
      </c>
    </row>
    <row r="7" spans="2:18">
      <c r="B7" t="s">
        <v>2</v>
      </c>
      <c r="C7">
        <v>4.5964</v>
      </c>
      <c r="D7">
        <v>3.5291000000000001</v>
      </c>
      <c r="E7">
        <v>4.9414999999999996</v>
      </c>
      <c r="F7">
        <v>4.968</v>
      </c>
      <c r="G7">
        <v>5.2533000000000003</v>
      </c>
      <c r="H7">
        <v>5.4939</v>
      </c>
      <c r="I7">
        <v>5.5773999999999999</v>
      </c>
      <c r="K7" t="s">
        <v>2</v>
      </c>
    </row>
    <row r="8" spans="2:18">
      <c r="B8" s="2" t="s">
        <v>11</v>
      </c>
      <c r="C8">
        <v>4.9065000000000003</v>
      </c>
      <c r="D8">
        <v>3.089</v>
      </c>
      <c r="E8">
        <v>4.5989000000000004</v>
      </c>
      <c r="F8">
        <v>4.7527999999999997</v>
      </c>
      <c r="G8">
        <v>4.7717000000000001</v>
      </c>
      <c r="H8">
        <v>5.0815000000000001</v>
      </c>
      <c r="I8">
        <v>5.0709</v>
      </c>
      <c r="K8" s="2" t="s">
        <v>11</v>
      </c>
    </row>
    <row r="9" spans="2:18">
      <c r="B9" s="2" t="s">
        <v>12</v>
      </c>
      <c r="C9">
        <v>5.0109000000000004</v>
      </c>
      <c r="D9">
        <v>3.1261000000000001</v>
      </c>
      <c r="E9">
        <v>4.6745000000000001</v>
      </c>
      <c r="F9">
        <v>4.6155999999999997</v>
      </c>
      <c r="G9">
        <v>5.1898999999999997</v>
      </c>
      <c r="H9">
        <v>4.8277000000000001</v>
      </c>
      <c r="I9">
        <v>4.8917000000000002</v>
      </c>
      <c r="K9" s="2" t="s">
        <v>12</v>
      </c>
    </row>
    <row r="10" spans="2:18">
      <c r="B10" t="s">
        <v>3</v>
      </c>
      <c r="C10">
        <v>4.9856999999999996</v>
      </c>
      <c r="D10">
        <v>3.1172</v>
      </c>
      <c r="E10">
        <v>4.6565000000000003</v>
      </c>
      <c r="F10">
        <v>4.6471999999999998</v>
      </c>
      <c r="G10">
        <v>5.0839999999999996</v>
      </c>
      <c r="H10">
        <v>4.8853999999999997</v>
      </c>
      <c r="I10">
        <v>4.9328000000000003</v>
      </c>
      <c r="K10" t="s">
        <v>3</v>
      </c>
    </row>
    <row r="11" spans="2:18">
      <c r="B11" s="2" t="s">
        <v>11</v>
      </c>
      <c r="C11">
        <v>4.2835999999999999</v>
      </c>
      <c r="D11">
        <v>7.6623000000000001</v>
      </c>
      <c r="E11">
        <v>8.0121000000000002</v>
      </c>
      <c r="F11">
        <v>6.2180999999999997</v>
      </c>
      <c r="G11">
        <v>5.3495999999999997</v>
      </c>
      <c r="H11">
        <v>6.9737</v>
      </c>
      <c r="I11">
        <v>6.9330999999999996</v>
      </c>
      <c r="K11" s="2" t="s">
        <v>11</v>
      </c>
    </row>
    <row r="12" spans="2:18">
      <c r="B12" s="2" t="s">
        <v>12</v>
      </c>
      <c r="C12">
        <v>4.5423999999999998</v>
      </c>
      <c r="D12">
        <v>7.0994999999999999</v>
      </c>
      <c r="E12">
        <v>7.3608000000000002</v>
      </c>
      <c r="F12">
        <v>6.8197999999999999</v>
      </c>
      <c r="G12">
        <v>6.1060999999999996</v>
      </c>
      <c r="H12">
        <v>6.4874000000000001</v>
      </c>
      <c r="I12">
        <v>6.4512999999999998</v>
      </c>
      <c r="K12" s="2" t="s">
        <v>12</v>
      </c>
    </row>
    <row r="13" spans="2:18">
      <c r="B13" t="s">
        <v>1</v>
      </c>
      <c r="C13">
        <v>4.4455</v>
      </c>
      <c r="D13">
        <v>7.2926000000000002</v>
      </c>
      <c r="E13">
        <v>7.5833000000000004</v>
      </c>
      <c r="F13">
        <v>6.5898000000000003</v>
      </c>
      <c r="G13">
        <v>5.8085000000000004</v>
      </c>
      <c r="H13">
        <v>6.6551</v>
      </c>
      <c r="I13">
        <v>6.617</v>
      </c>
      <c r="K13" t="s">
        <v>1</v>
      </c>
    </row>
    <row r="14" spans="2:18">
      <c r="B14" s="2" t="s">
        <v>11</v>
      </c>
      <c r="C14">
        <v>6.3089000000000004</v>
      </c>
      <c r="D14">
        <v>6.1646999999999998</v>
      </c>
      <c r="E14">
        <v>7.4385000000000003</v>
      </c>
      <c r="F14">
        <v>7.1416000000000004</v>
      </c>
      <c r="G14">
        <v>6.8884999999999996</v>
      </c>
      <c r="H14">
        <v>7.4010999999999996</v>
      </c>
      <c r="I14">
        <v>7.4394999999999998</v>
      </c>
      <c r="K14" s="2" t="s">
        <v>11</v>
      </c>
    </row>
    <row r="15" spans="2:18">
      <c r="B15" s="2" t="s">
        <v>12</v>
      </c>
      <c r="C15">
        <v>6.5829000000000004</v>
      </c>
      <c r="D15">
        <v>5.9737</v>
      </c>
      <c r="E15">
        <v>7.4531000000000001</v>
      </c>
      <c r="F15">
        <v>7.2682000000000002</v>
      </c>
      <c r="G15">
        <v>7.3952999999999998</v>
      </c>
      <c r="H15">
        <v>7.4844999999999997</v>
      </c>
      <c r="I15">
        <v>7.5335999999999999</v>
      </c>
      <c r="K15" s="2" t="s">
        <v>12</v>
      </c>
    </row>
    <row r="16" spans="2:18">
      <c r="B16" t="s">
        <v>4</v>
      </c>
      <c r="C16">
        <v>6.4943999999999997</v>
      </c>
      <c r="D16">
        <v>6.0321999999999996</v>
      </c>
      <c r="E16">
        <v>7.4485000000000001</v>
      </c>
      <c r="F16">
        <v>7.2281000000000004</v>
      </c>
      <c r="G16">
        <v>7.2282000000000002</v>
      </c>
      <c r="H16">
        <v>7.4581999999999997</v>
      </c>
      <c r="I16">
        <v>7.5038999999999998</v>
      </c>
      <c r="K16" t="s">
        <v>4</v>
      </c>
    </row>
    <row r="18" spans="1:11">
      <c r="A18" t="s">
        <v>19</v>
      </c>
      <c r="B18" t="s">
        <v>15</v>
      </c>
      <c r="C18">
        <f>26+34</f>
        <v>60</v>
      </c>
      <c r="D18">
        <f>27+33</f>
        <v>60</v>
      </c>
      <c r="E18">
        <f>27+33</f>
        <v>60</v>
      </c>
      <c r="F18">
        <f>27+34</f>
        <v>61</v>
      </c>
      <c r="G18">
        <f>26+33</f>
        <v>59</v>
      </c>
      <c r="H18">
        <f>27+33</f>
        <v>60</v>
      </c>
      <c r="I18">
        <f>27+34</f>
        <v>61</v>
      </c>
      <c r="J18" t="s">
        <v>19</v>
      </c>
      <c r="K18" t="s">
        <v>15</v>
      </c>
    </row>
    <row r="19" spans="1:11">
      <c r="A19" t="s">
        <v>20</v>
      </c>
      <c r="B19" t="s">
        <v>16</v>
      </c>
      <c r="C19">
        <f>27+29</f>
        <v>56</v>
      </c>
      <c r="D19">
        <f>27+29</f>
        <v>56</v>
      </c>
      <c r="E19">
        <f>27+29</f>
        <v>56</v>
      </c>
      <c r="F19">
        <f>27+29</f>
        <v>56</v>
      </c>
      <c r="G19">
        <f>27+29</f>
        <v>56</v>
      </c>
      <c r="H19">
        <f>27+29</f>
        <v>56</v>
      </c>
      <c r="I19">
        <f>27+29</f>
        <v>56</v>
      </c>
      <c r="J19" t="s">
        <v>20</v>
      </c>
      <c r="K19" t="s">
        <v>16</v>
      </c>
    </row>
    <row r="20" spans="1:11">
      <c r="A20" t="s">
        <v>21</v>
      </c>
      <c r="B20" t="s">
        <v>17</v>
      </c>
      <c r="C20">
        <f>35+37</f>
        <v>72</v>
      </c>
      <c r="D20">
        <f>35+38</f>
        <v>73</v>
      </c>
      <c r="E20">
        <f>36+37</f>
        <v>73</v>
      </c>
      <c r="F20">
        <f>35+37</f>
        <v>72</v>
      </c>
      <c r="G20">
        <f>36+37</f>
        <v>73</v>
      </c>
      <c r="H20">
        <f>35+37</f>
        <v>72</v>
      </c>
      <c r="I20">
        <f>35+38</f>
        <v>73</v>
      </c>
      <c r="J20" t="s">
        <v>21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  <c r="C26">
        <v>2.9497</v>
      </c>
      <c r="D26">
        <v>2.3772000000000002</v>
      </c>
      <c r="E26">
        <v>2.7176999999999998</v>
      </c>
      <c r="F26">
        <v>4.2637999999999998</v>
      </c>
      <c r="G26">
        <v>3.8919000000000001</v>
      </c>
      <c r="H26">
        <v>4.8212000000000002</v>
      </c>
      <c r="I26">
        <v>4.8390000000000004</v>
      </c>
    </row>
    <row r="27" spans="1:11">
      <c r="B27" s="2" t="s">
        <v>12</v>
      </c>
      <c r="C27">
        <v>2.7595000000000001</v>
      </c>
      <c r="D27">
        <v>2.5937000000000001</v>
      </c>
      <c r="E27">
        <v>2.9535999999999998</v>
      </c>
      <c r="F27">
        <v>4.3070000000000004</v>
      </c>
      <c r="G27">
        <v>3.9775</v>
      </c>
      <c r="H27">
        <v>4.5735999999999999</v>
      </c>
      <c r="I27">
        <v>4.6589</v>
      </c>
    </row>
    <row r="28" spans="1:11">
      <c r="B28" t="s">
        <v>2</v>
      </c>
      <c r="C28">
        <v>2.8071999999999999</v>
      </c>
      <c r="D28">
        <v>2.5348999999999999</v>
      </c>
      <c r="E28">
        <v>2.8885999999999998</v>
      </c>
      <c r="F28">
        <v>4.2956000000000003</v>
      </c>
      <c r="G28">
        <v>2.9544999999999999</v>
      </c>
      <c r="H28">
        <v>4.6363000000000003</v>
      </c>
      <c r="I28">
        <v>4.7054</v>
      </c>
    </row>
    <row r="29" spans="1:11">
      <c r="B29" s="2" t="s">
        <v>11</v>
      </c>
      <c r="C29">
        <v>4.8620999999999999</v>
      </c>
      <c r="D29">
        <v>3.4182999999999999</v>
      </c>
      <c r="E29">
        <v>4.1161000000000003</v>
      </c>
      <c r="F29">
        <v>4.46</v>
      </c>
      <c r="G29">
        <v>4.0381999999999998</v>
      </c>
      <c r="H29">
        <v>4.7541000000000002</v>
      </c>
      <c r="I29">
        <v>4.7544000000000004</v>
      </c>
    </row>
    <row r="30" spans="1:11">
      <c r="B30" s="2" t="s">
        <v>12</v>
      </c>
      <c r="C30">
        <v>4.0102000000000002</v>
      </c>
      <c r="D30">
        <v>2.3874</v>
      </c>
      <c r="E30">
        <v>2.5981999999999998</v>
      </c>
      <c r="F30">
        <v>3.7145000000000001</v>
      </c>
      <c r="G30">
        <v>3.7967</v>
      </c>
      <c r="H30">
        <v>4.3712</v>
      </c>
      <c r="I30">
        <v>4.6632999999999996</v>
      </c>
    </row>
    <row r="31" spans="1:11">
      <c r="B31" t="s">
        <v>3</v>
      </c>
      <c r="C31">
        <v>4.1806999999999999</v>
      </c>
      <c r="D31">
        <v>2.5752000000000002</v>
      </c>
      <c r="E31">
        <v>2.8422999999999998</v>
      </c>
      <c r="F31">
        <v>3.8624000000000001</v>
      </c>
      <c r="G31">
        <v>3.8504999999999998</v>
      </c>
      <c r="H31">
        <v>4.4528999999999996</v>
      </c>
      <c r="I31">
        <v>4.6839000000000004</v>
      </c>
    </row>
    <row r="32" spans="1:11">
      <c r="B32" s="2" t="s">
        <v>11</v>
      </c>
      <c r="C32">
        <v>3.0541999999999998</v>
      </c>
      <c r="D32">
        <v>6.0945999999999998</v>
      </c>
      <c r="E32">
        <v>5.5982000000000003</v>
      </c>
      <c r="F32">
        <v>4.7896000000000001</v>
      </c>
      <c r="G32">
        <v>4.7737999999999996</v>
      </c>
      <c r="H32">
        <v>5.1101999999999999</v>
      </c>
      <c r="I32">
        <v>5.5172999999999996</v>
      </c>
    </row>
    <row r="33" spans="1:9">
      <c r="B33" s="2" t="s">
        <v>12</v>
      </c>
      <c r="C33">
        <v>2.8738999999999999</v>
      </c>
      <c r="D33">
        <v>6.2881</v>
      </c>
      <c r="E33">
        <v>5.7080000000000002</v>
      </c>
      <c r="F33">
        <v>5.9511000000000003</v>
      </c>
      <c r="G33">
        <v>4.7114000000000003</v>
      </c>
      <c r="H33">
        <v>5.4257</v>
      </c>
      <c r="I33">
        <v>5.4798</v>
      </c>
    </row>
    <row r="34" spans="1:9">
      <c r="B34" t="s">
        <v>1</v>
      </c>
      <c r="C34">
        <v>2.9285000000000001</v>
      </c>
      <c r="D34">
        <v>6.2268999999999997</v>
      </c>
      <c r="E34">
        <v>5.6734999999999998</v>
      </c>
      <c r="F34">
        <v>5.5380000000000003</v>
      </c>
      <c r="G34">
        <v>4.7305999999999999</v>
      </c>
      <c r="H34">
        <v>5.3238000000000003</v>
      </c>
      <c r="I34">
        <v>5.4915000000000003</v>
      </c>
    </row>
    <row r="35" spans="1:9">
      <c r="B35" s="2" t="s">
        <v>11</v>
      </c>
      <c r="C35">
        <v>4.9238999999999997</v>
      </c>
      <c r="D35">
        <v>5.1657000000000002</v>
      </c>
      <c r="E35">
        <v>5.5027999999999997</v>
      </c>
      <c r="F35">
        <v>6.2126999999999999</v>
      </c>
      <c r="G35">
        <v>5.8234000000000004</v>
      </c>
      <c r="H35">
        <v>6.5900999999999996</v>
      </c>
      <c r="I35">
        <v>6.7053000000000003</v>
      </c>
    </row>
    <row r="36" spans="1:9">
      <c r="B36" s="2" t="s">
        <v>12</v>
      </c>
      <c r="C36">
        <v>4.7438000000000002</v>
      </c>
      <c r="D36">
        <v>4.8418000000000001</v>
      </c>
      <c r="E36">
        <v>5.0891999999999999</v>
      </c>
      <c r="F36">
        <v>6.4265999999999996</v>
      </c>
      <c r="G36">
        <v>5.9436</v>
      </c>
      <c r="H36">
        <v>6.6315</v>
      </c>
      <c r="I36">
        <v>6.7343999999999999</v>
      </c>
    </row>
    <row r="37" spans="1:9">
      <c r="B37" t="s">
        <v>4</v>
      </c>
      <c r="C37">
        <v>4.7915000000000001</v>
      </c>
      <c r="D37">
        <v>4.9244000000000003</v>
      </c>
      <c r="E37">
        <v>5.1932999999999998</v>
      </c>
      <c r="F37">
        <v>6.3674999999999997</v>
      </c>
      <c r="G37">
        <v>5.9107000000000003</v>
      </c>
      <c r="H37">
        <v>6.6203000000000003</v>
      </c>
      <c r="I37">
        <v>6.7264999999999997</v>
      </c>
    </row>
    <row r="39" spans="1:9">
      <c r="A39" t="s">
        <v>19</v>
      </c>
      <c r="B39" t="s">
        <v>15</v>
      </c>
      <c r="C39">
        <f>37+31</f>
        <v>68</v>
      </c>
      <c r="D39">
        <f>38+27</f>
        <v>65</v>
      </c>
      <c r="E39">
        <f>35+30</f>
        <v>65</v>
      </c>
      <c r="F39">
        <f>34+31</f>
        <v>65</v>
      </c>
      <c r="G39">
        <f>37+31</f>
        <v>68</v>
      </c>
      <c r="H39">
        <f>37+33</f>
        <v>70</v>
      </c>
      <c r="I39">
        <f>37+33</f>
        <v>70</v>
      </c>
    </row>
    <row r="40" spans="1:9">
      <c r="A40" t="s">
        <v>20</v>
      </c>
      <c r="B40" t="s">
        <v>16</v>
      </c>
      <c r="C40">
        <f>35+39</f>
        <v>74</v>
      </c>
      <c r="D40">
        <f>40+37</f>
        <v>77</v>
      </c>
      <c r="E40">
        <f>40+39</f>
        <v>79</v>
      </c>
      <c r="F40">
        <f>40+43</f>
        <v>83</v>
      </c>
      <c r="G40">
        <f>39+43</f>
        <v>82</v>
      </c>
      <c r="H40">
        <f>40+45</f>
        <v>85</v>
      </c>
      <c r="I40">
        <f>38+46</f>
        <v>84</v>
      </c>
    </row>
    <row r="41" spans="1:9">
      <c r="A41" t="s">
        <v>21</v>
      </c>
      <c r="B41" t="s">
        <v>17</v>
      </c>
      <c r="C41">
        <f>33+44</f>
        <v>77</v>
      </c>
      <c r="D41">
        <f>39+44</f>
        <v>83</v>
      </c>
      <c r="E41">
        <f>37+43</f>
        <v>80</v>
      </c>
      <c r="F41">
        <f>40+43</f>
        <v>83</v>
      </c>
      <c r="G41">
        <f>36+43</f>
        <v>79</v>
      </c>
      <c r="H41">
        <f>38+44</f>
        <v>82</v>
      </c>
      <c r="I41">
        <f>36+44</f>
        <v>80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A2:R41"/>
  <sheetViews>
    <sheetView topLeftCell="A19" workbookViewId="0">
      <selection activeCell="I18" sqref="I18:I20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4.6402999999999999</v>
      </c>
      <c r="D5">
        <v>4.3686999999999996</v>
      </c>
      <c r="E5">
        <v>4.9603999999999999</v>
      </c>
      <c r="F5">
        <v>4.8314000000000004</v>
      </c>
      <c r="G5">
        <v>4.6393000000000004</v>
      </c>
      <c r="H5">
        <v>5.7698999999999998</v>
      </c>
      <c r="I5">
        <v>5.3882000000000003</v>
      </c>
      <c r="K5" s="2" t="s">
        <v>11</v>
      </c>
    </row>
    <row r="6" spans="2:18">
      <c r="B6" s="2" t="s">
        <v>12</v>
      </c>
      <c r="C6">
        <v>4.1962000000000002</v>
      </c>
      <c r="D6">
        <v>4.7663000000000002</v>
      </c>
      <c r="E6">
        <v>5.5189000000000004</v>
      </c>
      <c r="F6">
        <v>5.5256999999999996</v>
      </c>
      <c r="G6">
        <v>4.7274000000000003</v>
      </c>
      <c r="H6">
        <v>5.6840999999999999</v>
      </c>
      <c r="I6">
        <v>5.4522000000000004</v>
      </c>
      <c r="K6" s="2" t="s">
        <v>12</v>
      </c>
    </row>
    <row r="7" spans="2:18">
      <c r="B7" t="s">
        <v>2</v>
      </c>
      <c r="C7">
        <v>4.3357999999999999</v>
      </c>
      <c r="D7">
        <v>4.6253000000000002</v>
      </c>
      <c r="E7">
        <v>5.3163999999999998</v>
      </c>
      <c r="F7">
        <v>5.2708000000000004</v>
      </c>
      <c r="G7">
        <v>4.6973000000000003</v>
      </c>
      <c r="H7">
        <v>5.7126999999999999</v>
      </c>
      <c r="I7">
        <v>5.4303999999999997</v>
      </c>
      <c r="K7" t="s">
        <v>2</v>
      </c>
    </row>
    <row r="8" spans="2:18">
      <c r="B8" s="2" t="s">
        <v>11</v>
      </c>
      <c r="C8">
        <v>5.1215999999999999</v>
      </c>
      <c r="D8">
        <v>3.5836000000000001</v>
      </c>
      <c r="E8">
        <v>4.5340999999999996</v>
      </c>
      <c r="F8">
        <v>4.5785</v>
      </c>
      <c r="G8">
        <v>3.9039000000000001</v>
      </c>
      <c r="H8">
        <v>5.3990999999999998</v>
      </c>
      <c r="I8">
        <v>5.4877000000000002</v>
      </c>
      <c r="K8" s="2" t="s">
        <v>11</v>
      </c>
    </row>
    <row r="9" spans="2:18">
      <c r="B9" s="2" t="s">
        <v>12</v>
      </c>
      <c r="C9">
        <v>4.9271000000000003</v>
      </c>
      <c r="D9">
        <v>3.6797</v>
      </c>
      <c r="E9">
        <v>4.4466999999999999</v>
      </c>
      <c r="F9">
        <v>4.5629</v>
      </c>
      <c r="G9">
        <v>4.4077000000000002</v>
      </c>
      <c r="H9">
        <v>5.0871000000000004</v>
      </c>
      <c r="I9">
        <v>5.0837000000000003</v>
      </c>
      <c r="K9" s="2" t="s">
        <v>12</v>
      </c>
    </row>
    <row r="10" spans="2:18">
      <c r="B10" t="s">
        <v>3</v>
      </c>
      <c r="C10">
        <v>4.9747000000000003</v>
      </c>
      <c r="D10">
        <v>3.6554000000000002</v>
      </c>
      <c r="E10">
        <v>4.4683999999999999</v>
      </c>
      <c r="F10">
        <v>4.5667999999999997</v>
      </c>
      <c r="G10">
        <v>4.2675999999999998</v>
      </c>
      <c r="H10">
        <v>5.1626000000000003</v>
      </c>
      <c r="I10">
        <v>5.1801000000000004</v>
      </c>
      <c r="K10" t="s">
        <v>3</v>
      </c>
    </row>
    <row r="11" spans="2:18">
      <c r="B11" s="2" t="s">
        <v>11</v>
      </c>
      <c r="C11">
        <v>5.7018000000000004</v>
      </c>
      <c r="D11">
        <v>5.8502000000000001</v>
      </c>
      <c r="E11">
        <v>7.0991999999999997</v>
      </c>
      <c r="F11">
        <v>6.8350999999999997</v>
      </c>
      <c r="G11">
        <v>6.1037999999999997</v>
      </c>
      <c r="H11">
        <v>7.2203999999999997</v>
      </c>
      <c r="I11">
        <v>7.0400999999999998</v>
      </c>
      <c r="K11" s="2" t="s">
        <v>11</v>
      </c>
    </row>
    <row r="12" spans="2:18">
      <c r="B12" s="2" t="s">
        <v>12</v>
      </c>
      <c r="C12">
        <v>3.4220000000000002</v>
      </c>
      <c r="D12">
        <v>7.3771000000000004</v>
      </c>
      <c r="E12">
        <v>7.3144</v>
      </c>
      <c r="F12">
        <v>7.1258999999999997</v>
      </c>
      <c r="G12">
        <v>5.3895999999999997</v>
      </c>
      <c r="H12">
        <v>6.3723000000000001</v>
      </c>
      <c r="I12">
        <v>6.8867000000000003</v>
      </c>
      <c r="K12" s="2" t="s">
        <v>12</v>
      </c>
    </row>
    <row r="13" spans="2:18">
      <c r="B13" t="s">
        <v>1</v>
      </c>
      <c r="C13">
        <v>3.8628999999999998</v>
      </c>
      <c r="D13">
        <v>6.8708999999999998</v>
      </c>
      <c r="E13">
        <v>7.2522000000000002</v>
      </c>
      <c r="F13">
        <v>7.0410000000000004</v>
      </c>
      <c r="G13">
        <v>5.5744999999999996</v>
      </c>
      <c r="H13">
        <v>6.5915999999999997</v>
      </c>
      <c r="I13">
        <v>6.9295</v>
      </c>
      <c r="K13" t="s">
        <v>1</v>
      </c>
    </row>
    <row r="14" spans="2:18">
      <c r="B14" s="2" t="s">
        <v>11</v>
      </c>
      <c r="C14">
        <v>6.7683</v>
      </c>
      <c r="D14">
        <v>6.2165999999999997</v>
      </c>
      <c r="E14">
        <v>6.9875999999999996</v>
      </c>
      <c r="F14">
        <v>6.8822999999999999</v>
      </c>
      <c r="G14">
        <v>6.3281000000000001</v>
      </c>
      <c r="H14">
        <v>7.6014999999999997</v>
      </c>
      <c r="I14">
        <v>7.4207999999999998</v>
      </c>
      <c r="K14" s="2" t="s">
        <v>11</v>
      </c>
    </row>
    <row r="15" spans="2:18">
      <c r="B15" s="2" t="s">
        <v>12</v>
      </c>
      <c r="C15">
        <v>5.9814999999999996</v>
      </c>
      <c r="D15">
        <v>6.8544999999999998</v>
      </c>
      <c r="E15">
        <v>7.4715999999999996</v>
      </c>
      <c r="F15">
        <v>7.5808999999999997</v>
      </c>
      <c r="G15">
        <v>6.6790000000000003</v>
      </c>
      <c r="H15">
        <v>7.5488</v>
      </c>
      <c r="I15">
        <v>7.6268000000000002</v>
      </c>
      <c r="K15" s="2" t="s">
        <v>12</v>
      </c>
    </row>
    <row r="16" spans="2:18">
      <c r="B16" t="s">
        <v>4</v>
      </c>
      <c r="C16">
        <v>6.1912000000000003</v>
      </c>
      <c r="D16">
        <v>6.6593</v>
      </c>
      <c r="E16">
        <v>7.3258000000000001</v>
      </c>
      <c r="F16">
        <v>7.3680000000000003</v>
      </c>
      <c r="G16">
        <v>6.5742000000000003</v>
      </c>
      <c r="H16">
        <v>7.5637999999999996</v>
      </c>
      <c r="I16">
        <v>7.5667</v>
      </c>
      <c r="K16" t="s">
        <v>4</v>
      </c>
    </row>
    <row r="18" spans="1:11">
      <c r="A18" t="s">
        <v>19</v>
      </c>
      <c r="B18" t="s">
        <v>15</v>
      </c>
      <c r="C18">
        <f>30+33</f>
        <v>63</v>
      </c>
      <c r="D18">
        <f>31+29</f>
        <v>60</v>
      </c>
      <c r="E18">
        <f>31+32</f>
        <v>63</v>
      </c>
      <c r="F18">
        <f>31+31</f>
        <v>62</v>
      </c>
      <c r="G18">
        <f>31+32</f>
        <v>63</v>
      </c>
      <c r="H18">
        <f>31+32</f>
        <v>63</v>
      </c>
      <c r="I18">
        <f>31+32</f>
        <v>63</v>
      </c>
      <c r="K18" t="s">
        <v>15</v>
      </c>
    </row>
    <row r="19" spans="1:11">
      <c r="A19" t="s">
        <v>20</v>
      </c>
      <c r="B19" t="s">
        <v>16</v>
      </c>
      <c r="C19">
        <f>26+30</f>
        <v>56</v>
      </c>
      <c r="D19">
        <f>26+29</f>
        <v>55</v>
      </c>
      <c r="E19">
        <f>26+30</f>
        <v>56</v>
      </c>
      <c r="F19">
        <f>26+29</f>
        <v>55</v>
      </c>
      <c r="G19">
        <f>26+30</f>
        <v>56</v>
      </c>
      <c r="H19">
        <f>26+30</f>
        <v>56</v>
      </c>
      <c r="I19">
        <f>26+30</f>
        <v>56</v>
      </c>
      <c r="K19" t="s">
        <v>16</v>
      </c>
    </row>
    <row r="20" spans="1:11">
      <c r="A20" t="s">
        <v>21</v>
      </c>
      <c r="B20" t="s">
        <v>17</v>
      </c>
      <c r="C20">
        <f>38+29</f>
        <v>67</v>
      </c>
      <c r="D20">
        <f>38+33</f>
        <v>71</v>
      </c>
      <c r="E20">
        <f>38+33</f>
        <v>71</v>
      </c>
      <c r="F20">
        <f>38+33</f>
        <v>71</v>
      </c>
      <c r="G20">
        <f>38+33</f>
        <v>71</v>
      </c>
      <c r="H20">
        <f>38+33</f>
        <v>71</v>
      </c>
      <c r="I20">
        <f>38+33</f>
        <v>71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</row>
    <row r="27" spans="1:11">
      <c r="B27" s="2" t="s">
        <v>12</v>
      </c>
    </row>
    <row r="28" spans="1:11">
      <c r="B28" t="s">
        <v>2</v>
      </c>
    </row>
    <row r="29" spans="1:11">
      <c r="B29" s="2" t="s">
        <v>11</v>
      </c>
    </row>
    <row r="30" spans="1:11">
      <c r="B30" s="2" t="s">
        <v>12</v>
      </c>
    </row>
    <row r="31" spans="1:11">
      <c r="B31" t="s">
        <v>3</v>
      </c>
    </row>
    <row r="32" spans="1:11">
      <c r="B32" s="2" t="s">
        <v>11</v>
      </c>
    </row>
    <row r="33" spans="2:2">
      <c r="B33" s="2" t="s">
        <v>12</v>
      </c>
    </row>
    <row r="34" spans="2:2">
      <c r="B34" t="s">
        <v>1</v>
      </c>
    </row>
    <row r="35" spans="2:2">
      <c r="B35" s="2" t="s">
        <v>11</v>
      </c>
    </row>
    <row r="36" spans="2:2">
      <c r="B36" s="2" t="s">
        <v>12</v>
      </c>
    </row>
    <row r="37" spans="2:2">
      <c r="B37" t="s">
        <v>4</v>
      </c>
    </row>
    <row r="39" spans="2:2">
      <c r="B39" t="s">
        <v>15</v>
      </c>
    </row>
    <row r="40" spans="2:2">
      <c r="B40" t="s">
        <v>16</v>
      </c>
    </row>
    <row r="41" spans="2:2">
      <c r="B41" t="s">
        <v>17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A2:R41"/>
  <sheetViews>
    <sheetView topLeftCell="A20" workbookViewId="0">
      <selection activeCell="C39" sqref="C39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v>4.7336999999999998</v>
      </c>
      <c r="D5">
        <v>4.7122999999999999</v>
      </c>
      <c r="E5">
        <v>4.8815</v>
      </c>
      <c r="F5">
        <v>5.0641999999999996</v>
      </c>
      <c r="G5">
        <v>5.4565000000000001</v>
      </c>
      <c r="H5">
        <v>5.4496000000000002</v>
      </c>
      <c r="I5">
        <v>5.3190999999999997</v>
      </c>
      <c r="K5" s="2" t="s">
        <v>11</v>
      </c>
    </row>
    <row r="6" spans="2:18">
      <c r="B6" s="2" t="s">
        <v>12</v>
      </c>
      <c r="C6">
        <v>4.5694999999999997</v>
      </c>
      <c r="D6">
        <v>4.4886999999999997</v>
      </c>
      <c r="E6">
        <v>4.3994</v>
      </c>
      <c r="F6">
        <v>4.8391999999999999</v>
      </c>
      <c r="G6">
        <v>4.7679999999999998</v>
      </c>
      <c r="H6">
        <v>4.7568000000000001</v>
      </c>
      <c r="I6">
        <v>4.72</v>
      </c>
      <c r="K6" s="2" t="s">
        <v>12</v>
      </c>
    </row>
    <row r="7" spans="2:18">
      <c r="B7" t="s">
        <v>2</v>
      </c>
      <c r="C7">
        <v>4.5986000000000002</v>
      </c>
      <c r="D7">
        <v>4.5277000000000003</v>
      </c>
      <c r="E7">
        <v>4.4797000000000002</v>
      </c>
      <c r="F7">
        <v>4.8785999999999996</v>
      </c>
      <c r="G7">
        <v>4.8795000000000002</v>
      </c>
      <c r="H7">
        <v>4.8689</v>
      </c>
      <c r="I7">
        <v>4.8188000000000004</v>
      </c>
      <c r="K7" t="s">
        <v>2</v>
      </c>
    </row>
    <row r="8" spans="2:18">
      <c r="B8" s="2" t="s">
        <v>11</v>
      </c>
      <c r="C8">
        <v>4.9790000000000001</v>
      </c>
      <c r="D8">
        <v>4.4535999999999998</v>
      </c>
      <c r="E8">
        <v>4.3338999999999999</v>
      </c>
      <c r="F8">
        <v>4.9048999999999996</v>
      </c>
      <c r="G8">
        <v>5.1631999999999998</v>
      </c>
      <c r="H8">
        <v>5.1109999999999998</v>
      </c>
      <c r="I8">
        <v>5.1928000000000001</v>
      </c>
      <c r="K8" s="2" t="s">
        <v>11</v>
      </c>
    </row>
    <row r="9" spans="2:18">
      <c r="B9" s="2" t="s">
        <v>12</v>
      </c>
      <c r="C9">
        <v>5.1233000000000004</v>
      </c>
      <c r="D9">
        <v>4.5252999999999997</v>
      </c>
      <c r="E9">
        <v>4.4440999999999997</v>
      </c>
      <c r="F9">
        <v>4.6228999999999996</v>
      </c>
      <c r="G9">
        <v>4.7249999999999996</v>
      </c>
      <c r="H9">
        <v>4.8132000000000001</v>
      </c>
      <c r="I9">
        <v>4.6707000000000001</v>
      </c>
      <c r="K9" s="2" t="s">
        <v>12</v>
      </c>
    </row>
    <row r="10" spans="2:18">
      <c r="B10" t="s">
        <v>3</v>
      </c>
      <c r="C10">
        <v>5.0926</v>
      </c>
      <c r="D10">
        <v>4.5103</v>
      </c>
      <c r="E10">
        <v>4.4211</v>
      </c>
      <c r="F10">
        <v>4.6783000000000001</v>
      </c>
      <c r="G10">
        <v>4.8098000000000001</v>
      </c>
      <c r="H10">
        <v>4.8719999999999999</v>
      </c>
      <c r="I10">
        <v>4.7699999999999996</v>
      </c>
      <c r="K10" t="s">
        <v>3</v>
      </c>
    </row>
    <row r="11" spans="2:18">
      <c r="B11" s="2" t="s">
        <v>11</v>
      </c>
      <c r="C11">
        <v>4.4584000000000001</v>
      </c>
      <c r="D11">
        <v>6.8460000000000001</v>
      </c>
      <c r="E11">
        <v>7.2226999999999997</v>
      </c>
      <c r="F11">
        <v>6.5715000000000003</v>
      </c>
      <c r="G11">
        <v>5.0888</v>
      </c>
      <c r="H11">
        <v>5.8502999999999998</v>
      </c>
      <c r="I11">
        <v>5.4611000000000001</v>
      </c>
      <c r="K11" s="2" t="s">
        <v>11</v>
      </c>
    </row>
    <row r="12" spans="2:18">
      <c r="B12" s="2" t="s">
        <v>12</v>
      </c>
      <c r="C12">
        <v>5.0407999999999999</v>
      </c>
      <c r="D12">
        <v>7.7000999999999999</v>
      </c>
      <c r="E12">
        <v>7.6577000000000002</v>
      </c>
      <c r="F12">
        <v>7.1280000000000001</v>
      </c>
      <c r="G12">
        <v>5.8959999999999999</v>
      </c>
      <c r="H12">
        <v>5.9713000000000003</v>
      </c>
      <c r="I12">
        <v>5.96</v>
      </c>
      <c r="K12" s="2" t="s">
        <v>12</v>
      </c>
    </row>
    <row r="13" spans="2:18">
      <c r="B13" t="s">
        <v>1</v>
      </c>
      <c r="C13">
        <v>4.9470999999999998</v>
      </c>
      <c r="D13">
        <v>7.5568</v>
      </c>
      <c r="E13">
        <v>7.5883000000000003</v>
      </c>
      <c r="F13">
        <v>7.0388000000000002</v>
      </c>
      <c r="G13">
        <v>5.7596999999999996</v>
      </c>
      <c r="H13">
        <v>5.9527999999999999</v>
      </c>
      <c r="I13">
        <v>5.8791000000000002</v>
      </c>
      <c r="K13" t="s">
        <v>1</v>
      </c>
    </row>
    <row r="14" spans="2:18">
      <c r="B14" s="2" t="s">
        <v>11</v>
      </c>
      <c r="C14">
        <v>6.0305</v>
      </c>
      <c r="D14">
        <v>6.6494999999999997</v>
      </c>
      <c r="E14">
        <v>6.6508000000000003</v>
      </c>
      <c r="F14">
        <v>6.8624000000000001</v>
      </c>
      <c r="G14">
        <v>6.7141999999999999</v>
      </c>
      <c r="H14">
        <v>6.8348000000000004</v>
      </c>
      <c r="I14">
        <v>6.7679</v>
      </c>
      <c r="K14" s="2" t="s">
        <v>11</v>
      </c>
    </row>
    <row r="15" spans="2:18">
      <c r="B15" s="2" t="s">
        <v>12</v>
      </c>
      <c r="C15">
        <v>6.8402000000000003</v>
      </c>
      <c r="D15">
        <v>7.2553999999999998</v>
      </c>
      <c r="E15">
        <v>7.1795</v>
      </c>
      <c r="F15">
        <v>7.3734000000000002</v>
      </c>
      <c r="G15">
        <v>7.0566000000000004</v>
      </c>
      <c r="H15">
        <v>7.1529999999999996</v>
      </c>
      <c r="I15">
        <v>7.0928000000000004</v>
      </c>
      <c r="K15" s="2" t="s">
        <v>12</v>
      </c>
    </row>
    <row r="16" spans="2:18">
      <c r="B16" t="s">
        <v>4</v>
      </c>
      <c r="C16">
        <v>6.69</v>
      </c>
      <c r="D16">
        <v>7.1417000000000002</v>
      </c>
      <c r="E16">
        <v>7.0811999999999999</v>
      </c>
      <c r="F16">
        <v>7.2803000000000004</v>
      </c>
      <c r="G16">
        <v>6.9958</v>
      </c>
      <c r="H16">
        <v>7.0961999999999996</v>
      </c>
      <c r="I16">
        <v>7.0350000000000001</v>
      </c>
      <c r="K16" t="s">
        <v>4</v>
      </c>
    </row>
    <row r="18" spans="1:11">
      <c r="A18" t="s">
        <v>19</v>
      </c>
      <c r="B18" t="s">
        <v>15</v>
      </c>
      <c r="C18">
        <f>31+33</f>
        <v>64</v>
      </c>
      <c r="D18">
        <f>31+31</f>
        <v>62</v>
      </c>
      <c r="E18">
        <f>30+32</f>
        <v>62</v>
      </c>
      <c r="F18">
        <f>30+32</f>
        <v>62</v>
      </c>
      <c r="G18">
        <f>31+33</f>
        <v>64</v>
      </c>
      <c r="H18">
        <f>31+32</f>
        <v>63</v>
      </c>
      <c r="I18">
        <f>31+33</f>
        <v>64</v>
      </c>
      <c r="K18" t="s">
        <v>15</v>
      </c>
    </row>
    <row r="19" spans="1:11">
      <c r="A19" t="s">
        <v>20</v>
      </c>
      <c r="B19" t="s">
        <v>16</v>
      </c>
      <c r="C19">
        <f>28+30</f>
        <v>58</v>
      </c>
      <c r="D19">
        <f>29+29</f>
        <v>58</v>
      </c>
      <c r="E19">
        <f>29+30</f>
        <v>59</v>
      </c>
      <c r="F19">
        <f>29+30</f>
        <v>59</v>
      </c>
      <c r="G19">
        <f>29+30</f>
        <v>59</v>
      </c>
      <c r="H19">
        <f>29+30</f>
        <v>59</v>
      </c>
      <c r="I19">
        <f>29+30</f>
        <v>59</v>
      </c>
      <c r="K19" t="s">
        <v>16</v>
      </c>
    </row>
    <row r="20" spans="1:11">
      <c r="A20" t="s">
        <v>21</v>
      </c>
      <c r="B20" t="s">
        <v>17</v>
      </c>
      <c r="C20">
        <f>31+32</f>
        <v>63</v>
      </c>
      <c r="D20">
        <f>34+31</f>
        <v>65</v>
      </c>
      <c r="E20">
        <f>34+31</f>
        <v>65</v>
      </c>
      <c r="F20">
        <f>33+31</f>
        <v>64</v>
      </c>
      <c r="G20">
        <f>33+32</f>
        <v>65</v>
      </c>
      <c r="H20">
        <f>34+32</f>
        <v>66</v>
      </c>
      <c r="I20">
        <f>33+31</f>
        <v>64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  <c r="C26">
        <v>2.5</v>
      </c>
      <c r="D26">
        <v>3.1402000000000001</v>
      </c>
      <c r="E26">
        <v>4.8552999999999997</v>
      </c>
      <c r="F26">
        <v>4.5770999999999997</v>
      </c>
      <c r="G26">
        <v>3.6088</v>
      </c>
      <c r="H26">
        <v>4.3837999999999999</v>
      </c>
      <c r="I26">
        <v>5.1864999999999997</v>
      </c>
    </row>
    <row r="27" spans="1:11">
      <c r="B27" s="2" t="s">
        <v>12</v>
      </c>
      <c r="C27">
        <v>2.4123000000000001</v>
      </c>
      <c r="D27">
        <v>2.9946999999999999</v>
      </c>
      <c r="E27">
        <v>4.4969000000000001</v>
      </c>
      <c r="F27">
        <v>3.8673999999999999</v>
      </c>
      <c r="G27">
        <v>3.3875000000000002</v>
      </c>
      <c r="H27">
        <v>4.2973999999999997</v>
      </c>
      <c r="I27">
        <v>4.7445000000000004</v>
      </c>
    </row>
    <row r="28" spans="1:11">
      <c r="B28" t="s">
        <v>2</v>
      </c>
      <c r="C28">
        <v>2.4392</v>
      </c>
      <c r="D28">
        <v>3.04</v>
      </c>
      <c r="E28">
        <v>4.6025</v>
      </c>
      <c r="F28">
        <v>4.0651999999999999</v>
      </c>
      <c r="G28">
        <v>3.4533</v>
      </c>
      <c r="H28">
        <v>4.3239000000000001</v>
      </c>
      <c r="I28">
        <v>4.8731999999999998</v>
      </c>
    </row>
    <row r="29" spans="1:11">
      <c r="B29" s="2" t="s">
        <v>11</v>
      </c>
      <c r="C29">
        <v>4.5526</v>
      </c>
      <c r="D29">
        <v>2.4834000000000001</v>
      </c>
      <c r="E29">
        <v>3.1402999999999999</v>
      </c>
      <c r="F29">
        <v>3.9363999999999999</v>
      </c>
      <c r="G29">
        <v>3.4853000000000001</v>
      </c>
      <c r="H29">
        <v>4.3860999999999999</v>
      </c>
      <c r="I29">
        <v>4.6298000000000004</v>
      </c>
    </row>
    <row r="30" spans="1:11">
      <c r="B30" s="2" t="s">
        <v>12</v>
      </c>
      <c r="C30">
        <v>3.9710000000000001</v>
      </c>
      <c r="D30">
        <v>2.3494999999999999</v>
      </c>
      <c r="E30">
        <v>2.9742999999999999</v>
      </c>
      <c r="F30">
        <v>3.2764000000000002</v>
      </c>
      <c r="G30">
        <v>3.2923</v>
      </c>
      <c r="H30">
        <v>4.4420999999999999</v>
      </c>
      <c r="I30">
        <v>4.6477000000000004</v>
      </c>
    </row>
    <row r="31" spans="1:11">
      <c r="B31" t="s">
        <v>3</v>
      </c>
      <c r="C31">
        <v>4.1783000000000001</v>
      </c>
      <c r="D31">
        <v>2.3999000000000001</v>
      </c>
      <c r="E31">
        <v>3.0365000000000002</v>
      </c>
      <c r="F31">
        <v>3.5044</v>
      </c>
      <c r="G31">
        <v>3.3641999999999999</v>
      </c>
      <c r="H31">
        <v>4.4203000000000001</v>
      </c>
      <c r="I31">
        <v>4.6407999999999996</v>
      </c>
    </row>
    <row r="32" spans="1:11">
      <c r="B32" s="2" t="s">
        <v>11</v>
      </c>
      <c r="C32">
        <v>3.0977000000000001</v>
      </c>
      <c r="D32">
        <v>4.3403</v>
      </c>
      <c r="E32">
        <v>3.3788999999999998</v>
      </c>
      <c r="F32">
        <v>4.7061999999999999</v>
      </c>
      <c r="G32">
        <v>3.5840999999999998</v>
      </c>
      <c r="H32">
        <v>4.8658999999999999</v>
      </c>
      <c r="I32">
        <v>5.1009000000000002</v>
      </c>
    </row>
    <row r="33" spans="1:9">
      <c r="B33" s="2" t="s">
        <v>12</v>
      </c>
      <c r="C33">
        <v>2.4339</v>
      </c>
      <c r="D33">
        <v>4.0423999999999998</v>
      </c>
      <c r="E33">
        <v>3.7928000000000002</v>
      </c>
      <c r="F33">
        <v>4.0538999999999996</v>
      </c>
      <c r="G33">
        <v>3.7469000000000001</v>
      </c>
      <c r="H33">
        <v>4.9062000000000001</v>
      </c>
      <c r="I33">
        <v>5.2194000000000003</v>
      </c>
    </row>
    <row r="34" spans="1:9">
      <c r="B34" t="s">
        <v>1</v>
      </c>
      <c r="C34">
        <v>2.5124</v>
      </c>
      <c r="D34">
        <v>4.0815000000000001</v>
      </c>
      <c r="E34">
        <v>3.7336999999999998</v>
      </c>
      <c r="F34">
        <v>4.1337999999999999</v>
      </c>
      <c r="G34">
        <v>3.7231000000000001</v>
      </c>
      <c r="H34">
        <v>4.9005999999999998</v>
      </c>
      <c r="I34">
        <v>5.2026000000000003</v>
      </c>
    </row>
    <row r="35" spans="1:9">
      <c r="B35" s="2" t="s">
        <v>11</v>
      </c>
      <c r="C35">
        <v>4.7892000000000001</v>
      </c>
      <c r="D35">
        <v>4.5084</v>
      </c>
      <c r="E35">
        <v>5.3468999999999998</v>
      </c>
      <c r="F35">
        <v>5.9884000000000004</v>
      </c>
      <c r="G35">
        <v>5.1718000000000002</v>
      </c>
      <c r="H35">
        <v>6.109</v>
      </c>
      <c r="I35">
        <v>6.5717999999999996</v>
      </c>
    </row>
    <row r="36" spans="1:9">
      <c r="B36" s="2" t="s">
        <v>12</v>
      </c>
      <c r="C36">
        <v>4.3857999999999997</v>
      </c>
      <c r="D36">
        <v>4.8122999999999996</v>
      </c>
      <c r="E36">
        <v>5.6039000000000003</v>
      </c>
      <c r="F36">
        <v>5.6219999999999999</v>
      </c>
      <c r="G36">
        <v>5.2298</v>
      </c>
      <c r="H36">
        <v>6.4859999999999998</v>
      </c>
      <c r="I36">
        <v>6.8327</v>
      </c>
    </row>
    <row r="37" spans="1:9">
      <c r="B37" t="s">
        <v>4</v>
      </c>
      <c r="C37">
        <v>4.4950000000000001</v>
      </c>
      <c r="D37">
        <v>4.7210999999999999</v>
      </c>
      <c r="E37">
        <v>5.5308999999999999</v>
      </c>
      <c r="F37">
        <v>5.7222</v>
      </c>
      <c r="G37">
        <v>5.2131999999999996</v>
      </c>
      <c r="H37">
        <v>6.3747999999999996</v>
      </c>
      <c r="I37">
        <v>6.7571000000000003</v>
      </c>
    </row>
    <row r="39" spans="1:9">
      <c r="A39" t="s">
        <v>19</v>
      </c>
      <c r="B39" t="s">
        <v>15</v>
      </c>
      <c r="C39">
        <f>39+35</f>
        <v>74</v>
      </c>
      <c r="D39">
        <f>39+28</f>
        <v>67</v>
      </c>
      <c r="E39">
        <f>37+32</f>
        <v>69</v>
      </c>
      <c r="F39">
        <f>39+31</f>
        <v>70</v>
      </c>
      <c r="G39">
        <f>39+32</f>
        <v>71</v>
      </c>
      <c r="H39">
        <f>39+34</f>
        <v>73</v>
      </c>
      <c r="I39">
        <f>39+33</f>
        <v>72</v>
      </c>
    </row>
    <row r="40" spans="1:9">
      <c r="A40" t="s">
        <v>20</v>
      </c>
      <c r="B40" t="s">
        <v>16</v>
      </c>
      <c r="C40">
        <f>39+45</f>
        <v>84</v>
      </c>
      <c r="D40">
        <f>48+37</f>
        <v>85</v>
      </c>
      <c r="E40">
        <f>48+45</f>
        <v>93</v>
      </c>
      <c r="F40">
        <f>48+40</f>
        <v>88</v>
      </c>
      <c r="G40">
        <f>47+44</f>
        <v>91</v>
      </c>
      <c r="H40">
        <f>48+45</f>
        <v>93</v>
      </c>
      <c r="I40">
        <f>48+45</f>
        <v>93</v>
      </c>
    </row>
    <row r="41" spans="1:9">
      <c r="A41" t="s">
        <v>21</v>
      </c>
      <c r="B41" t="s">
        <v>17</v>
      </c>
      <c r="C41">
        <f>24+41</f>
        <v>65</v>
      </c>
      <c r="D41">
        <f>32+41</f>
        <v>73</v>
      </c>
      <c r="E41">
        <f>33+35</f>
        <v>68</v>
      </c>
      <c r="F41">
        <f>32+41</f>
        <v>73</v>
      </c>
      <c r="G41">
        <f>28+41</f>
        <v>69</v>
      </c>
      <c r="H41">
        <f>31+41</f>
        <v>72</v>
      </c>
      <c r="I41">
        <f>31+41</f>
        <v>72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CEF0-DE77-7B48-862A-C352B483FDAF}">
  <dimension ref="A2:R41"/>
  <sheetViews>
    <sheetView topLeftCell="A23" workbookViewId="0">
      <selection activeCell="I39" sqref="I39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K5" s="2" t="s">
        <v>11</v>
      </c>
    </row>
    <row r="6" spans="2:18">
      <c r="B6" s="2" t="s">
        <v>12</v>
      </c>
      <c r="K6" s="2" t="s">
        <v>12</v>
      </c>
    </row>
    <row r="7" spans="2:18">
      <c r="B7" t="s">
        <v>2</v>
      </c>
      <c r="K7" t="s">
        <v>2</v>
      </c>
    </row>
    <row r="8" spans="2:18">
      <c r="B8" s="2" t="s">
        <v>11</v>
      </c>
      <c r="K8" s="2" t="s">
        <v>11</v>
      </c>
    </row>
    <row r="9" spans="2:18">
      <c r="B9" s="2" t="s">
        <v>12</v>
      </c>
      <c r="K9" s="2" t="s">
        <v>12</v>
      </c>
    </row>
    <row r="10" spans="2:18">
      <c r="B10" t="s">
        <v>3</v>
      </c>
      <c r="K10" t="s">
        <v>3</v>
      </c>
    </row>
    <row r="11" spans="2:18">
      <c r="B11" s="2" t="s">
        <v>11</v>
      </c>
      <c r="K11" s="2" t="s">
        <v>11</v>
      </c>
    </row>
    <row r="12" spans="2:18">
      <c r="B12" s="2" t="s">
        <v>12</v>
      </c>
      <c r="K12" s="2" t="s">
        <v>12</v>
      </c>
    </row>
    <row r="13" spans="2:18">
      <c r="B13" t="s">
        <v>1</v>
      </c>
      <c r="K13" t="s">
        <v>1</v>
      </c>
    </row>
    <row r="14" spans="2:18">
      <c r="B14" s="2" t="s">
        <v>11</v>
      </c>
      <c r="K14" s="2" t="s">
        <v>11</v>
      </c>
    </row>
    <row r="15" spans="2:18">
      <c r="B15" s="2" t="s">
        <v>12</v>
      </c>
      <c r="K15" s="2" t="s">
        <v>12</v>
      </c>
    </row>
    <row r="16" spans="2:18">
      <c r="B16" t="s">
        <v>4</v>
      </c>
      <c r="K16" t="s">
        <v>4</v>
      </c>
    </row>
    <row r="18" spans="1:11">
      <c r="A18" t="s">
        <v>19</v>
      </c>
      <c r="B18" t="s">
        <v>15</v>
      </c>
      <c r="K18" t="s">
        <v>15</v>
      </c>
    </row>
    <row r="19" spans="1:11">
      <c r="A19" t="s">
        <v>20</v>
      </c>
      <c r="B19" t="s">
        <v>16</v>
      </c>
      <c r="K19" t="s">
        <v>16</v>
      </c>
    </row>
    <row r="20" spans="1:11">
      <c r="A20" t="s">
        <v>21</v>
      </c>
      <c r="B20" t="s">
        <v>17</v>
      </c>
      <c r="K20" t="s">
        <v>17</v>
      </c>
    </row>
    <row r="23" spans="1:11">
      <c r="B23" t="s">
        <v>13</v>
      </c>
    </row>
    <row r="24" spans="1:1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1:1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1:11">
      <c r="B26" s="2" t="s">
        <v>11</v>
      </c>
      <c r="C26">
        <v>2.3382999999999998</v>
      </c>
      <c r="D26">
        <v>4.1496000000000004</v>
      </c>
      <c r="E26">
        <v>4.7718999999999996</v>
      </c>
      <c r="F26">
        <v>3.9832000000000001</v>
      </c>
      <c r="G26">
        <v>3.4270999999999998</v>
      </c>
      <c r="H26">
        <v>3.6939000000000002</v>
      </c>
      <c r="I26">
        <v>3.8628</v>
      </c>
    </row>
    <row r="27" spans="1:11">
      <c r="B27" s="2" t="s">
        <v>12</v>
      </c>
      <c r="C27">
        <v>3.0743</v>
      </c>
      <c r="D27">
        <v>3.1375999999999999</v>
      </c>
      <c r="E27">
        <v>4.7209000000000003</v>
      </c>
      <c r="F27">
        <v>3.6164999999999998</v>
      </c>
      <c r="G27">
        <v>3.6385000000000001</v>
      </c>
      <c r="H27">
        <v>3.7302</v>
      </c>
      <c r="I27">
        <v>4.2358000000000002</v>
      </c>
    </row>
    <row r="28" spans="1:11">
      <c r="B28" t="s">
        <v>2</v>
      </c>
      <c r="C28">
        <v>2.8681000000000001</v>
      </c>
      <c r="D28">
        <v>3.3214999999999999</v>
      </c>
      <c r="E28">
        <v>4.7328000000000001</v>
      </c>
      <c r="F28">
        <v>3.6941999999999999</v>
      </c>
      <c r="G28">
        <v>3.5870000000000002</v>
      </c>
      <c r="H28">
        <v>3.7214999999999998</v>
      </c>
      <c r="I28">
        <v>4.1425999999999998</v>
      </c>
    </row>
    <row r="29" spans="1:11">
      <c r="B29" s="2" t="s">
        <v>11</v>
      </c>
      <c r="C29">
        <v>4.0053000000000001</v>
      </c>
      <c r="D29">
        <v>2.5219999999999998</v>
      </c>
      <c r="E29">
        <v>3.3431999999999999</v>
      </c>
      <c r="F29">
        <v>3.5804</v>
      </c>
      <c r="G29">
        <v>3.4064999999999999</v>
      </c>
      <c r="H29">
        <v>3.7984</v>
      </c>
      <c r="I29">
        <v>4.3029999999999999</v>
      </c>
    </row>
    <row r="30" spans="1:11">
      <c r="B30" s="2" t="s">
        <v>12</v>
      </c>
      <c r="C30">
        <v>3.5779999999999998</v>
      </c>
      <c r="D30">
        <v>2.3439999999999999</v>
      </c>
      <c r="E30">
        <v>3.4944000000000002</v>
      </c>
      <c r="F30">
        <v>3.3163</v>
      </c>
      <c r="G30">
        <v>3.7042999999999999</v>
      </c>
      <c r="H30">
        <v>3.6697000000000002</v>
      </c>
      <c r="I30">
        <v>3.76</v>
      </c>
    </row>
    <row r="31" spans="1:11">
      <c r="B31" t="s">
        <v>3</v>
      </c>
      <c r="C31">
        <v>3.6829999999999998</v>
      </c>
      <c r="D31">
        <v>2.3906999999999998</v>
      </c>
      <c r="E31">
        <v>3.4527000000000001</v>
      </c>
      <c r="F31">
        <v>3.3845000000000001</v>
      </c>
      <c r="G31">
        <v>3.6206</v>
      </c>
      <c r="H31">
        <v>3.7025999999999999</v>
      </c>
      <c r="I31">
        <v>3.8902999999999999</v>
      </c>
    </row>
    <row r="32" spans="1:11">
      <c r="B32" s="2" t="s">
        <v>11</v>
      </c>
      <c r="C32">
        <v>2.2444999999999999</v>
      </c>
      <c r="D32">
        <v>4.2172999999999998</v>
      </c>
      <c r="E32">
        <v>4.4397000000000002</v>
      </c>
      <c r="F32">
        <v>4.7129000000000003</v>
      </c>
      <c r="G32">
        <v>4.0034000000000001</v>
      </c>
      <c r="H32">
        <v>4.0864000000000003</v>
      </c>
      <c r="I32">
        <v>4.7930000000000001</v>
      </c>
    </row>
    <row r="33" spans="1:9">
      <c r="B33" s="2" t="s">
        <v>12</v>
      </c>
      <c r="C33">
        <v>2.4392999999999998</v>
      </c>
      <c r="D33">
        <v>4.7047999999999996</v>
      </c>
      <c r="E33">
        <v>5.5941000000000001</v>
      </c>
      <c r="F33">
        <v>5.3749000000000002</v>
      </c>
      <c r="G33">
        <v>3.8639999999999999</v>
      </c>
      <c r="H33">
        <v>4.1772999999999998</v>
      </c>
      <c r="I33">
        <v>4.6315</v>
      </c>
    </row>
    <row r="34" spans="1:9">
      <c r="B34" t="s">
        <v>1</v>
      </c>
      <c r="C34">
        <v>2.3843000000000001</v>
      </c>
      <c r="D34">
        <v>4.5682</v>
      </c>
      <c r="E34">
        <v>5.2432999999999996</v>
      </c>
      <c r="F34">
        <v>5.1858000000000004</v>
      </c>
      <c r="G34">
        <v>3.8993000000000002</v>
      </c>
      <c r="H34">
        <v>4.1532999999999998</v>
      </c>
      <c r="I34">
        <v>4.6722000000000001</v>
      </c>
    </row>
    <row r="35" spans="1:9">
      <c r="B35" s="2" t="s">
        <v>11</v>
      </c>
      <c r="C35">
        <v>4.2087000000000003</v>
      </c>
      <c r="D35">
        <v>4.9684999999999997</v>
      </c>
      <c r="E35">
        <v>5.7447999999999997</v>
      </c>
      <c r="F35">
        <v>5.7359</v>
      </c>
      <c r="G35">
        <v>5.1641000000000004</v>
      </c>
      <c r="H35">
        <v>5.4580000000000002</v>
      </c>
      <c r="I35">
        <v>5.9744000000000002</v>
      </c>
    </row>
    <row r="36" spans="1:9">
      <c r="B36" s="2" t="s">
        <v>12</v>
      </c>
      <c r="C36">
        <v>4.6353</v>
      </c>
      <c r="D36">
        <v>4.8509000000000002</v>
      </c>
      <c r="E36">
        <v>6.3362999999999996</v>
      </c>
      <c r="F36">
        <v>5.8056999999999999</v>
      </c>
      <c r="G36">
        <v>5.4757999999999996</v>
      </c>
      <c r="H36">
        <v>5.6148999999999996</v>
      </c>
      <c r="I36">
        <v>6.0125000000000002</v>
      </c>
    </row>
    <row r="37" spans="1:9">
      <c r="B37" t="s">
        <v>4</v>
      </c>
      <c r="C37">
        <v>4.5186999999999999</v>
      </c>
      <c r="D37">
        <v>4.8802000000000003</v>
      </c>
      <c r="E37">
        <v>6.1745999999999999</v>
      </c>
      <c r="F37">
        <v>5.7877000000000001</v>
      </c>
      <c r="G37">
        <v>5.3936000000000002</v>
      </c>
      <c r="H37">
        <v>5.5743</v>
      </c>
      <c r="I37">
        <v>6.0029000000000003</v>
      </c>
    </row>
    <row r="39" spans="1:9">
      <c r="A39" t="s">
        <v>19</v>
      </c>
      <c r="B39" t="s">
        <v>15</v>
      </c>
      <c r="C39">
        <f>42+33</f>
        <v>75</v>
      </c>
      <c r="D39">
        <f>40+30</f>
        <v>70</v>
      </c>
      <c r="E39">
        <f>42+34</f>
        <v>76</v>
      </c>
      <c r="F39">
        <f>41+31</f>
        <v>72</v>
      </c>
      <c r="G39">
        <f>42+34</f>
        <v>76</v>
      </c>
      <c r="H39">
        <f>41+36</f>
        <v>77</v>
      </c>
      <c r="I39">
        <f>42+34</f>
        <v>76</v>
      </c>
    </row>
    <row r="40" spans="1:9">
      <c r="A40" t="s">
        <v>20</v>
      </c>
      <c r="B40" t="s">
        <v>16</v>
      </c>
      <c r="C40">
        <f>34+38</f>
        <v>72</v>
      </c>
      <c r="D40">
        <f>42+34</f>
        <v>76</v>
      </c>
      <c r="E40">
        <f>41+38</f>
        <v>79</v>
      </c>
      <c r="F40">
        <f>41+35</f>
        <v>76</v>
      </c>
      <c r="G40">
        <f>39+39</f>
        <v>78</v>
      </c>
      <c r="H40">
        <f>40+40</f>
        <v>80</v>
      </c>
      <c r="I40">
        <f>39+39</f>
        <v>78</v>
      </c>
    </row>
    <row r="41" spans="1:9">
      <c r="A41" t="s">
        <v>21</v>
      </c>
      <c r="B41" t="s">
        <v>17</v>
      </c>
      <c r="C41">
        <f>29+38</f>
        <v>67</v>
      </c>
      <c r="D41">
        <f>38+33</f>
        <v>71</v>
      </c>
      <c r="E41">
        <f>38+38</f>
        <v>76</v>
      </c>
      <c r="F41">
        <f>38+36</f>
        <v>74</v>
      </c>
      <c r="G41">
        <f>34+37</f>
        <v>71</v>
      </c>
      <c r="H41">
        <f>37+36</f>
        <v>73</v>
      </c>
      <c r="I41">
        <f>36+36</f>
        <v>72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V66"/>
  <sheetViews>
    <sheetView tabSelected="1" topLeftCell="I44" zoomScale="88" workbookViewId="0">
      <selection activeCell="V61" sqref="V61"/>
    </sheetView>
  </sheetViews>
  <sheetFormatPr baseColWidth="10" defaultRowHeight="20"/>
  <sheetData>
    <row r="2" spans="2:18">
      <c r="B2" t="s">
        <v>0</v>
      </c>
      <c r="K2" t="s">
        <v>9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10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  <c r="R4" t="s">
        <v>10</v>
      </c>
    </row>
    <row r="5" spans="2:18">
      <c r="B5" s="2" t="s">
        <v>11</v>
      </c>
      <c r="C5">
        <f>ROUND(AVERAGE(seed1!C5,seed2!C5,seed3!C5,seed4!C5,seed5!C5),4)</f>
        <v>4.6966999999999999</v>
      </c>
      <c r="D5">
        <f>ROUND(AVERAGE(seed1!D5,seed2!D5,seed3!D5,seed4!D5,seed5!D5),4)</f>
        <v>4.5202</v>
      </c>
      <c r="E5">
        <f>ROUND(AVERAGE(seed1!E5,seed2!E5,seed3!E5,seed4!E5,seed5!E5),4)</f>
        <v>5.1535000000000002</v>
      </c>
      <c r="F5">
        <f>ROUND(AVERAGE(seed1!F5,seed2!F5,seed3!F5,seed4!F5,seed5!F5),4)</f>
        <v>5.2446999999999999</v>
      </c>
      <c r="G5">
        <f>ROUND(AVERAGE(seed1!G5,seed2!G5,seed3!G5,seed4!G5,seed5!G5),4)</f>
        <v>5.0361000000000002</v>
      </c>
      <c r="H5">
        <f>ROUND(AVERAGE(seed1!H5,seed2!H5,seed3!H5,seed4!H5,seed5!H5),4)</f>
        <v>5.4341999999999997</v>
      </c>
      <c r="I5">
        <f>ROUND(AVERAGE(seed1!I5,seed2!I5,seed3!I5,seed4!I5,seed5!I5),4)</f>
        <v>5.4004000000000003</v>
      </c>
      <c r="K5" s="2" t="s">
        <v>11</v>
      </c>
      <c r="L5" t="e">
        <f>ROUND(AVERAGE(seed1!L5,seed2!L5,seed3!L5,seed4!L5,seed5!L5),4)</f>
        <v>#DIV/0!</v>
      </c>
      <c r="M5" t="e">
        <f>ROUND(AVERAGE(seed1!M5,seed2!M5,seed3!M5,seed4!M5,seed5!M5),4)</f>
        <v>#DIV/0!</v>
      </c>
      <c r="N5" t="e">
        <f>ROUND(AVERAGE(seed1!N5,seed2!N5,seed3!N5,seed4!N5,seed5!N5),4)</f>
        <v>#DIV/0!</v>
      </c>
      <c r="O5" t="e">
        <f>ROUND(AVERAGE(seed1!O5,seed2!O5,seed3!O5,seed4!O5,seed5!O5),4)</f>
        <v>#DIV/0!</v>
      </c>
      <c r="P5" t="e">
        <f>ROUND(AVERAGE(seed1!P5,seed2!P5,seed3!P5,seed4!P5,seed5!P5),4)</f>
        <v>#DIV/0!</v>
      </c>
      <c r="Q5" t="e">
        <f>ROUND(AVERAGE(seed1!Q5,seed2!Q5,seed3!Q5,seed4!Q5,seed5!Q5),4)</f>
        <v>#DIV/0!</v>
      </c>
      <c r="R5" t="e">
        <f>ROUND(AVERAGE(seed1!R5,seed2!R5,seed3!R5,seed4!R5,seed5!R5),4)</f>
        <v>#DIV/0!</v>
      </c>
    </row>
    <row r="6" spans="2:18">
      <c r="B6" s="2" t="s">
        <v>12</v>
      </c>
      <c r="C6">
        <f>ROUND(AVERAGE(seed1!C6,seed2!C6,seed3!C6,seed4!C6,seed5!C6),4)</f>
        <v>4.6026999999999996</v>
      </c>
      <c r="D6">
        <f>ROUND(AVERAGE(seed1!D6,seed2!D6,seed3!D6,seed4!D6,seed5!D6),4)</f>
        <v>4.2069999999999999</v>
      </c>
      <c r="E6">
        <f>ROUND(AVERAGE(seed1!E6,seed2!E6,seed3!E6,seed4!E6,seed5!E6),4)</f>
        <v>5.1039000000000003</v>
      </c>
      <c r="F6">
        <f>ROUND(AVERAGE(seed1!F6,seed2!F6,seed3!F6,seed4!F6,seed5!F6),4)</f>
        <v>5.1616999999999997</v>
      </c>
      <c r="G6">
        <f>ROUND(AVERAGE(seed1!G6,seed2!G6,seed3!G6,seed4!G6,seed5!G6),4)</f>
        <v>4.7641</v>
      </c>
      <c r="H6">
        <f>ROUND(AVERAGE(seed1!H6,seed2!H6,seed3!H6,seed4!H6,seed5!H6),4)</f>
        <v>5.2205000000000004</v>
      </c>
      <c r="I6">
        <f>ROUND(AVERAGE(seed1!I6,seed2!I6,seed3!I6,seed4!I6,seed5!I6),4)</f>
        <v>5.2110000000000003</v>
      </c>
      <c r="K6" s="2" t="s">
        <v>12</v>
      </c>
      <c r="L6" t="e">
        <f>ROUND(AVERAGE(seed1!L6,seed2!L6,seed3!L6,seed4!L6,seed5!L6),4)</f>
        <v>#DIV/0!</v>
      </c>
      <c r="M6" t="e">
        <f>ROUND(AVERAGE(seed1!M6,seed2!M6,seed3!M6,seed4!M6,seed5!M6),4)</f>
        <v>#DIV/0!</v>
      </c>
      <c r="N6" t="e">
        <f>ROUND(AVERAGE(seed1!N6,seed2!N6,seed3!N6,seed4!N6,seed5!N6),4)</f>
        <v>#DIV/0!</v>
      </c>
      <c r="O6" t="e">
        <f>ROUND(AVERAGE(seed1!O6,seed2!O6,seed3!O6,seed4!O6,seed5!O6),4)</f>
        <v>#DIV/0!</v>
      </c>
      <c r="P6" t="e">
        <f>ROUND(AVERAGE(seed1!P6,seed2!P6,seed3!P6,seed4!P6,seed5!P6),4)</f>
        <v>#DIV/0!</v>
      </c>
      <c r="Q6" t="e">
        <f>ROUND(AVERAGE(seed1!Q6,seed2!Q6,seed3!Q6,seed4!Q6,seed5!Q6),4)</f>
        <v>#DIV/0!</v>
      </c>
      <c r="R6" t="e">
        <f>ROUND(AVERAGE(seed1!R6,seed2!R6,seed3!R6,seed4!R6,seed5!R6),4)</f>
        <v>#DIV/0!</v>
      </c>
    </row>
    <row r="7" spans="2:18">
      <c r="B7" t="s">
        <v>2</v>
      </c>
      <c r="C7">
        <f>ROUND(AVERAGE(seed1!C7,seed2!C7,seed3!C7,seed4!C7,seed5!C7),4)</f>
        <v>4.6346999999999996</v>
      </c>
      <c r="D7">
        <f>ROUND(AVERAGE(seed1!D7,seed2!D7,seed3!D7,seed4!D7,seed5!D7),4)</f>
        <v>4.2495000000000003</v>
      </c>
      <c r="E7">
        <f>ROUND(AVERAGE(seed1!E7,seed2!E7,seed3!E7,seed4!E7,seed5!E7),4)</f>
        <v>5.093</v>
      </c>
      <c r="F7">
        <f>ROUND(AVERAGE(seed1!F7,seed2!F7,seed3!F7,seed4!F7,seed5!F7),4)</f>
        <v>5.1634000000000002</v>
      </c>
      <c r="G7">
        <f>ROUND(AVERAGE(seed1!G7,seed2!G7,seed3!G7,seed4!G7,seed5!G7),4)</f>
        <v>4.8177000000000003</v>
      </c>
      <c r="H7">
        <f>ROUND(AVERAGE(seed1!H7,seed2!H7,seed3!H7,seed4!H7,seed5!H7),4)</f>
        <v>5.2416999999999998</v>
      </c>
      <c r="I7">
        <f>ROUND(AVERAGE(seed1!I7,seed2!I7,seed3!I7,seed4!I7,seed5!I7),4)</f>
        <v>5.23</v>
      </c>
      <c r="K7" t="s">
        <v>2</v>
      </c>
      <c r="L7" t="e">
        <f>ROUND(AVERAGE(seed1!L7,seed2!L7,seed3!L7,seed4!L7,seed5!L7),4)</f>
        <v>#DIV/0!</v>
      </c>
      <c r="M7" t="e">
        <f>ROUND(AVERAGE(seed1!M7,seed2!M7,seed3!M7,seed4!M7,seed5!M7),4)</f>
        <v>#DIV/0!</v>
      </c>
      <c r="N7" t="e">
        <f>ROUND(AVERAGE(seed1!N7,seed2!N7,seed3!N7,seed4!N7,seed5!N7),4)</f>
        <v>#DIV/0!</v>
      </c>
      <c r="O7" t="e">
        <f>ROUND(AVERAGE(seed1!O7,seed2!O7,seed3!O7,seed4!O7,seed5!O7),4)</f>
        <v>#DIV/0!</v>
      </c>
      <c r="P7" t="e">
        <f>ROUND(AVERAGE(seed1!P7,seed2!P7,seed3!P7,seed4!P7,seed5!P7),4)</f>
        <v>#DIV/0!</v>
      </c>
      <c r="Q7" t="e">
        <f>ROUND(AVERAGE(seed1!Q7,seed2!Q7,seed3!Q7,seed4!Q7,seed5!Q7),4)</f>
        <v>#DIV/0!</v>
      </c>
      <c r="R7" t="e">
        <f>ROUND(AVERAGE(seed1!R7,seed2!R7,seed3!R7,seed4!R7,seed5!R7),4)</f>
        <v>#DIV/0!</v>
      </c>
    </row>
    <row r="8" spans="2:18">
      <c r="B8" s="2" t="s">
        <v>11</v>
      </c>
      <c r="C8">
        <f>ROUND(AVERAGE(seed1!C8,seed2!C8,seed3!C8,seed4!C8,seed5!C8),4)</f>
        <v>5.0872999999999999</v>
      </c>
      <c r="D8">
        <f>ROUND(AVERAGE(seed1!D8,seed2!D8,seed3!D8,seed4!D8,seed5!D8),4)</f>
        <v>3.7900999999999998</v>
      </c>
      <c r="E8">
        <f>ROUND(AVERAGE(seed1!E8,seed2!E8,seed3!E8,seed4!E8,seed5!E8),4)</f>
        <v>4.6513999999999998</v>
      </c>
      <c r="F8">
        <f>ROUND(AVERAGE(seed1!F8,seed2!F8,seed3!F8,seed4!F8,seed5!F8),4)</f>
        <v>4.7144000000000004</v>
      </c>
      <c r="G8">
        <f>ROUND(AVERAGE(seed1!G8,seed2!G8,seed3!G8,seed4!G8,seed5!G8),4)</f>
        <v>4.5125999999999999</v>
      </c>
      <c r="H8">
        <f>ROUND(AVERAGE(seed1!H8,seed2!H8,seed3!H8,seed4!H8,seed5!H8),4)</f>
        <v>5.0972999999999997</v>
      </c>
      <c r="I8">
        <f>ROUND(AVERAGE(seed1!I8,seed2!I8,seed3!I8,seed4!I8,seed5!I8),4)</f>
        <v>5.1433</v>
      </c>
      <c r="K8" s="2" t="s">
        <v>11</v>
      </c>
      <c r="L8" t="e">
        <f>ROUND(AVERAGE(seed1!L8,seed2!L8,seed3!L8,seed4!L8,seed5!L8),4)</f>
        <v>#DIV/0!</v>
      </c>
      <c r="M8" t="e">
        <f>ROUND(AVERAGE(seed1!M8,seed2!M8,seed3!M8,seed4!M8,seed5!M8),4)</f>
        <v>#DIV/0!</v>
      </c>
      <c r="N8" t="e">
        <f>ROUND(AVERAGE(seed1!N8,seed2!N8,seed3!N8,seed4!N8,seed5!N8),4)</f>
        <v>#DIV/0!</v>
      </c>
      <c r="O8" t="e">
        <f>ROUND(AVERAGE(seed1!O8,seed2!O8,seed3!O8,seed4!O8,seed5!O8),4)</f>
        <v>#DIV/0!</v>
      </c>
      <c r="P8" t="e">
        <f>ROUND(AVERAGE(seed1!P8,seed2!P8,seed3!P8,seed4!P8,seed5!P8),4)</f>
        <v>#DIV/0!</v>
      </c>
      <c r="Q8" t="e">
        <f>ROUND(AVERAGE(seed1!Q8,seed2!Q8,seed3!Q8,seed4!Q8,seed5!Q8),4)</f>
        <v>#DIV/0!</v>
      </c>
      <c r="R8" t="e">
        <f>ROUND(AVERAGE(seed1!R8,seed2!R8,seed3!R8,seed4!R8,seed5!R8),4)</f>
        <v>#DIV/0!</v>
      </c>
    </row>
    <row r="9" spans="2:18">
      <c r="B9" s="2" t="s">
        <v>12</v>
      </c>
      <c r="C9">
        <f>ROUND(AVERAGE(seed1!C9,seed2!C9,seed3!C9,seed4!C9,seed5!C9),4)</f>
        <v>5.0948000000000002</v>
      </c>
      <c r="D9">
        <f>ROUND(AVERAGE(seed1!D9,seed2!D9,seed3!D9,seed4!D9,seed5!D9),4)</f>
        <v>3.7883</v>
      </c>
      <c r="E9">
        <f>ROUND(AVERAGE(seed1!E9,seed2!E9,seed3!E9,seed4!E9,seed5!E9),4)</f>
        <v>4.5507999999999997</v>
      </c>
      <c r="F9">
        <f>ROUND(AVERAGE(seed1!F9,seed2!F9,seed3!F9,seed4!F9,seed5!F9),4)</f>
        <v>4.5805999999999996</v>
      </c>
      <c r="G9">
        <f>ROUND(AVERAGE(seed1!G9,seed2!G9,seed3!G9,seed4!G9,seed5!G9),4)</f>
        <v>4.6040000000000001</v>
      </c>
      <c r="H9">
        <f>ROUND(AVERAGE(seed1!H9,seed2!H9,seed3!H9,seed4!H9,seed5!H9),4)</f>
        <v>4.8601000000000001</v>
      </c>
      <c r="I9">
        <f>ROUND(AVERAGE(seed1!I9,seed2!I9,seed3!I9,seed4!I9,seed5!I9),4)</f>
        <v>4.8803000000000001</v>
      </c>
      <c r="K9" s="2" t="s">
        <v>12</v>
      </c>
      <c r="L9" t="e">
        <f>ROUND(AVERAGE(seed1!L9,seed2!L9,seed3!L9,seed4!L9,seed5!L9),4)</f>
        <v>#DIV/0!</v>
      </c>
      <c r="M9" t="e">
        <f>ROUND(AVERAGE(seed1!M9,seed2!M9,seed3!M9,seed4!M9,seed5!M9),4)</f>
        <v>#DIV/0!</v>
      </c>
      <c r="N9" t="e">
        <f>ROUND(AVERAGE(seed1!N9,seed2!N9,seed3!N9,seed4!N9,seed5!N9),4)</f>
        <v>#DIV/0!</v>
      </c>
      <c r="O9" t="e">
        <f>ROUND(AVERAGE(seed1!O9,seed2!O9,seed3!O9,seed4!O9,seed5!O9),4)</f>
        <v>#DIV/0!</v>
      </c>
      <c r="P9" t="e">
        <f>ROUND(AVERAGE(seed1!P9,seed2!P9,seed3!P9,seed4!P9,seed5!P9),4)</f>
        <v>#DIV/0!</v>
      </c>
      <c r="Q9" t="e">
        <f>ROUND(AVERAGE(seed1!Q9,seed2!Q9,seed3!Q9,seed4!Q9,seed5!Q9),4)</f>
        <v>#DIV/0!</v>
      </c>
      <c r="R9" t="e">
        <f>ROUND(AVERAGE(seed1!R9,seed2!R9,seed3!R9,seed4!R9,seed5!R9),4)</f>
        <v>#DIV/0!</v>
      </c>
    </row>
    <row r="10" spans="2:18">
      <c r="B10" t="s">
        <v>3</v>
      </c>
      <c r="C10">
        <f>ROUND(AVERAGE(seed1!C10,seed2!C10,seed3!C10,seed4!C10,seed5!C10),4)</f>
        <v>5.0933000000000002</v>
      </c>
      <c r="D10">
        <f>ROUND(AVERAGE(seed1!D10,seed2!D10,seed3!D10,seed4!D10,seed5!D10),4)</f>
        <v>3.7856999999999998</v>
      </c>
      <c r="E10">
        <f>ROUND(AVERAGE(seed1!E10,seed2!E10,seed3!E10,seed4!E10,seed5!E10),4)</f>
        <v>4.5749000000000004</v>
      </c>
      <c r="F10">
        <f>ROUND(AVERAGE(seed1!F10,seed2!F10,seed3!F10,seed4!F10,seed5!F10),4)</f>
        <v>4.6101000000000001</v>
      </c>
      <c r="G10">
        <f>ROUND(AVERAGE(seed1!G10,seed2!G10,seed3!G10,seed4!G10,seed5!G10),4)</f>
        <v>4.5686999999999998</v>
      </c>
      <c r="H10">
        <f>ROUND(AVERAGE(seed1!H10,seed2!H10,seed3!H10,seed4!H10,seed5!H10),4)</f>
        <v>4.9147999999999996</v>
      </c>
      <c r="I10">
        <f>ROUND(AVERAGE(seed1!I10,seed2!I10,seed3!I10,seed4!I10,seed5!I10),4)</f>
        <v>4.9375999999999998</v>
      </c>
      <c r="K10" t="s">
        <v>3</v>
      </c>
      <c r="L10" t="e">
        <f>ROUND(AVERAGE(seed1!L10,seed2!L10,seed3!L10,seed4!L10,seed5!L10),4)</f>
        <v>#DIV/0!</v>
      </c>
      <c r="M10" t="e">
        <f>ROUND(AVERAGE(seed1!M10,seed2!M10,seed3!M10,seed4!M10,seed5!M10),4)</f>
        <v>#DIV/0!</v>
      </c>
      <c r="N10" t="e">
        <f>ROUND(AVERAGE(seed1!N10,seed2!N10,seed3!N10,seed4!N10,seed5!N10),4)</f>
        <v>#DIV/0!</v>
      </c>
      <c r="O10" t="e">
        <f>ROUND(AVERAGE(seed1!O10,seed2!O10,seed3!O10,seed4!O10,seed5!O10),4)</f>
        <v>#DIV/0!</v>
      </c>
      <c r="P10" t="e">
        <f>ROUND(AVERAGE(seed1!P10,seed2!P10,seed3!P10,seed4!P10,seed5!P10),4)</f>
        <v>#DIV/0!</v>
      </c>
      <c r="Q10" t="e">
        <f>ROUND(AVERAGE(seed1!Q10,seed2!Q10,seed3!Q10,seed4!Q10,seed5!Q10),4)</f>
        <v>#DIV/0!</v>
      </c>
      <c r="R10" t="e">
        <f>ROUND(AVERAGE(seed1!R10,seed2!R10,seed3!R10,seed4!R10,seed5!R10),4)</f>
        <v>#DIV/0!</v>
      </c>
    </row>
    <row r="11" spans="2:18">
      <c r="B11" s="2" t="s">
        <v>11</v>
      </c>
      <c r="C11">
        <f>ROUND(AVERAGE(seed1!C11,seed2!C11,seed3!C11,seed4!C11,seed5!C11),4)</f>
        <v>4.3051000000000004</v>
      </c>
      <c r="D11">
        <f>ROUND(AVERAGE(seed1!D11,seed2!D11,seed3!D11,seed4!D11,seed5!D11),4)</f>
        <v>7.1007999999999996</v>
      </c>
      <c r="E11">
        <f>ROUND(AVERAGE(seed1!E11,seed2!E11,seed3!E11,seed4!E11,seed5!E11),4)</f>
        <v>7.6741999999999999</v>
      </c>
      <c r="F11">
        <f>ROUND(AVERAGE(seed1!F11,seed2!F11,seed3!F11,seed4!F11,seed5!F11),4)</f>
        <v>7.0925000000000002</v>
      </c>
      <c r="G11">
        <f>ROUND(AVERAGE(seed1!G11,seed2!G11,seed3!G11,seed4!G11,seed5!G11),4)</f>
        <v>5.4409000000000001</v>
      </c>
      <c r="H11">
        <f>ROUND(AVERAGE(seed1!H11,seed2!H11,seed3!H11,seed4!H11,seed5!H11),4)</f>
        <v>6.1622000000000003</v>
      </c>
      <c r="I11">
        <f>ROUND(AVERAGE(seed1!I11,seed2!I11,seed3!I11,seed4!I11,seed5!I11),4)</f>
        <v>6.5354999999999999</v>
      </c>
      <c r="K11" s="2" t="s">
        <v>11</v>
      </c>
      <c r="L11" t="e">
        <f>ROUND(AVERAGE(seed1!L11,seed2!L11,seed3!L11,seed4!L11,seed5!L11),4)</f>
        <v>#DIV/0!</v>
      </c>
      <c r="M11" t="e">
        <f>ROUND(AVERAGE(seed1!M11,seed2!M11,seed3!M11,seed4!M11,seed5!M11),4)</f>
        <v>#DIV/0!</v>
      </c>
      <c r="N11" t="e">
        <f>ROUND(AVERAGE(seed1!N11,seed2!N11,seed3!N11,seed4!N11,seed5!N11),4)</f>
        <v>#DIV/0!</v>
      </c>
      <c r="O11" t="e">
        <f>ROUND(AVERAGE(seed1!O11,seed2!O11,seed3!O11,seed4!O11,seed5!O11),4)</f>
        <v>#DIV/0!</v>
      </c>
      <c r="P11" t="e">
        <f>ROUND(AVERAGE(seed1!P11,seed2!P11,seed3!P11,seed4!P11,seed5!P11),4)</f>
        <v>#DIV/0!</v>
      </c>
      <c r="Q11" t="e">
        <f>ROUND(AVERAGE(seed1!Q11,seed2!Q11,seed3!Q11,seed4!Q11,seed5!Q11),4)</f>
        <v>#DIV/0!</v>
      </c>
      <c r="R11" t="e">
        <f>ROUND(AVERAGE(seed1!R11,seed2!R11,seed3!R11,seed4!R11,seed5!R11),4)</f>
        <v>#DIV/0!</v>
      </c>
    </row>
    <row r="12" spans="2:18">
      <c r="B12" s="2" t="s">
        <v>12</v>
      </c>
      <c r="C12">
        <f>ROUND(AVERAGE(seed1!C12,seed2!C12,seed3!C12,seed4!C12,seed5!C12),4)</f>
        <v>4.6837999999999997</v>
      </c>
      <c r="D12">
        <f>ROUND(AVERAGE(seed1!D12,seed2!D12,seed3!D12,seed4!D12,seed5!D12),4)</f>
        <v>7.5</v>
      </c>
      <c r="E12">
        <f>ROUND(AVERAGE(seed1!E12,seed2!E12,seed3!E12,seed4!E12,seed5!E12),4)</f>
        <v>7.5750000000000002</v>
      </c>
      <c r="F12">
        <f>ROUND(AVERAGE(seed1!F12,seed2!F12,seed3!F12,seed4!F12,seed5!F12),4)</f>
        <v>7.1715999999999998</v>
      </c>
      <c r="G12">
        <f>ROUND(AVERAGE(seed1!G12,seed2!G12,seed3!G12,seed4!G12,seed5!G12),4)</f>
        <v>5.6931000000000003</v>
      </c>
      <c r="H12">
        <f>ROUND(AVERAGE(seed1!H12,seed2!H12,seed3!H12,seed4!H12,seed5!H12),4)</f>
        <v>6.5896999999999997</v>
      </c>
      <c r="I12">
        <f>ROUND(AVERAGE(seed1!I12,seed2!I12,seed3!I12,seed4!I12,seed5!I12),4)</f>
        <v>6.7687999999999997</v>
      </c>
      <c r="K12" s="2" t="s">
        <v>12</v>
      </c>
      <c r="L12" t="e">
        <f>ROUND(AVERAGE(seed1!L12,seed2!L12,seed3!L12,seed4!L12,seed5!L12),4)</f>
        <v>#DIV/0!</v>
      </c>
      <c r="M12" t="e">
        <f>ROUND(AVERAGE(seed1!M12,seed2!M12,seed3!M12,seed4!M12,seed5!M12),4)</f>
        <v>#DIV/0!</v>
      </c>
      <c r="N12" t="e">
        <f>ROUND(AVERAGE(seed1!N12,seed2!N12,seed3!N12,seed4!N12,seed5!N12),4)</f>
        <v>#DIV/0!</v>
      </c>
      <c r="O12" t="e">
        <f>ROUND(AVERAGE(seed1!O12,seed2!O12,seed3!O12,seed4!O12,seed5!O12),4)</f>
        <v>#DIV/0!</v>
      </c>
      <c r="P12" t="e">
        <f>ROUND(AVERAGE(seed1!P12,seed2!P12,seed3!P12,seed4!P12,seed5!P12),4)</f>
        <v>#DIV/0!</v>
      </c>
      <c r="Q12" t="e">
        <f>ROUND(AVERAGE(seed1!Q12,seed2!Q12,seed3!Q12,seed4!Q12,seed5!Q12),4)</f>
        <v>#DIV/0!</v>
      </c>
      <c r="R12" t="e">
        <f>ROUND(AVERAGE(seed1!R12,seed2!R12,seed3!R12,seed4!R12,seed5!R12),4)</f>
        <v>#DIV/0!</v>
      </c>
    </row>
    <row r="13" spans="2:18">
      <c r="B13" t="s">
        <v>1</v>
      </c>
      <c r="C13">
        <f>ROUND(AVERAGE(seed1!C13,seed2!C13,seed3!C13,seed4!C13,seed5!C13),4)</f>
        <v>4.5906000000000002</v>
      </c>
      <c r="D13">
        <f>ROUND(AVERAGE(seed1!D13,seed2!D13,seed3!D13,seed4!D13,seed5!D13),4)</f>
        <v>7.4195000000000002</v>
      </c>
      <c r="E13">
        <f>ROUND(AVERAGE(seed1!E13,seed2!E13,seed3!E13,seed4!E13,seed5!E13),4)</f>
        <v>7.6067999999999998</v>
      </c>
      <c r="F13">
        <f>ROUND(AVERAGE(seed1!F13,seed2!F13,seed3!F13,seed4!F13,seed5!F13),4)</f>
        <v>7.1158000000000001</v>
      </c>
      <c r="G13">
        <f>ROUND(AVERAGE(seed1!G13,seed2!G13,seed3!G13,seed4!G13,seed5!G13),4)</f>
        <v>5.6077000000000004</v>
      </c>
      <c r="H13">
        <f>ROUND(AVERAGE(seed1!H13,seed2!H13,seed3!H13,seed4!H13,seed5!H13),4)</f>
        <v>6.5391000000000004</v>
      </c>
      <c r="I13">
        <f>ROUND(AVERAGE(seed1!I13,seed2!I13,seed3!I13,seed4!I13,seed5!I13),4)</f>
        <v>6.7617000000000003</v>
      </c>
      <c r="K13" t="s">
        <v>1</v>
      </c>
      <c r="L13" t="e">
        <f>ROUND(AVERAGE(seed1!L13,seed2!L13,seed3!L13,seed4!L13,seed5!L13),4)</f>
        <v>#DIV/0!</v>
      </c>
      <c r="M13" t="e">
        <f>ROUND(AVERAGE(seed1!M13,seed2!M13,seed3!M13,seed4!M13,seed5!M13),4)</f>
        <v>#DIV/0!</v>
      </c>
      <c r="N13" t="e">
        <f>ROUND(AVERAGE(seed1!N13,seed2!N13,seed3!N13,seed4!N13,seed5!N13),4)</f>
        <v>#DIV/0!</v>
      </c>
      <c r="O13" t="e">
        <f>ROUND(AVERAGE(seed1!O13,seed2!O13,seed3!O13,seed4!O13,seed5!O13),4)</f>
        <v>#DIV/0!</v>
      </c>
      <c r="P13" t="e">
        <f>ROUND(AVERAGE(seed1!P13,seed2!P13,seed3!P13,seed4!P13,seed5!P13),4)</f>
        <v>#DIV/0!</v>
      </c>
      <c r="Q13" t="e">
        <f>ROUND(AVERAGE(seed1!Q13,seed2!Q13,seed3!Q13,seed4!Q13,seed5!Q13),4)</f>
        <v>#DIV/0!</v>
      </c>
      <c r="R13" t="e">
        <f>ROUND(AVERAGE(seed1!R13,seed2!R13,seed3!R13,seed4!R13,seed5!R13),4)</f>
        <v>#DIV/0!</v>
      </c>
    </row>
    <row r="14" spans="2:18">
      <c r="B14" s="2" t="s">
        <v>11</v>
      </c>
      <c r="C14">
        <f>ROUND(AVERAGE(seed1!C14,seed2!C14,seed3!C14,seed4!C14,seed5!C14),4)</f>
        <v>6.2873000000000001</v>
      </c>
      <c r="D14">
        <f>ROUND(AVERAGE(seed1!D14,seed2!D14,seed3!D14,seed4!D14,seed5!D14),4)</f>
        <v>6.4114000000000004</v>
      </c>
      <c r="E14">
        <f>ROUND(AVERAGE(seed1!E14,seed2!E14,seed3!E14,seed4!E14,seed5!E14),4)</f>
        <v>7.1200999999999999</v>
      </c>
      <c r="F14">
        <f>ROUND(AVERAGE(seed1!F14,seed2!F14,seed3!F14,seed4!F14,seed5!F14),4)</f>
        <v>7.0109000000000004</v>
      </c>
      <c r="G14">
        <f>ROUND(AVERAGE(seed1!G14,seed2!G14,seed3!G14,seed4!G14,seed5!G14),4)</f>
        <v>6.5039999999999996</v>
      </c>
      <c r="H14">
        <f>ROUND(AVERAGE(seed1!H14,seed2!H14,seed3!H14,seed4!H14,seed5!H14),4)</f>
        <v>7.0907999999999998</v>
      </c>
      <c r="I14">
        <f>ROUND(AVERAGE(seed1!I14,seed2!I14,seed3!I14,seed4!I14,seed5!I14),4)</f>
        <v>7.1634000000000002</v>
      </c>
      <c r="K14" s="2" t="s">
        <v>11</v>
      </c>
      <c r="L14" t="e">
        <f>ROUND(AVERAGE(seed1!L14,seed2!L14,seed3!L14,seed4!L14,seed5!L14),4)</f>
        <v>#DIV/0!</v>
      </c>
      <c r="M14" t="e">
        <f>ROUND(AVERAGE(seed1!M14,seed2!M14,seed3!M14,seed4!M14,seed5!M14),4)</f>
        <v>#DIV/0!</v>
      </c>
      <c r="N14" t="e">
        <f>ROUND(AVERAGE(seed1!N14,seed2!N14,seed3!N14,seed4!N14,seed5!N14),4)</f>
        <v>#DIV/0!</v>
      </c>
      <c r="O14" t="e">
        <f>ROUND(AVERAGE(seed1!O14,seed2!O14,seed3!O14,seed4!O14,seed5!O14),4)</f>
        <v>#DIV/0!</v>
      </c>
      <c r="P14" t="e">
        <f>ROUND(AVERAGE(seed1!P14,seed2!P14,seed3!P14,seed4!P14,seed5!P14),4)</f>
        <v>#DIV/0!</v>
      </c>
      <c r="Q14" t="e">
        <f>ROUND(AVERAGE(seed1!Q14,seed2!Q14,seed3!Q14,seed4!Q14,seed5!Q14),4)</f>
        <v>#DIV/0!</v>
      </c>
      <c r="R14" t="e">
        <f>ROUND(AVERAGE(seed1!R14,seed2!R14,seed3!R14,seed4!R14,seed5!R14),4)</f>
        <v>#DIV/0!</v>
      </c>
    </row>
    <row r="15" spans="2:18">
      <c r="B15" s="2" t="s">
        <v>12</v>
      </c>
      <c r="C15">
        <f>ROUND(AVERAGE(seed1!C15,seed2!C15,seed3!C15,seed4!C15,seed5!C15),4)</f>
        <v>6.6932</v>
      </c>
      <c r="D15">
        <f>ROUND(AVERAGE(seed1!D15,seed2!D15,seed3!D15,seed4!D15,seed5!D15),4)</f>
        <v>6.7465999999999999</v>
      </c>
      <c r="E15">
        <f>ROUND(AVERAGE(seed1!E15,seed2!E15,seed3!E15,seed4!E15,seed5!E15),4)</f>
        <v>7.4945000000000004</v>
      </c>
      <c r="F15">
        <f>ROUND(AVERAGE(seed1!F15,seed2!F15,seed3!F15,seed4!F15,seed5!F15),4)</f>
        <v>7.4901</v>
      </c>
      <c r="G15">
        <f>ROUND(AVERAGE(seed1!G15,seed2!G15,seed3!G15,seed4!G15,seed5!G15),4)</f>
        <v>6.9291999999999998</v>
      </c>
      <c r="H15">
        <f>ROUND(AVERAGE(seed1!H15,seed2!H15,seed3!H15,seed4!H15,seed5!H15),4)</f>
        <v>7.431</v>
      </c>
      <c r="I15">
        <f>ROUND(AVERAGE(seed1!I15,seed2!I15,seed3!I15,seed4!I15,seed5!I15),4)</f>
        <v>7.4850000000000003</v>
      </c>
      <c r="K15" s="2" t="s">
        <v>12</v>
      </c>
      <c r="L15" t="e">
        <f>ROUND(AVERAGE(seed1!L15,seed2!L15,seed3!L15,seed4!L15,seed5!L15),4)</f>
        <v>#DIV/0!</v>
      </c>
      <c r="M15" t="e">
        <f>ROUND(AVERAGE(seed1!M15,seed2!M15,seed3!M15,seed4!M15,seed5!M15),4)</f>
        <v>#DIV/0!</v>
      </c>
      <c r="N15" t="e">
        <f>ROUND(AVERAGE(seed1!N15,seed2!N15,seed3!N15,seed4!N15,seed5!N15),4)</f>
        <v>#DIV/0!</v>
      </c>
      <c r="O15" t="e">
        <f>ROUND(AVERAGE(seed1!O15,seed2!O15,seed3!O15,seed4!O15,seed5!O15),4)</f>
        <v>#DIV/0!</v>
      </c>
      <c r="P15" t="e">
        <f>ROUND(AVERAGE(seed1!P15,seed2!P15,seed3!P15,seed4!P15,seed5!P15),4)</f>
        <v>#DIV/0!</v>
      </c>
      <c r="Q15" t="e">
        <f>ROUND(AVERAGE(seed1!Q15,seed2!Q15,seed3!Q15,seed4!Q15,seed5!Q15),4)</f>
        <v>#DIV/0!</v>
      </c>
      <c r="R15" t="e">
        <f>ROUND(AVERAGE(seed1!R15,seed2!R15,seed3!R15,seed4!R15,seed5!R15),4)</f>
        <v>#DIV/0!</v>
      </c>
    </row>
    <row r="16" spans="2:18">
      <c r="B16" t="s">
        <v>4</v>
      </c>
      <c r="C16">
        <f>ROUND(AVERAGE(seed1!C16,seed2!C16,seed3!C16,seed4!C16,seed5!C16),4)</f>
        <v>6.6074999999999999</v>
      </c>
      <c r="D16">
        <f>ROUND(AVERAGE(seed1!D16,seed2!D16,seed3!D16,seed4!D16,seed5!D16),4)</f>
        <v>6.6722000000000001</v>
      </c>
      <c r="E16">
        <f>ROUND(AVERAGE(seed1!E16,seed2!E16,seed3!E16,seed4!E16,seed5!E16),4)</f>
        <v>7.4114000000000004</v>
      </c>
      <c r="F16">
        <f>ROUND(AVERAGE(seed1!F16,seed2!F16,seed3!F16,seed4!F16,seed5!F16),4)</f>
        <v>7.3775000000000004</v>
      </c>
      <c r="G16">
        <f>ROUND(AVERAGE(seed1!G16,seed2!G16,seed3!G16,seed4!G16,seed5!G16),4)</f>
        <v>6.8242000000000003</v>
      </c>
      <c r="H16">
        <f>ROUND(AVERAGE(seed1!H16,seed2!H16,seed3!H16,seed4!H16,seed5!H16),4)</f>
        <v>7.3583999999999996</v>
      </c>
      <c r="I16">
        <f>ROUND(AVERAGE(seed1!I16,seed2!I16,seed3!I16,seed4!I16,seed5!I16),4)</f>
        <v>7.4158999999999997</v>
      </c>
      <c r="K16" t="s">
        <v>4</v>
      </c>
      <c r="L16" t="e">
        <f>ROUND(AVERAGE(seed1!L16,seed2!L16,seed3!L16,seed4!L16,seed5!L16),4)</f>
        <v>#DIV/0!</v>
      </c>
      <c r="M16" t="e">
        <f>ROUND(AVERAGE(seed1!M16,seed2!M16,seed3!M16,seed4!M16,seed5!M16),4)</f>
        <v>#DIV/0!</v>
      </c>
      <c r="N16" t="e">
        <f>ROUND(AVERAGE(seed1!N16,seed2!N16,seed3!N16,seed4!N16,seed5!N16),4)</f>
        <v>#DIV/0!</v>
      </c>
      <c r="O16" t="e">
        <f>ROUND(AVERAGE(seed1!O16,seed2!O16,seed3!O16,seed4!O16,seed5!O16),4)</f>
        <v>#DIV/0!</v>
      </c>
      <c r="P16" t="e">
        <f>ROUND(AVERAGE(seed1!P16,seed2!P16,seed3!P16,seed4!P16,seed5!P16),4)</f>
        <v>#DIV/0!</v>
      </c>
      <c r="Q16" t="e">
        <f>ROUND(AVERAGE(seed1!Q16,seed2!Q16,seed3!Q16,seed4!Q16,seed5!Q16),4)</f>
        <v>#DIV/0!</v>
      </c>
      <c r="R16" t="e">
        <f>ROUND(AVERAGE(seed1!R16,seed2!R16,seed3!R16,seed4!R16,seed5!R16),4)</f>
        <v>#DIV/0!</v>
      </c>
    </row>
    <row r="17" spans="2:21">
      <c r="B17" s="2" t="s">
        <v>14</v>
      </c>
      <c r="C17">
        <f>ROUND(AVERAGE(C7,C10,C13),4)</f>
        <v>4.7728999999999999</v>
      </c>
      <c r="D17">
        <f t="shared" ref="D17:I17" si="0">ROUND(AVERAGE(D7,D10,D13),4)</f>
        <v>5.1516000000000002</v>
      </c>
      <c r="E17">
        <f t="shared" si="0"/>
        <v>5.7582000000000004</v>
      </c>
      <c r="F17">
        <f t="shared" si="0"/>
        <v>5.6298000000000004</v>
      </c>
      <c r="G17">
        <f t="shared" si="0"/>
        <v>4.9980000000000002</v>
      </c>
      <c r="H17">
        <f t="shared" si="0"/>
        <v>5.5651999999999999</v>
      </c>
      <c r="I17">
        <f t="shared" si="0"/>
        <v>5.6430999999999996</v>
      </c>
      <c r="K17" s="2" t="s">
        <v>14</v>
      </c>
      <c r="L17" t="e">
        <f>ROUND(AVERAGE(L7,L10,L13),4)</f>
        <v>#DIV/0!</v>
      </c>
      <c r="M17" t="e">
        <f t="shared" ref="M17:R17" si="1">ROUND(AVERAGE(M7,M10,M13),4)</f>
        <v>#DIV/0!</v>
      </c>
      <c r="N17" t="e">
        <f t="shared" si="1"/>
        <v>#DIV/0!</v>
      </c>
      <c r="O17" t="e">
        <f t="shared" si="1"/>
        <v>#DIV/0!</v>
      </c>
      <c r="P17" t="e">
        <f t="shared" si="1"/>
        <v>#DIV/0!</v>
      </c>
      <c r="Q17" t="e">
        <f t="shared" si="1"/>
        <v>#DIV/0!</v>
      </c>
      <c r="R17" t="e">
        <f t="shared" si="1"/>
        <v>#DIV/0!</v>
      </c>
    </row>
    <row r="18" spans="2:21">
      <c r="B18" t="s">
        <v>15</v>
      </c>
      <c r="C18">
        <f>ROUND(AVERAGE(seed1!C18,seed2!C18,seed3!C18,seed4!C18,seed5!C18),1)</f>
        <v>60.8</v>
      </c>
      <c r="D18">
        <f>ROUND(AVERAGE(seed1!D18,seed2!D18,seed3!D18,seed4!D18,seed5!D18),1)</f>
        <v>59.4</v>
      </c>
      <c r="E18">
        <f>ROUND(AVERAGE(seed1!E18,seed2!E18,seed3!E18,seed4!E18,seed5!E18),1)</f>
        <v>60.4</v>
      </c>
      <c r="F18">
        <f>ROUND(AVERAGE(seed1!F18,seed2!F18,seed3!F18,seed4!F18,seed5!F18),1)</f>
        <v>60.4</v>
      </c>
      <c r="G18">
        <f>ROUND(AVERAGE(seed1!G18,seed2!G18,seed3!G18,seed4!G18,seed5!G18),1)</f>
        <v>60.4</v>
      </c>
      <c r="H18">
        <f>ROUND(AVERAGE(seed1!H18,seed2!H18,seed3!H18,seed4!H18,seed5!H18),1)</f>
        <v>60.6</v>
      </c>
      <c r="I18">
        <f>ROUND(AVERAGE(seed1!I18,seed2!I18,seed3!I18,seed4!I18,seed5!I18),1)</f>
        <v>61</v>
      </c>
      <c r="K18" t="s">
        <v>15</v>
      </c>
      <c r="L18" t="e">
        <f>ROUND(AVERAGE(seed1!L18,seed2!L18,seed3!L18,seed4!L18,seed5!L18),1)</f>
        <v>#DIV/0!</v>
      </c>
      <c r="M18" t="e">
        <f>ROUND(AVERAGE(seed1!M18,seed2!M18,seed3!M18,seed4!M18,seed5!M18),1)</f>
        <v>#DIV/0!</v>
      </c>
      <c r="N18" t="e">
        <f>ROUND(AVERAGE(seed1!N18,seed2!N18,seed3!N18,seed4!N18,seed5!N18),1)</f>
        <v>#DIV/0!</v>
      </c>
      <c r="O18" t="e">
        <f>ROUND(AVERAGE(seed1!O18,seed2!O18,seed3!O18,seed4!O18,seed5!O18),1)</f>
        <v>#DIV/0!</v>
      </c>
      <c r="P18" t="e">
        <f>ROUND(AVERAGE(seed1!P18,seed2!P18,seed3!P18,seed4!P18,seed5!P18),1)</f>
        <v>#DIV/0!</v>
      </c>
      <c r="Q18" t="e">
        <f>ROUND(AVERAGE(seed1!Q18,seed2!Q18,seed3!Q18,seed4!Q18,seed5!Q18),1)</f>
        <v>#DIV/0!</v>
      </c>
      <c r="R18" t="e">
        <f>ROUND(AVERAGE(seed1!R18,seed2!R18,seed3!R18,seed4!R18,seed5!R18),1)</f>
        <v>#DIV/0!</v>
      </c>
    </row>
    <row r="19" spans="2:21">
      <c r="B19" t="s">
        <v>16</v>
      </c>
      <c r="C19">
        <f>ROUND(AVERAGE(seed1!C19,seed2!C19,seed3!C19,seed4!C19,seed5!C19),1)</f>
        <v>58.2</v>
      </c>
      <c r="D19">
        <f>ROUND(AVERAGE(seed1!D19,seed2!D19,seed3!D19,seed4!D19,seed5!D19),1)</f>
        <v>58.4</v>
      </c>
      <c r="E19">
        <f>ROUND(AVERAGE(seed1!E19,seed2!E19,seed3!E19,seed4!E19,seed5!E19),1)</f>
        <v>58.8</v>
      </c>
      <c r="F19">
        <f>ROUND(AVERAGE(seed1!F19,seed2!F19,seed3!F19,seed4!F19,seed5!F19),1)</f>
        <v>58.4</v>
      </c>
      <c r="G19">
        <f>ROUND(AVERAGE(seed1!G19,seed2!G19,seed3!G19,seed4!G19,seed5!G19),1)</f>
        <v>58</v>
      </c>
      <c r="H19">
        <f>ROUND(AVERAGE(seed1!H19,seed2!H19,seed3!H19,seed4!H19,seed5!H19),1)</f>
        <v>58.6</v>
      </c>
      <c r="I19">
        <f>ROUND(AVERAGE(seed1!I19,seed2!I19,seed3!I19,seed4!I19,seed5!I19),1)</f>
        <v>58.4</v>
      </c>
      <c r="K19" t="s">
        <v>16</v>
      </c>
      <c r="L19" t="e">
        <f>ROUND(AVERAGE(seed1!L19,seed2!L19,seed3!L19,seed4!L19,seed5!L19),1)</f>
        <v>#DIV/0!</v>
      </c>
      <c r="M19" t="e">
        <f>ROUND(AVERAGE(seed1!M19,seed2!M19,seed3!M19,seed4!M19,seed5!M19),1)</f>
        <v>#DIV/0!</v>
      </c>
      <c r="N19" t="e">
        <f>ROUND(AVERAGE(seed1!N19,seed2!N19,seed3!N19,seed4!N19,seed5!N19),1)</f>
        <v>#DIV/0!</v>
      </c>
      <c r="O19" t="e">
        <f>ROUND(AVERAGE(seed1!O19,seed2!O19,seed3!O19,seed4!O19,seed5!O19),1)</f>
        <v>#DIV/0!</v>
      </c>
      <c r="P19" t="e">
        <f>ROUND(AVERAGE(seed1!P19,seed2!P19,seed3!P19,seed4!P19,seed5!P19),1)</f>
        <v>#DIV/0!</v>
      </c>
      <c r="Q19" t="e">
        <f>ROUND(AVERAGE(seed1!Q19,seed2!Q19,seed3!Q19,seed4!Q19,seed5!Q19),1)</f>
        <v>#DIV/0!</v>
      </c>
      <c r="R19" t="e">
        <f>ROUND(AVERAGE(seed1!R19,seed2!R19,seed3!R19,seed4!R19,seed5!R19),1)</f>
        <v>#DIV/0!</v>
      </c>
    </row>
    <row r="20" spans="2:21">
      <c r="B20" t="s">
        <v>17</v>
      </c>
      <c r="C20">
        <f>ROUND(AVERAGE(seed1!C20,seed2!C20,seed3!C20,seed4!C20,seed5!C20),1)</f>
        <v>67.599999999999994</v>
      </c>
      <c r="D20">
        <f>ROUND(AVERAGE(seed1!D20,seed2!D20,seed3!D20,seed4!D20,seed5!D20),1)</f>
        <v>69</v>
      </c>
      <c r="E20">
        <f>ROUND(AVERAGE(seed1!E20,seed2!E20,seed3!E20,seed4!E20,seed5!E20),1)</f>
        <v>69</v>
      </c>
      <c r="F20">
        <f>ROUND(AVERAGE(seed1!F20,seed2!F20,seed3!F20,seed4!F20,seed5!F20),1)</f>
        <v>68.599999999999994</v>
      </c>
      <c r="G20">
        <f>ROUND(AVERAGE(seed1!G20,seed2!G20,seed3!G20,seed4!G20,seed5!G20),1)</f>
        <v>69</v>
      </c>
      <c r="H20">
        <f>ROUND(AVERAGE(seed1!H20,seed2!H20,seed3!H20,seed4!H20,seed5!H20),1)</f>
        <v>69</v>
      </c>
      <c r="I20">
        <f>ROUND(AVERAGE(seed1!I20,seed2!I20,seed3!I20,seed4!I20,seed5!I20),1)</f>
        <v>68.8</v>
      </c>
      <c r="K20" t="s">
        <v>17</v>
      </c>
      <c r="L20" t="e">
        <f>ROUND(AVERAGE(seed1!L20,seed2!L20,seed3!L20,seed4!L20,seed5!L20),1)</f>
        <v>#DIV/0!</v>
      </c>
      <c r="M20" t="e">
        <f>ROUND(AVERAGE(seed1!M20,seed2!M20,seed3!M20,seed4!M20,seed5!M20),1)</f>
        <v>#DIV/0!</v>
      </c>
      <c r="N20" t="e">
        <f>ROUND(AVERAGE(seed1!N20,seed2!N20,seed3!N20,seed4!N20,seed5!N20),1)</f>
        <v>#DIV/0!</v>
      </c>
      <c r="O20" t="e">
        <f>ROUND(AVERAGE(seed1!O20,seed2!O20,seed3!O20,seed4!O20,seed5!O20),1)</f>
        <v>#DIV/0!</v>
      </c>
      <c r="P20" t="e">
        <f>ROUND(AVERAGE(seed1!P20,seed2!P20,seed3!P20,seed4!P20,seed5!P20),1)</f>
        <v>#DIV/0!</v>
      </c>
      <c r="Q20" t="e">
        <f>ROUND(AVERAGE(seed1!Q20,seed2!Q20,seed3!Q20,seed4!Q20,seed5!Q20),1)</f>
        <v>#DIV/0!</v>
      </c>
      <c r="R20" t="e">
        <f>ROUND(AVERAGE(seed1!R20,seed2!R20,seed3!R20,seed4!R20,seed5!R20),1)</f>
        <v>#DIV/0!</v>
      </c>
    </row>
    <row r="21" spans="2:21">
      <c r="B21" t="s">
        <v>18</v>
      </c>
      <c r="C21">
        <f>SUM(C18:C20)</f>
        <v>186.6</v>
      </c>
      <c r="D21">
        <f t="shared" ref="D21:I21" si="2">SUM(D18:D20)</f>
        <v>186.8</v>
      </c>
      <c r="E21">
        <f t="shared" si="2"/>
        <v>188.2</v>
      </c>
      <c r="F21">
        <f t="shared" si="2"/>
        <v>187.39999999999998</v>
      </c>
      <c r="G21">
        <f t="shared" si="2"/>
        <v>187.4</v>
      </c>
      <c r="H21">
        <f t="shared" si="2"/>
        <v>188.2</v>
      </c>
      <c r="I21">
        <f t="shared" si="2"/>
        <v>188.2</v>
      </c>
      <c r="K21" t="s">
        <v>18</v>
      </c>
      <c r="L21" t="e">
        <f>SUM(L18:L20)</f>
        <v>#DIV/0!</v>
      </c>
      <c r="M21" t="e">
        <f t="shared" ref="M21" si="3">SUM(M18:M20)</f>
        <v>#DIV/0!</v>
      </c>
      <c r="N21" t="e">
        <f t="shared" ref="N21" si="4">SUM(N18:N20)</f>
        <v>#DIV/0!</v>
      </c>
      <c r="O21" t="e">
        <f t="shared" ref="O21" si="5">SUM(O18:O20)</f>
        <v>#DIV/0!</v>
      </c>
      <c r="P21" t="e">
        <f t="shared" ref="P21" si="6">SUM(P18:P20)</f>
        <v>#DIV/0!</v>
      </c>
      <c r="Q21" t="e">
        <f t="shared" ref="Q21" si="7">SUM(Q18:Q20)</f>
        <v>#DIV/0!</v>
      </c>
      <c r="R21" t="e">
        <f t="shared" ref="R21" si="8">SUM(R18:R20)</f>
        <v>#DIV/0!</v>
      </c>
      <c r="U21">
        <f>(I16-H16)*2/(H16+I16)</f>
        <v>7.7837867107071208E-3</v>
      </c>
    </row>
    <row r="23" spans="2:21">
      <c r="B23" t="s">
        <v>13</v>
      </c>
    </row>
    <row r="24" spans="2:21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</row>
    <row r="25" spans="2:21">
      <c r="C25" t="s">
        <v>7</v>
      </c>
      <c r="D25" t="s">
        <v>8</v>
      </c>
      <c r="E25" s="1">
        <v>0.2</v>
      </c>
      <c r="F25" s="1">
        <v>0.4</v>
      </c>
      <c r="G25" t="s">
        <v>5</v>
      </c>
      <c r="H25" t="s">
        <v>6</v>
      </c>
      <c r="I25" t="s">
        <v>10</v>
      </c>
    </row>
    <row r="26" spans="2:21">
      <c r="B26" s="2" t="s">
        <v>11</v>
      </c>
      <c r="C26">
        <f>ROUND(AVERAGE(seed1!C26,seed2!C26,seed3!C26,seed4!C26,seed5!C26),4)</f>
        <v>2.1915</v>
      </c>
      <c r="D26">
        <f>ROUND(AVERAGE(seed1!D26,seed2!D26,seed3!D26,seed4!D26,seed5!D26),4)</f>
        <v>3.0306000000000002</v>
      </c>
      <c r="E26">
        <f>ROUND(AVERAGE(seed1!E26,seed2!E26,seed3!E26,seed4!E26,seed5!E26),4)</f>
        <v>3.8220999999999998</v>
      </c>
      <c r="F26">
        <f>ROUND(AVERAGE(seed1!F26,seed2!F26,seed3!F26,seed4!F26,seed5!F26),4)</f>
        <v>4.2877999999999998</v>
      </c>
      <c r="G26">
        <f>ROUND(AVERAGE(seed1!G26,seed2!G26,seed3!G26,seed4!G26,seed5!G26),4)</f>
        <v>3.9024999999999999</v>
      </c>
      <c r="H26">
        <f>ROUND(AVERAGE(seed1!H26,seed2!H26,seed3!H26,seed4!H26,seed5!H26),4)</f>
        <v>3.9615</v>
      </c>
      <c r="I26">
        <f>ROUND(AVERAGE(seed1!I26,seed2!I26,seed3!I26,seed4!I26,seed5!I26),4)</f>
        <v>3.875</v>
      </c>
    </row>
    <row r="27" spans="2:21">
      <c r="B27" s="2" t="s">
        <v>12</v>
      </c>
      <c r="C27">
        <f>ROUND(AVERAGE(seed1!C27,seed2!C27,seed3!C27,seed4!C27,seed5!C27),4)</f>
        <v>2.1724000000000001</v>
      </c>
      <c r="D27">
        <f>ROUND(AVERAGE(seed1!D27,seed2!D27,seed3!D27,seed4!D27,seed5!D27),4)</f>
        <v>3.0703999999999998</v>
      </c>
      <c r="E27">
        <f>ROUND(AVERAGE(seed1!E27,seed2!E27,seed3!E27,seed4!E27,seed5!E27),4)</f>
        <v>3.7057000000000002</v>
      </c>
      <c r="F27">
        <f>ROUND(AVERAGE(seed1!F27,seed2!F27,seed3!F27,seed4!F27,seed5!F27),4)</f>
        <v>4.0978000000000003</v>
      </c>
      <c r="G27">
        <f>ROUND(AVERAGE(seed1!G27,seed2!G27,seed3!G27,seed4!G27,seed5!G27),4)</f>
        <v>3.7059000000000002</v>
      </c>
      <c r="H27">
        <f>ROUND(AVERAGE(seed1!H27,seed2!H27,seed3!H27,seed4!H27,seed5!H27),4)</f>
        <v>3.5912000000000002</v>
      </c>
      <c r="I27">
        <f>ROUND(AVERAGE(seed1!I27,seed2!I27,seed3!I27,seed4!I27,seed5!I27),4)</f>
        <v>3.9142000000000001</v>
      </c>
    </row>
    <row r="28" spans="2:21">
      <c r="B28" t="s">
        <v>2</v>
      </c>
      <c r="C28">
        <f>ROUND(AVERAGE(seed1!C28,seed2!C28,seed3!C28,seed4!C28,seed5!C28),4)</f>
        <v>2.1714000000000002</v>
      </c>
      <c r="D28">
        <f>ROUND(AVERAGE(seed1!D28,seed2!D28,seed3!D28,seed4!D28,seed5!D28),4)</f>
        <v>3.0581</v>
      </c>
      <c r="E28">
        <f>ROUND(AVERAGE(seed1!E28,seed2!E28,seed3!E28,seed4!E28,seed5!E28),4)</f>
        <v>3.7303999999999999</v>
      </c>
      <c r="F28">
        <f>ROUND(AVERAGE(seed1!F28,seed2!F28,seed3!F28,seed4!F28,seed5!F28),4)</f>
        <v>4.1459999999999999</v>
      </c>
      <c r="G28">
        <f>ROUND(AVERAGE(seed1!G28,seed2!G28,seed3!G28,seed4!G28,seed5!G28),4)</f>
        <v>3.4954999999999998</v>
      </c>
      <c r="H28">
        <f>ROUND(AVERAGE(seed1!H28,seed2!H28,seed3!H28,seed4!H28,seed5!H28),4)</f>
        <v>3.6459999999999999</v>
      </c>
      <c r="I28">
        <f>ROUND(AVERAGE(seed1!I28,seed2!I28,seed3!I28,seed4!I28,seed5!I28),4)</f>
        <v>3.9188999999999998</v>
      </c>
    </row>
    <row r="29" spans="2:21">
      <c r="B29" s="2" t="s">
        <v>11</v>
      </c>
      <c r="C29">
        <f>ROUND(AVERAGE(seed1!C29,seed2!C29,seed3!C29,seed4!C29,seed5!C29),4)</f>
        <v>3.8016000000000001</v>
      </c>
      <c r="D29">
        <f>ROUND(AVERAGE(seed1!D29,seed2!D29,seed3!D29,seed4!D29,seed5!D29),4)</f>
        <v>2.6865000000000001</v>
      </c>
      <c r="E29">
        <f>ROUND(AVERAGE(seed1!E29,seed2!E29,seed3!E29,seed4!E29,seed5!E29),4)</f>
        <v>3.266</v>
      </c>
      <c r="F29">
        <f>ROUND(AVERAGE(seed1!F29,seed2!F29,seed3!F29,seed4!F29,seed5!F29),4)</f>
        <v>3.8530000000000002</v>
      </c>
      <c r="G29">
        <f>ROUND(AVERAGE(seed1!G29,seed2!G29,seed3!G29,seed4!G29,seed5!G29),4)</f>
        <v>3.5996999999999999</v>
      </c>
      <c r="H29">
        <f>ROUND(AVERAGE(seed1!H29,seed2!H29,seed3!H29,seed4!H29,seed5!H29),4)</f>
        <v>3.5869</v>
      </c>
      <c r="I29">
        <f>ROUND(AVERAGE(seed1!I29,seed2!I29,seed3!I29,seed4!I29,seed5!I29),4)</f>
        <v>3.9611999999999998</v>
      </c>
    </row>
    <row r="30" spans="2:21">
      <c r="B30" s="2" t="s">
        <v>12</v>
      </c>
      <c r="C30">
        <f>ROUND(AVERAGE(seed1!C30,seed2!C30,seed3!C30,seed4!C30,seed5!C30),4)</f>
        <v>3.5143</v>
      </c>
      <c r="D30">
        <f>ROUND(AVERAGE(seed1!D30,seed2!D30,seed3!D30,seed4!D30,seed5!D30),4)</f>
        <v>2.3479000000000001</v>
      </c>
      <c r="E30">
        <f>ROUND(AVERAGE(seed1!E30,seed2!E30,seed3!E30,seed4!E30,seed5!E30),4)</f>
        <v>2.8371</v>
      </c>
      <c r="F30">
        <f>ROUND(AVERAGE(seed1!F30,seed2!F30,seed3!F30,seed4!F30,seed5!F30),4)</f>
        <v>3.6269999999999998</v>
      </c>
      <c r="G30">
        <f>ROUND(AVERAGE(seed1!G30,seed2!G30,seed3!G30,seed4!G30,seed5!G30),4)</f>
        <v>3.5203000000000002</v>
      </c>
      <c r="H30">
        <f>ROUND(AVERAGE(seed1!H30,seed2!H30,seed3!H30,seed4!H30,seed5!H30),4)</f>
        <v>3.5998999999999999</v>
      </c>
      <c r="I30">
        <f>ROUND(AVERAGE(seed1!I30,seed2!I30,seed3!I30,seed4!I30,seed5!I30),4)</f>
        <v>4.0553999999999997</v>
      </c>
      <c r="L30" t="s">
        <v>28</v>
      </c>
    </row>
    <row r="31" spans="2:21">
      <c r="B31" t="s">
        <v>3</v>
      </c>
      <c r="C31">
        <f>ROUND(AVERAGE(seed1!C31,seed2!C31,seed3!C31,seed4!C31,seed5!C31),4)</f>
        <v>3.585</v>
      </c>
      <c r="D31">
        <f>ROUND(AVERAGE(seed1!D31,seed2!D31,seed3!D31,seed4!D31,seed5!D31),4)</f>
        <v>2.4192</v>
      </c>
      <c r="E31">
        <f>ROUND(AVERAGE(seed1!E31,seed2!E31,seed3!E31,seed4!E31,seed5!E31),4)</f>
        <v>2.9163000000000001</v>
      </c>
      <c r="F31">
        <f>ROUND(AVERAGE(seed1!F31,seed2!F31,seed3!F31,seed4!F31,seed5!F31),4)</f>
        <v>3.6812999999999998</v>
      </c>
      <c r="G31">
        <f>ROUND(AVERAGE(seed1!G31,seed2!G31,seed3!G31,seed4!G31,seed5!G31),4)</f>
        <v>3.5423</v>
      </c>
      <c r="H31">
        <f>ROUND(AVERAGE(seed1!H31,seed2!H31,seed3!H31,seed4!H31,seed5!H31),4)</f>
        <v>3.5811000000000002</v>
      </c>
      <c r="I31">
        <f>ROUND(AVERAGE(seed1!I31,seed2!I31,seed3!I31,seed4!I31,seed5!I31),4)</f>
        <v>4.0235000000000003</v>
      </c>
      <c r="M31">
        <v>400</v>
      </c>
      <c r="N31">
        <v>500</v>
      </c>
    </row>
    <row r="32" spans="2:21">
      <c r="B32" s="2" t="s">
        <v>11</v>
      </c>
      <c r="C32">
        <f>ROUND(AVERAGE(seed1!C32,seed2!C32,seed3!C32,seed4!C32,seed5!C32),4)</f>
        <v>2.4102999999999999</v>
      </c>
      <c r="D32">
        <f>ROUND(AVERAGE(seed1!D32,seed2!D32,seed3!D32,seed4!D32,seed5!D32),4)</f>
        <v>4.3330000000000002</v>
      </c>
      <c r="E32">
        <f>ROUND(AVERAGE(seed1!E32,seed2!E32,seed3!E32,seed4!E32,seed5!E32),4)</f>
        <v>4.4276</v>
      </c>
      <c r="F32">
        <f>ROUND(AVERAGE(seed1!F32,seed2!F32,seed3!F32,seed4!F32,seed5!F32),4)</f>
        <v>4.6672000000000002</v>
      </c>
      <c r="G32">
        <f>ROUND(AVERAGE(seed1!G32,seed2!G32,seed3!G32,seed4!G32,seed5!G32),4)</f>
        <v>3.9683000000000002</v>
      </c>
      <c r="H32">
        <f>ROUND(AVERAGE(seed1!H32,seed2!H32,seed3!H32,seed4!H32,seed5!H32),4)</f>
        <v>3.8647</v>
      </c>
      <c r="I32">
        <f>ROUND(AVERAGE(seed1!I32,seed2!I32,seed3!I32,seed4!I32,seed5!I32),4)</f>
        <v>4.2267999999999999</v>
      </c>
      <c r="L32" t="s">
        <v>22</v>
      </c>
      <c r="M32">
        <v>6.6074999999999999</v>
      </c>
      <c r="N32">
        <v>4.6017000000000001</v>
      </c>
    </row>
    <row r="33" spans="2:19">
      <c r="B33" s="2" t="s">
        <v>12</v>
      </c>
      <c r="C33">
        <f>ROUND(AVERAGE(seed1!C33,seed2!C33,seed3!C33,seed4!C33,seed5!C33),4)</f>
        <v>2.1876000000000002</v>
      </c>
      <c r="D33">
        <f>ROUND(AVERAGE(seed1!D33,seed2!D33,seed3!D33,seed4!D33,seed5!D33),4)</f>
        <v>4.4500999999999999</v>
      </c>
      <c r="E33">
        <f>ROUND(AVERAGE(seed1!E33,seed2!E33,seed3!E33,seed4!E33,seed5!E33),4)</f>
        <v>4.7321</v>
      </c>
      <c r="F33">
        <f>ROUND(AVERAGE(seed1!F33,seed2!F33,seed3!F33,seed4!F33,seed5!F33),4)</f>
        <v>4.9405999999999999</v>
      </c>
      <c r="G33">
        <f>ROUND(AVERAGE(seed1!G33,seed2!G33,seed3!G33,seed4!G33,seed5!G33),4)</f>
        <v>4.0715000000000003</v>
      </c>
      <c r="H33">
        <f>ROUND(AVERAGE(seed1!H33,seed2!H33,seed3!H33,seed4!H33,seed5!H33),4)</f>
        <v>4.2176999999999998</v>
      </c>
      <c r="I33">
        <f>ROUND(AVERAGE(seed1!I33,seed2!I33,seed3!I33,seed4!I33,seed5!I33),4)</f>
        <v>4.6192000000000002</v>
      </c>
      <c r="L33" t="s">
        <v>23</v>
      </c>
      <c r="M33">
        <v>6.6722000000000001</v>
      </c>
      <c r="N33">
        <v>4.8418999999999999</v>
      </c>
    </row>
    <row r="34" spans="2:19">
      <c r="B34" t="s">
        <v>1</v>
      </c>
      <c r="C34">
        <f>ROUND(AVERAGE(seed1!C34,seed2!C34,seed3!C34,seed4!C34,seed5!C34),4)</f>
        <v>2.2269000000000001</v>
      </c>
      <c r="D34">
        <f>ROUND(AVERAGE(seed1!D34,seed2!D34,seed3!D34,seed4!D34,seed5!D34),4)</f>
        <v>4.4173</v>
      </c>
      <c r="E34">
        <f>ROUND(AVERAGE(seed1!E34,seed2!E34,seed3!E34,seed4!E34,seed5!E34),4)</f>
        <v>4.6753</v>
      </c>
      <c r="F34">
        <f>ROUND(AVERAGE(seed1!F34,seed2!F34,seed3!F34,seed4!F34,seed5!F34),4)</f>
        <v>4.8338000000000001</v>
      </c>
      <c r="G34">
        <f>ROUND(AVERAGE(seed1!G34,seed2!G34,seed3!G34,seed4!G34,seed5!G34),4)</f>
        <v>4.0510999999999999</v>
      </c>
      <c r="H34">
        <f>ROUND(AVERAGE(seed1!H34,seed2!H34,seed3!H34,seed4!H34,seed5!H34),4)</f>
        <v>4.1376999999999997</v>
      </c>
      <c r="I34">
        <f>ROUND(AVERAGE(seed1!I34,seed2!I34,seed3!I34,seed4!I34,seed5!I34),4)</f>
        <v>4.5335999999999999</v>
      </c>
      <c r="L34" t="s">
        <v>24</v>
      </c>
      <c r="M34">
        <v>7.3775000000000004</v>
      </c>
      <c r="N34">
        <v>5.9591000000000003</v>
      </c>
    </row>
    <row r="35" spans="2:19">
      <c r="B35" s="2" t="s">
        <v>11</v>
      </c>
      <c r="C35">
        <f>ROUND(AVERAGE(seed1!C35,seed2!C35,seed3!C35,seed4!C35,seed5!C35),4)</f>
        <v>4.1070000000000002</v>
      </c>
      <c r="D35">
        <f>ROUND(AVERAGE(seed1!D35,seed2!D35,seed3!D35,seed4!D35,seed5!D35),4)</f>
        <v>4.6294000000000004</v>
      </c>
      <c r="E35">
        <f>ROUND(AVERAGE(seed1!E35,seed2!E35,seed3!E35,seed4!E35,seed5!E35),4)</f>
        <v>5.2449000000000003</v>
      </c>
      <c r="F35">
        <f>ROUND(AVERAGE(seed1!F35,seed2!F35,seed3!F35,seed4!F35,seed5!F35),4)</f>
        <v>5.8848000000000003</v>
      </c>
      <c r="G35">
        <f>ROUND(AVERAGE(seed1!G35,seed2!G35,seed3!G35,seed4!G35,seed5!G35),4)</f>
        <v>5.4112999999999998</v>
      </c>
      <c r="H35">
        <f>ROUND(AVERAGE(seed1!H35,seed2!H35,seed3!H35,seed4!H35,seed5!H35),4)</f>
        <v>5.2492000000000001</v>
      </c>
      <c r="I35">
        <f>ROUND(AVERAGE(seed1!I35,seed2!I35,seed3!I35,seed4!I35,seed5!I35),4)</f>
        <v>5.5593000000000004</v>
      </c>
      <c r="L35" t="s">
        <v>25</v>
      </c>
      <c r="M35">
        <v>6.8242000000000003</v>
      </c>
      <c r="N35">
        <v>5.5057999999999998</v>
      </c>
    </row>
    <row r="36" spans="2:19">
      <c r="B36" s="2" t="s">
        <v>12</v>
      </c>
      <c r="C36">
        <f>ROUND(AVERAGE(seed1!C36,seed2!C36,seed3!C36,seed4!C36,seed5!C36),4)</f>
        <v>3.9670000000000001</v>
      </c>
      <c r="D36">
        <f>ROUND(AVERAGE(seed1!D36,seed2!D36,seed3!D36,seed4!D36,seed5!D36),4)</f>
        <v>4.7874999999999996</v>
      </c>
      <c r="E36">
        <f>ROUND(AVERAGE(seed1!E36,seed2!E36,seed3!E36,seed4!E36,seed5!E36),4)</f>
        <v>5.3925000000000001</v>
      </c>
      <c r="F36">
        <f>ROUND(AVERAGE(seed1!F36,seed2!F36,seed3!F36,seed4!F36,seed5!F36),4)</f>
        <v>6.0671999999999997</v>
      </c>
      <c r="G36">
        <f>ROUND(AVERAGE(seed1!G36,seed2!G36,seed3!G36,seed4!G36,seed5!G36),4)</f>
        <v>5.5636000000000001</v>
      </c>
      <c r="H36">
        <f>ROUND(AVERAGE(seed1!H36,seed2!H36,seed3!H36,seed4!H36,seed5!H36),4)</f>
        <v>5.4862000000000002</v>
      </c>
      <c r="I36">
        <f>ROUND(AVERAGE(seed1!I36,seed2!I36,seed3!I36,seed4!I36,seed5!I36),4)</f>
        <v>5.9427000000000003</v>
      </c>
      <c r="L36" t="s">
        <v>26</v>
      </c>
      <c r="M36">
        <v>7.3583999999999996</v>
      </c>
      <c r="N36">
        <v>6.1898</v>
      </c>
    </row>
    <row r="37" spans="2:19">
      <c r="B37" t="s">
        <v>4</v>
      </c>
      <c r="C37">
        <f>ROUND(AVERAGE(seed1!C37,seed2!C37,seed3!C37,seed4!C37,seed5!C37),4)</f>
        <v>3.9998</v>
      </c>
      <c r="D37">
        <f>ROUND(AVERAGE(seed1!D37,seed2!D37,seed3!D37,seed4!D37,seed5!D37),4)</f>
        <v>4.7469999999999999</v>
      </c>
      <c r="E37">
        <f>ROUND(AVERAGE(seed1!E37,seed2!E37,seed3!E37,seed4!E37,seed5!E37),4)</f>
        <v>5.3564999999999996</v>
      </c>
      <c r="F37">
        <f>ROUND(AVERAGE(seed1!F37,seed2!F37,seed3!F37,seed4!F37,seed5!F37),4)</f>
        <v>6.0235000000000003</v>
      </c>
      <c r="G37">
        <f>ROUND(AVERAGE(seed1!G37,seed2!G37,seed3!G37,seed4!G37,seed5!G37),4)</f>
        <v>5.5237999999999996</v>
      </c>
      <c r="H37">
        <f>ROUND(AVERAGE(seed1!H37,seed2!H37,seed3!H37,seed4!H37,seed5!H37),4)</f>
        <v>5.4264000000000001</v>
      </c>
      <c r="I37">
        <f>ROUND(AVERAGE(seed1!I37,seed2!I37,seed3!I37,seed4!I37,seed5!I37),4)</f>
        <v>5.8472999999999997</v>
      </c>
      <c r="L37" t="s">
        <v>27</v>
      </c>
      <c r="M37">
        <v>7.4158999999999997</v>
      </c>
      <c r="N37">
        <v>6.4954999999999998</v>
      </c>
    </row>
    <row r="38" spans="2:19">
      <c r="B38" s="2" t="s">
        <v>14</v>
      </c>
      <c r="C38">
        <f>ROUND(AVERAGE(C28,C31,C34),4)</f>
        <v>2.6610999999999998</v>
      </c>
      <c r="D38">
        <f t="shared" ref="D38:I38" si="9">ROUND(AVERAGE(D28,D31,D34),4)</f>
        <v>3.2982</v>
      </c>
      <c r="E38">
        <f t="shared" si="9"/>
        <v>3.774</v>
      </c>
      <c r="F38">
        <f t="shared" si="9"/>
        <v>4.2203999999999997</v>
      </c>
      <c r="G38">
        <f t="shared" si="9"/>
        <v>3.6962999999999999</v>
      </c>
      <c r="H38">
        <f t="shared" si="9"/>
        <v>3.7883</v>
      </c>
      <c r="I38">
        <f t="shared" si="9"/>
        <v>4.1586999999999996</v>
      </c>
    </row>
    <row r="39" spans="2:19">
      <c r="B39" t="s">
        <v>15</v>
      </c>
      <c r="C39">
        <f>ROUND(AVERAGE(seed1!C39,seed2!C39,seed3!C39,seed4!C39,seed5!C39),1)</f>
        <v>73.3</v>
      </c>
      <c r="D39">
        <f>ROUND(AVERAGE(seed1!D39,seed2!D39,seed3!D39,seed4!D39,seed5!D39),1)</f>
        <v>69.3</v>
      </c>
      <c r="E39">
        <f>ROUND(AVERAGE(seed1!E39,seed2!E39,seed3!E39,seed4!E39,seed5!E39),1)</f>
        <v>72</v>
      </c>
      <c r="F39">
        <f>ROUND(AVERAGE(seed1!F39,seed2!F39,seed3!F39,seed4!F39,seed5!F39),1)</f>
        <v>72.8</v>
      </c>
      <c r="G39">
        <f>ROUND(AVERAGE(seed1!G39,seed2!G39,seed3!G39,seed4!G39,seed5!G39),1)</f>
        <v>73.8</v>
      </c>
      <c r="H39">
        <f>ROUND(AVERAGE(seed1!H39,seed2!H39,seed3!H39,seed4!H39,seed5!H39),1)</f>
        <v>70</v>
      </c>
      <c r="I39">
        <f>ROUND(AVERAGE(seed1!I39,seed2!I39,seed3!I39,seed4!I39,seed5!I39),1)</f>
        <v>71.5</v>
      </c>
    </row>
    <row r="40" spans="2:19">
      <c r="B40" t="s">
        <v>16</v>
      </c>
      <c r="C40">
        <f>ROUND(AVERAGE(seed1!C40,seed2!C40,seed3!C40,seed4!C40,seed5!C40),1)</f>
        <v>71.5</v>
      </c>
      <c r="D40">
        <f>ROUND(AVERAGE(seed1!D40,seed2!D40,seed3!D40,seed4!D40,seed5!D40),1)</f>
        <v>78</v>
      </c>
      <c r="E40">
        <f>ROUND(AVERAGE(seed1!E40,seed2!E40,seed3!E40,seed4!E40,seed5!E40),1)</f>
        <v>81.3</v>
      </c>
      <c r="F40">
        <f>ROUND(AVERAGE(seed1!F40,seed2!F40,seed3!F40,seed4!F40,seed5!F40),1)</f>
        <v>81.8</v>
      </c>
      <c r="G40">
        <f>ROUND(AVERAGE(seed1!G40,seed2!G40,seed3!G40,seed4!G40,seed5!G40),1)</f>
        <v>81.8</v>
      </c>
      <c r="H40">
        <f>ROUND(AVERAGE(seed1!H40,seed2!H40,seed3!H40,seed4!H40,seed5!H40),1)</f>
        <v>76.3</v>
      </c>
      <c r="I40">
        <f>ROUND(AVERAGE(seed1!I40,seed2!I40,seed3!I40,seed4!I40,seed5!I40),1)</f>
        <v>75.3</v>
      </c>
      <c r="O40">
        <v>7.4114000000000004</v>
      </c>
    </row>
    <row r="41" spans="2:19">
      <c r="B41" t="s">
        <v>17</v>
      </c>
      <c r="C41">
        <f>ROUND(AVERAGE(seed1!C41,seed2!C41,seed3!C41,seed4!C41,seed5!C41),1)</f>
        <v>68.5</v>
      </c>
      <c r="D41">
        <f>ROUND(AVERAGE(seed1!D41,seed2!D41,seed3!D41,seed4!D41,seed5!D41),1)</f>
        <v>77.3</v>
      </c>
      <c r="E41">
        <f>ROUND(AVERAGE(seed1!E41,seed2!E41,seed3!E41,seed4!E41,seed5!E41),1)</f>
        <v>76</v>
      </c>
      <c r="F41">
        <f>ROUND(AVERAGE(seed1!F41,seed2!F41,seed3!F41,seed4!F41,seed5!F41),1)</f>
        <v>78</v>
      </c>
      <c r="G41">
        <f>ROUND(AVERAGE(seed1!G41,seed2!G41,seed3!G41,seed4!G41,seed5!G41),1)</f>
        <v>75.8</v>
      </c>
      <c r="H41">
        <f>ROUND(AVERAGE(seed1!H41,seed2!H41,seed3!H41,seed4!H41,seed5!H41),1)</f>
        <v>73.3</v>
      </c>
      <c r="I41">
        <f>ROUND(AVERAGE(seed1!I41,seed2!I41,seed3!I41,seed4!I41,seed5!I41),1)</f>
        <v>73.5</v>
      </c>
      <c r="O41">
        <v>5.6329000000000002</v>
      </c>
    </row>
    <row r="42" spans="2:19">
      <c r="B42" t="s">
        <v>18</v>
      </c>
      <c r="C42">
        <f>SUM(C39:C41)</f>
        <v>213.3</v>
      </c>
      <c r="D42">
        <f t="shared" ref="D42" si="10">SUM(D39:D41)</f>
        <v>224.60000000000002</v>
      </c>
      <c r="E42">
        <f t="shared" ref="E42" si="11">SUM(E39:E41)</f>
        <v>229.3</v>
      </c>
      <c r="F42">
        <f t="shared" ref="F42" si="12">SUM(F39:F41)</f>
        <v>232.6</v>
      </c>
      <c r="G42">
        <f t="shared" ref="G42" si="13">SUM(G39:G41)</f>
        <v>231.39999999999998</v>
      </c>
      <c r="H42">
        <f t="shared" ref="H42" si="14">SUM(H39:H41)</f>
        <v>219.60000000000002</v>
      </c>
      <c r="I42">
        <f t="shared" ref="I42" si="15">SUM(I39:I41)</f>
        <v>220.3</v>
      </c>
    </row>
    <row r="46" spans="2:19">
      <c r="B46" t="s">
        <v>29</v>
      </c>
      <c r="L46" t="s">
        <v>30</v>
      </c>
    </row>
    <row r="47" spans="2:19">
      <c r="B47" t="s">
        <v>13</v>
      </c>
      <c r="L47" t="s">
        <v>13</v>
      </c>
    </row>
    <row r="48" spans="2:19"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M48">
        <v>1</v>
      </c>
      <c r="N48">
        <v>2</v>
      </c>
      <c r="O48">
        <v>3</v>
      </c>
      <c r="P48">
        <v>4</v>
      </c>
      <c r="Q48">
        <v>5</v>
      </c>
      <c r="R48">
        <v>6</v>
      </c>
      <c r="S48">
        <v>7</v>
      </c>
    </row>
    <row r="49" spans="2:22">
      <c r="C49" t="s">
        <v>7</v>
      </c>
      <c r="D49" t="s">
        <v>8</v>
      </c>
      <c r="E49" s="1">
        <v>0.2</v>
      </c>
      <c r="F49" s="1">
        <v>0.4</v>
      </c>
      <c r="G49" t="s">
        <v>5</v>
      </c>
      <c r="H49" t="s">
        <v>6</v>
      </c>
      <c r="I49" t="s">
        <v>10</v>
      </c>
      <c r="M49" t="s">
        <v>7</v>
      </c>
      <c r="N49" t="s">
        <v>8</v>
      </c>
      <c r="O49" s="1">
        <v>0.2</v>
      </c>
      <c r="P49" s="1">
        <v>0.4</v>
      </c>
      <c r="Q49" t="s">
        <v>5</v>
      </c>
      <c r="R49" t="s">
        <v>6</v>
      </c>
      <c r="S49" t="s">
        <v>10</v>
      </c>
    </row>
    <row r="50" spans="2:22">
      <c r="B50" s="2" t="s">
        <v>11</v>
      </c>
      <c r="C50">
        <f>ROUND(AVERAGE(seed6!C26,seed2!C26,seed3!C26,seed4!C26,seed5!C26),4)</f>
        <v>2.2702</v>
      </c>
      <c r="D50">
        <f>ROUND(AVERAGE(seed6!D26,seed2!D26,seed3!D26,seed4!D26,seed5!D26),4)</f>
        <v>3.3982999999999999</v>
      </c>
      <c r="E50">
        <f>ROUND(AVERAGE(seed6!E26,seed2!E26,seed3!E26,seed4!E26,seed5!E26),4)</f>
        <v>4.2884000000000002</v>
      </c>
      <c r="F50">
        <f>ROUND(AVERAGE(seed6!F26,seed2!F26,seed3!F26,seed4!F26,seed5!F26),4)</f>
        <v>4.1567999999999996</v>
      </c>
      <c r="G50">
        <f>ROUND(AVERAGE(seed6!G26,seed2!G26,seed3!G26,seed4!G26,seed5!G26),4)</f>
        <v>3.8102999999999998</v>
      </c>
      <c r="H50">
        <f>ROUND(AVERAGE(seed6!H26,seed2!H26,seed3!H26,seed1!H26,seed5!H26),4)</f>
        <v>3.9079999999999999</v>
      </c>
      <c r="I50">
        <f>ROUND(AVERAGE(seed6!I26,seed2!I26,seed3!I26,seed4!I26,seed5!I26),4)</f>
        <v>4.4633000000000003</v>
      </c>
      <c r="L50" s="2" t="s">
        <v>11</v>
      </c>
      <c r="M50">
        <f>ROUND(AVERAGE(seed3!C26,seed5!C26,seed6!C26),4)</f>
        <v>2.5960000000000001</v>
      </c>
      <c r="N50">
        <f>ROUND(AVERAGE(seed3!D26,seed5!D26,seed6!D26),4)</f>
        <v>3.2223000000000002</v>
      </c>
      <c r="O50">
        <f>ROUND(AVERAGE(seed3!E26,seed5!E26,seed6!E26),4)</f>
        <v>4.1150000000000002</v>
      </c>
      <c r="P50">
        <f>ROUND(AVERAGE(seed3!F26,seed5!F26,seed6!F26),4)</f>
        <v>4.2747000000000002</v>
      </c>
      <c r="Q50">
        <f>ROUND(AVERAGE(seed3!G26,seed5!G26,seed6!G26),4)</f>
        <v>3.6425999999999998</v>
      </c>
      <c r="R50">
        <f>ROUND(AVERAGE(seed3!H26,seed5!H26,seed6!H26),4)</f>
        <v>4.2995999999999999</v>
      </c>
      <c r="S50">
        <f>ROUND(AVERAGE(seed3!I26,seed5!I26,seed6!I26),4)</f>
        <v>4.6294000000000004</v>
      </c>
    </row>
    <row r="51" spans="2:22">
      <c r="B51" s="2" t="s">
        <v>12</v>
      </c>
      <c r="C51">
        <f>ROUND(AVERAGE(seed6!C27,seed2!C27,seed3!C27,seed4!C27,seed5!C27),4)</f>
        <v>2.4902000000000002</v>
      </c>
      <c r="D51">
        <f>ROUND(AVERAGE(seed6!D27,seed2!D27,seed3!D27,seed4!D27,seed5!D27),4)</f>
        <v>3.0318000000000001</v>
      </c>
      <c r="E51">
        <f>ROUND(AVERAGE(seed6!E27,seed2!E27,seed3!E27,seed4!E27,seed5!E27),4)</f>
        <v>4.0999999999999996</v>
      </c>
      <c r="F51">
        <f>ROUND(AVERAGE(seed6!F27,seed2!F27,seed3!F27,seed4!F27,seed5!F27),4)</f>
        <v>3.9550000000000001</v>
      </c>
      <c r="G51">
        <f>ROUND(AVERAGE(seed6!G27,seed2!G27,seed3!G27,seed4!G27,seed5!G27),4)</f>
        <v>3.7105999999999999</v>
      </c>
      <c r="H51">
        <f>ROUND(AVERAGE(seed6!H27,seed2!H27,seed3!H27,seed1!H27,seed5!H27),4)</f>
        <v>3.6190000000000002</v>
      </c>
      <c r="I51">
        <f>ROUND(AVERAGE(seed6!I27,seed2!I27,seed3!I27,seed4!I27,seed5!I27),4)</f>
        <v>4.5240999999999998</v>
      </c>
      <c r="L51" s="2" t="s">
        <v>12</v>
      </c>
      <c r="M51">
        <f>ROUND(AVERAGE(seed3!C27,seed5!C27,seed6!C27),4)</f>
        <v>2.7486999999999999</v>
      </c>
      <c r="N51">
        <f>ROUND(AVERAGE(seed3!D27,seed5!D27,seed6!D27),4)</f>
        <v>2.9087000000000001</v>
      </c>
      <c r="O51">
        <f>ROUND(AVERAGE(seed3!E27,seed5!E27,seed6!E27),4)</f>
        <v>4.0571000000000002</v>
      </c>
      <c r="P51">
        <f>ROUND(AVERAGE(seed3!F27,seed5!F27,seed6!F27),4)</f>
        <v>3.9302999999999999</v>
      </c>
      <c r="Q51">
        <f>ROUND(AVERAGE(seed3!G27,seed5!G27,seed6!G27),4)</f>
        <v>3.6678000000000002</v>
      </c>
      <c r="R51">
        <f>ROUND(AVERAGE(seed3!H27,seed5!H27,seed6!H27),4)</f>
        <v>4.2004000000000001</v>
      </c>
      <c r="S51">
        <f>ROUND(AVERAGE(seed3!I27,seed5!I27,seed6!I27),4)</f>
        <v>4.5464000000000002</v>
      </c>
    </row>
    <row r="52" spans="2:22">
      <c r="B52" t="s">
        <v>2</v>
      </c>
      <c r="C52">
        <f>ROUND(AVERAGE(seed6!C28,seed2!C28,seed3!C28,seed4!C28,seed5!C28),4)</f>
        <v>2.4283999999999999</v>
      </c>
      <c r="D52">
        <f>ROUND(AVERAGE(seed6!D28,seed2!D28,seed3!D28,seed4!D28,seed5!D28),4)</f>
        <v>3.0979000000000001</v>
      </c>
      <c r="E52">
        <f>ROUND(AVERAGE(seed6!E28,seed2!E28,seed3!E28,seed4!E28,seed5!E28),4)</f>
        <v>4.1391</v>
      </c>
      <c r="F52">
        <f>ROUND(AVERAGE(seed6!F28,seed2!F28,seed3!F28,seed4!F28,seed5!F28),4)</f>
        <v>4.0092999999999996</v>
      </c>
      <c r="G52">
        <f>ROUND(AVERAGE(seed6!G28,seed2!G28,seed3!G28,seed4!G28,seed5!G28),4)</f>
        <v>3.4796999999999998</v>
      </c>
      <c r="H52">
        <f>ROUND(AVERAGE(seed6!H28,seed2!H28,seed3!H28,seed1!H28,seed5!H28),4)</f>
        <v>3.6610999999999998</v>
      </c>
      <c r="I52">
        <f>ROUND(AVERAGE(seed6!I28,seed2!I28,seed3!I28,seed4!I28,seed5!I28),4)</f>
        <v>4.5175999999999998</v>
      </c>
      <c r="L52" t="s">
        <v>2</v>
      </c>
      <c r="M52">
        <f>ROUND(AVERAGE(seed3!C28,seed5!C28,seed6!C28),4)</f>
        <v>2.7048000000000001</v>
      </c>
      <c r="N52">
        <f>ROUND(AVERAGE(seed3!D28,seed5!D28,seed6!D28),4)</f>
        <v>2.9655</v>
      </c>
      <c r="O52">
        <f>ROUND(AVERAGE(seed3!E28,seed5!E28,seed6!E28),4)</f>
        <v>4.0746000000000002</v>
      </c>
      <c r="P52">
        <f>ROUND(AVERAGE(seed3!F28,seed5!F28,seed6!F28),4)</f>
        <v>4.0183</v>
      </c>
      <c r="Q52">
        <f>ROUND(AVERAGE(seed3!G28,seed5!G28,seed6!G28),4)</f>
        <v>3.3315999999999999</v>
      </c>
      <c r="R52">
        <f>ROUND(AVERAGE(seed3!H28,seed5!H28,seed6!H28),4)</f>
        <v>4.2271999999999998</v>
      </c>
      <c r="S52">
        <f>ROUND(AVERAGE(seed3!I28,seed5!I28,seed6!I28),4)</f>
        <v>4.5736999999999997</v>
      </c>
    </row>
    <row r="53" spans="2:22">
      <c r="B53" s="2" t="s">
        <v>11</v>
      </c>
      <c r="C53">
        <f>ROUND(AVERAGE(seed6!C29,seed2!C29,seed3!C29,seed4!C29,seed5!C29),4)</f>
        <v>3.9649000000000001</v>
      </c>
      <c r="D53">
        <f>ROUND(AVERAGE(seed6!D29,seed2!D29,seed3!D29,seed4!D29,seed5!D29),4)</f>
        <v>2.7498999999999998</v>
      </c>
      <c r="E53">
        <f>ROUND(AVERAGE(seed6!E29,seed2!E29,seed3!E29,seed4!E29,seed5!E29),4)</f>
        <v>3.3799000000000001</v>
      </c>
      <c r="F53">
        <f>ROUND(AVERAGE(seed6!F29,seed2!F29,seed3!F29,seed4!F29,seed5!F29),4)</f>
        <v>3.8521000000000001</v>
      </c>
      <c r="G53">
        <f>ROUND(AVERAGE(seed6!G29,seed2!G29,seed3!G29,seed4!G29,seed5!G29),4)</f>
        <v>3.5261999999999998</v>
      </c>
      <c r="H53">
        <f>ROUND(AVERAGE(seed6!H29,seed2!H29,seed3!H29,seed1!H29,seed5!H29),4)</f>
        <v>3.6292</v>
      </c>
      <c r="I53">
        <f>ROUND(AVERAGE(seed6!I29,seed2!I29,seed3!I29,seed4!I29,seed5!I29),4)</f>
        <v>4.4589999999999996</v>
      </c>
      <c r="L53" s="2" t="s">
        <v>11</v>
      </c>
      <c r="M53">
        <f>ROUND(AVERAGE(seed3!C29,seed5!C29,seed6!C29),4)</f>
        <v>4.4733000000000001</v>
      </c>
      <c r="N53">
        <f>ROUND(AVERAGE(seed3!D29,seed5!D29,seed6!D29),4)</f>
        <v>2.8079000000000001</v>
      </c>
      <c r="O53">
        <f>ROUND(AVERAGE(seed3!E29,seed5!E29,seed6!E29),4)</f>
        <v>3.5331999999999999</v>
      </c>
      <c r="P53">
        <f>ROUND(AVERAGE(seed3!F29,seed5!F29,seed6!F29),4)</f>
        <v>3.9923000000000002</v>
      </c>
      <c r="Q53">
        <f>ROUND(AVERAGE(seed3!G29,seed5!G29,seed6!G29),4)</f>
        <v>3.6433</v>
      </c>
      <c r="R53">
        <f>ROUND(AVERAGE(seed3!H29,seed5!H29,seed6!H29),4)</f>
        <v>4.3129</v>
      </c>
      <c r="S53">
        <f>ROUND(AVERAGE(seed3!I29,seed5!I29,seed6!I29),4)</f>
        <v>4.5624000000000002</v>
      </c>
    </row>
    <row r="54" spans="2:22">
      <c r="B54" s="2" t="s">
        <v>12</v>
      </c>
      <c r="C54">
        <f>ROUND(AVERAGE(seed6!C30,seed2!C30,seed3!C30,seed4!C30,seed5!C30),4)</f>
        <v>3.5710999999999999</v>
      </c>
      <c r="D54">
        <f>ROUND(AVERAGE(seed6!D30,seed2!D30,seed3!D30,seed4!D30,seed5!D30),4)</f>
        <v>2.4257</v>
      </c>
      <c r="E54">
        <f>ROUND(AVERAGE(seed6!E30,seed2!E30,seed3!E30,seed4!E30,seed5!E30),4)</f>
        <v>2.9821</v>
      </c>
      <c r="F54">
        <f>ROUND(AVERAGE(seed6!F30,seed2!F30,seed3!F30,seed4!F30,seed5!F30),4)</f>
        <v>3.5167000000000002</v>
      </c>
      <c r="G54">
        <f>ROUND(AVERAGE(seed6!G30,seed2!G30,seed3!G30,seed4!G30,seed5!G30),4)</f>
        <v>3.5244</v>
      </c>
      <c r="H54">
        <f>ROUND(AVERAGE(seed6!H30,seed2!H30,seed3!H30,seed1!H30,seed5!H30),4)</f>
        <v>3.6137999999999999</v>
      </c>
      <c r="I54">
        <f>ROUND(AVERAGE(seed6!I30,seed2!I30,seed3!I30,seed4!I30,seed5!I30),4)</f>
        <v>4.3360000000000003</v>
      </c>
      <c r="L54" s="2" t="s">
        <v>12</v>
      </c>
      <c r="M54">
        <f>ROUND(AVERAGE(seed3!C30,seed5!C30,seed6!C30),4)</f>
        <v>3.8531</v>
      </c>
      <c r="N54">
        <f>ROUND(AVERAGE(seed3!D30,seed5!D30,seed6!D30),4)</f>
        <v>2.3603000000000001</v>
      </c>
      <c r="O54">
        <f>ROUND(AVERAGE(seed3!E30,seed5!E30,seed6!E30),4)</f>
        <v>3.0223</v>
      </c>
      <c r="P54">
        <f>ROUND(AVERAGE(seed3!F30,seed5!F30,seed6!F30),4)</f>
        <v>3.4357000000000002</v>
      </c>
      <c r="Q54">
        <f>ROUND(AVERAGE(seed3!G30,seed5!G30,seed6!G30),4)</f>
        <v>3.5977999999999999</v>
      </c>
      <c r="R54">
        <f>ROUND(AVERAGE(seed3!H30,seed5!H30,seed6!H30),4)</f>
        <v>4.1609999999999996</v>
      </c>
      <c r="S54">
        <f>ROUND(AVERAGE(seed3!I30,seed5!I30,seed6!I30),4)</f>
        <v>4.3570000000000002</v>
      </c>
    </row>
    <row r="55" spans="2:22">
      <c r="B55" t="s">
        <v>3</v>
      </c>
      <c r="C55">
        <f>ROUND(AVERAGE(seed6!C31,seed2!C31,seed3!C31,seed4!C31,seed5!C31),4)</f>
        <v>3.6680000000000001</v>
      </c>
      <c r="D55">
        <f>ROUND(AVERAGE(seed6!D31,seed2!D31,seed3!D31,seed4!D31,seed5!D31),4)</f>
        <v>2.4933000000000001</v>
      </c>
      <c r="E55">
        <f>ROUND(AVERAGE(seed6!E31,seed2!E31,seed3!E31,seed4!E31,seed5!E31),4)</f>
        <v>3.0527000000000002</v>
      </c>
      <c r="F55">
        <f>ROUND(AVERAGE(seed6!F31,seed2!F31,seed3!F31,seed4!F31,seed5!F31),4)</f>
        <v>3.6006</v>
      </c>
      <c r="G55">
        <f>ROUND(AVERAGE(seed6!G31,seed2!G31,seed3!G31,seed4!G31,seed5!G31),4)</f>
        <v>3.5246</v>
      </c>
      <c r="H55">
        <f>ROUND(AVERAGE(seed6!H31,seed2!H31,seed3!H31,seed1!H31,seed5!H31),4)</f>
        <v>3.6053999999999999</v>
      </c>
      <c r="I55">
        <f>ROUND(AVERAGE(seed6!I31,seed2!I31,seed3!I31,seed4!I31,seed5!I31),4)</f>
        <v>4.3621999999999996</v>
      </c>
      <c r="L55" t="s">
        <v>3</v>
      </c>
      <c r="M55">
        <f>ROUND(AVERAGE(seed3!C31,seed5!C31,seed6!C31),4)</f>
        <v>4.0140000000000002</v>
      </c>
      <c r="N55">
        <f>ROUND(AVERAGE(seed3!D31,seed5!D31,seed6!D31),4)</f>
        <v>2.4552999999999998</v>
      </c>
      <c r="O55">
        <f>ROUND(AVERAGE(seed3!E31,seed5!E31,seed6!E31),4)</f>
        <v>3.1105</v>
      </c>
      <c r="P55">
        <f>ROUND(AVERAGE(seed3!F31,seed5!F31,seed6!F31),4)</f>
        <v>3.5838000000000001</v>
      </c>
      <c r="Q55">
        <f>ROUND(AVERAGE(seed3!G31,seed5!G31,seed6!G31),4)</f>
        <v>3.6118000000000001</v>
      </c>
      <c r="R55">
        <f>ROUND(AVERAGE(seed3!H31,seed5!H31,seed6!H31),4)</f>
        <v>4.1919000000000004</v>
      </c>
      <c r="S55">
        <f>ROUND(AVERAGE(seed3!I31,seed5!I31,seed6!I31),4)</f>
        <v>4.4050000000000002</v>
      </c>
    </row>
    <row r="56" spans="2:22">
      <c r="B56" s="2" t="s">
        <v>11</v>
      </c>
      <c r="C56">
        <f>ROUND(AVERAGE(seed6!C32,seed2!C32,seed3!C32,seed4!C32,seed5!C32),4)</f>
        <v>2.5777999999999999</v>
      </c>
      <c r="D56">
        <f>ROUND(AVERAGE(seed6!D32,seed2!D32,seed3!D32,seed4!D32,seed5!D32),4)</f>
        <v>4.7401</v>
      </c>
      <c r="E56">
        <f>ROUND(AVERAGE(seed6!E32,seed2!E32,seed3!E32,seed4!E32,seed5!E32),4)</f>
        <v>4.4457000000000004</v>
      </c>
      <c r="F56">
        <f>ROUND(AVERAGE(seed6!F32,seed2!F32,seed3!F32,seed4!F32,seed5!F32),4)</f>
        <v>4.8417000000000003</v>
      </c>
      <c r="G56">
        <f>ROUND(AVERAGE(seed6!G32,seed2!G32,seed3!G32,seed4!G32,seed5!G32),4)</f>
        <v>4.0301999999999998</v>
      </c>
      <c r="H56">
        <f>ROUND(AVERAGE(seed6!H32,seed2!H32,seed3!H32,seed1!H32,seed5!H32),4)</f>
        <v>3.9089999999999998</v>
      </c>
      <c r="I56">
        <f>ROUND(AVERAGE(seed6!I32,seed2!I32,seed3!I32,seed4!I32,seed5!I32),4)</f>
        <v>5.0296000000000003</v>
      </c>
      <c r="L56" s="2" t="s">
        <v>11</v>
      </c>
      <c r="M56">
        <f>ROUND(AVERAGE(seed3!C32,seed5!C32,seed6!C32),4)</f>
        <v>2.7988</v>
      </c>
      <c r="N56">
        <f>ROUND(AVERAGE(seed3!D32,seed5!D32,seed6!D32),4)</f>
        <v>4.8841000000000001</v>
      </c>
      <c r="O56">
        <f>ROUND(AVERAGE(seed3!E32,seed5!E32,seed6!E32),4)</f>
        <v>4.4722999999999997</v>
      </c>
      <c r="P56">
        <f>ROUND(AVERAGE(seed3!F32,seed5!F32,seed6!F32),4)</f>
        <v>4.7362000000000002</v>
      </c>
      <c r="Q56">
        <f>ROUND(AVERAGE(seed3!G32,seed5!G32,seed6!G32),4)</f>
        <v>4.1204000000000001</v>
      </c>
      <c r="R56">
        <f>ROUND(AVERAGE(seed3!H32,seed5!H32,seed6!H32),4)</f>
        <v>4.6875</v>
      </c>
      <c r="S56">
        <f>ROUND(AVERAGE(seed3!I32,seed5!I32,seed6!I32),4)</f>
        <v>5.1371000000000002</v>
      </c>
      <c r="V56">
        <f>(R61-P61)*2/(P61+R61)</f>
        <v>3.7978747047057705E-2</v>
      </c>
    </row>
    <row r="57" spans="2:22">
      <c r="B57" s="2" t="s">
        <v>12</v>
      </c>
      <c r="C57">
        <f>ROUND(AVERAGE(seed6!C33,seed2!C33,seed3!C33,seed4!C33,seed5!C33),4)</f>
        <v>2.3632</v>
      </c>
      <c r="D57">
        <f>ROUND(AVERAGE(seed6!D33,seed2!D33,seed3!D33,seed4!D33,seed5!D33),4)</f>
        <v>4.8441999999999998</v>
      </c>
      <c r="E57">
        <f>ROUND(AVERAGE(seed6!E33,seed2!E33,seed3!E33,seed4!E33,seed5!E33),4)</f>
        <v>4.8944999999999999</v>
      </c>
      <c r="F57">
        <f>ROUND(AVERAGE(seed6!F33,seed2!F33,seed3!F33,seed4!F33,seed5!F33),4)</f>
        <v>5.0994000000000002</v>
      </c>
      <c r="G57">
        <f>ROUND(AVERAGE(seed6!G33,seed2!G33,seed3!G33,seed4!G33,seed5!G33),4)</f>
        <v>4.0751999999999997</v>
      </c>
      <c r="H57">
        <f>ROUND(AVERAGE(seed6!H33,seed2!H33,seed3!H33,seed1!H33,seed5!H33),4)</f>
        <v>4.2096</v>
      </c>
      <c r="I57">
        <f>ROUND(AVERAGE(seed6!I33,seed2!I33,seed3!I33,seed4!I33,seed5!I33),4)</f>
        <v>4.9832000000000001</v>
      </c>
      <c r="L57" s="2" t="s">
        <v>12</v>
      </c>
      <c r="M57">
        <f>ROUND(AVERAGE(seed3!C33,seed5!C33,seed6!C33),4)</f>
        <v>2.5823999999999998</v>
      </c>
      <c r="N57">
        <f>ROUND(AVERAGE(seed3!D33,seed5!D33,seed6!D33),4)</f>
        <v>5.0118</v>
      </c>
      <c r="O57">
        <f>ROUND(AVERAGE(seed3!E33,seed5!E33,seed6!E33),4)</f>
        <v>5.0316000000000001</v>
      </c>
      <c r="P57">
        <f>ROUND(AVERAGE(seed3!F33,seed5!F33,seed6!F33),4)</f>
        <v>5.1265999999999998</v>
      </c>
      <c r="Q57">
        <f>ROUND(AVERAGE(seed3!G33,seed5!G33,seed6!G33),4)</f>
        <v>4.1074000000000002</v>
      </c>
      <c r="R57">
        <f>ROUND(AVERAGE(seed3!H33,seed5!H33,seed6!H33),4)</f>
        <v>4.8364000000000003</v>
      </c>
      <c r="S57">
        <f>ROUND(AVERAGE(seed3!I33,seed5!I33,seed6!I33),4)</f>
        <v>5.1101999999999999</v>
      </c>
      <c r="V57">
        <f>(S61-P61)*2/(P61+S61)</f>
        <v>8.6136849035697585E-2</v>
      </c>
    </row>
    <row r="58" spans="2:22">
      <c r="B58" t="s">
        <v>1</v>
      </c>
      <c r="C58">
        <f>ROUND(AVERAGE(seed6!C34,seed2!C34,seed3!C34,seed4!C34,seed5!C34),4)</f>
        <v>2.3948999999999998</v>
      </c>
      <c r="D58">
        <f>ROUND(AVERAGE(seed6!D34,seed2!D34,seed3!D34,seed4!D34,seed5!D34),4)</f>
        <v>4.8022</v>
      </c>
      <c r="E58">
        <f>ROUND(AVERAGE(seed6!E34,seed2!E34,seed3!E34,seed4!E34,seed5!E34),4)</f>
        <v>4.7752999999999997</v>
      </c>
      <c r="F58">
        <f>ROUND(AVERAGE(seed6!F34,seed2!F34,seed3!F34,seed4!F34,seed5!F34),4)</f>
        <v>4.9781000000000004</v>
      </c>
      <c r="G58">
        <f>ROUND(AVERAGE(seed6!G34,seed2!G34,seed3!G34,seed4!G34,seed5!G34),4)</f>
        <v>4.0674999999999999</v>
      </c>
      <c r="H58">
        <f>ROUND(AVERAGE(seed6!H34,seed2!H34,seed3!H34,seed1!H34,seed5!H34),4)</f>
        <v>4.1407999999999996</v>
      </c>
      <c r="I58">
        <f>ROUND(AVERAGE(seed6!I34,seed2!I34,seed3!I34,seed4!I34,seed5!I34),4)</f>
        <v>4.9989999999999997</v>
      </c>
      <c r="L58" t="s">
        <v>1</v>
      </c>
      <c r="M58">
        <f>ROUND(AVERAGE(seed3!C34,seed5!C34,seed6!C34),4)</f>
        <v>2.6084000000000001</v>
      </c>
      <c r="N58">
        <f>ROUND(AVERAGE(seed3!D34,seed5!D34,seed6!D34),4)</f>
        <v>4.9588999999999999</v>
      </c>
      <c r="O58">
        <f>ROUND(AVERAGE(seed3!E34,seed5!E34,seed6!E34),4)</f>
        <v>4.8834999999999997</v>
      </c>
      <c r="P58">
        <f>ROUND(AVERAGE(seed3!F34,seed5!F34,seed6!F34),4)</f>
        <v>4.9524999999999997</v>
      </c>
      <c r="Q58">
        <f>ROUND(AVERAGE(seed3!G34,seed5!G34,seed6!G34),4)</f>
        <v>4.1177000000000001</v>
      </c>
      <c r="R58">
        <f>ROUND(AVERAGE(seed3!H34,seed5!H34,seed6!H34),4)</f>
        <v>4.7926000000000002</v>
      </c>
      <c r="S58">
        <f>ROUND(AVERAGE(seed3!I34,seed5!I34,seed6!I34),4)</f>
        <v>5.1220999999999997</v>
      </c>
    </row>
    <row r="59" spans="2:22">
      <c r="B59" s="2" t="s">
        <v>11</v>
      </c>
      <c r="C59">
        <f>ROUND(AVERAGE(seed6!C35,seed2!C35,seed3!C35,seed4!C35,seed5!C35),4)</f>
        <v>4.2436999999999996</v>
      </c>
      <c r="D59">
        <f>ROUND(AVERAGE(seed6!D35,seed2!D35,seed3!D35,seed4!D35,seed5!D35),4)</f>
        <v>4.8898999999999999</v>
      </c>
      <c r="E59">
        <f>ROUND(AVERAGE(seed6!E35,seed2!E35,seed3!E35,seed4!E35,seed5!E35),4)</f>
        <v>5.4866999999999999</v>
      </c>
      <c r="F59">
        <f>ROUND(AVERAGE(seed6!F35,seed2!F35,seed3!F35,seed4!F35,seed5!F35),4)</f>
        <v>5.8982000000000001</v>
      </c>
      <c r="G59">
        <f>ROUND(AVERAGE(seed6!G35,seed2!G35,seed3!G35,seed4!G35,seed5!G35),4)</f>
        <v>5.3417000000000003</v>
      </c>
      <c r="H59">
        <f>ROUND(AVERAGE(seed6!H35,seed2!H35,seed3!H35,seed1!H35,seed5!H35),4)</f>
        <v>5.2908999999999997</v>
      </c>
      <c r="I59">
        <f>ROUND(AVERAGE(seed6!I35,seed2!I35,seed3!I35,seed4!I35,seed5!I35),4)</f>
        <v>6.2995999999999999</v>
      </c>
      <c r="L59" s="2" t="s">
        <v>11</v>
      </c>
      <c r="M59">
        <f>ROUND(AVERAGE(seed3!C35,seed5!C35,seed6!C35),4)</f>
        <v>4.6406000000000001</v>
      </c>
      <c r="N59">
        <f>ROUND(AVERAGE(seed3!D35,seed5!D35,seed6!D35),4)</f>
        <v>4.8808999999999996</v>
      </c>
      <c r="O59">
        <f>ROUND(AVERAGE(seed3!E35,seed5!E35,seed6!E35),4)</f>
        <v>5.5315000000000003</v>
      </c>
      <c r="P59">
        <f>ROUND(AVERAGE(seed3!F35,seed5!F35,seed6!F35),4)</f>
        <v>5.9790000000000001</v>
      </c>
      <c r="Q59">
        <f>ROUND(AVERAGE(seed3!G35,seed5!G35,seed6!G35),4)</f>
        <v>5.3864000000000001</v>
      </c>
      <c r="R59">
        <f>ROUND(AVERAGE(seed3!H35,seed5!H35,seed6!H35),4)</f>
        <v>6.0523999999999996</v>
      </c>
      <c r="S59">
        <f>ROUND(AVERAGE(seed3!I35,seed5!I35,seed6!I35),4)</f>
        <v>6.4172000000000002</v>
      </c>
    </row>
    <row r="60" spans="2:22">
      <c r="B60" s="2" t="s">
        <v>12</v>
      </c>
      <c r="C60">
        <f>ROUND(AVERAGE(seed6!C36,seed2!C36,seed3!C36,seed4!C36,seed5!C36),4)</f>
        <v>4.2614999999999998</v>
      </c>
      <c r="D60">
        <f>ROUND(AVERAGE(seed6!D36,seed2!D36,seed3!D36,seed4!D36,seed5!D36),4)</f>
        <v>4.8981000000000003</v>
      </c>
      <c r="E60">
        <f>ROUND(AVERAGE(seed6!E36,seed2!E36,seed3!E36,seed4!E36,seed5!E36),4)</f>
        <v>5.6361999999999997</v>
      </c>
      <c r="F60">
        <f>ROUND(AVERAGE(seed6!F36,seed2!F36,seed3!F36,seed4!F36,seed5!F36),4)</f>
        <v>5.9762000000000004</v>
      </c>
      <c r="G60">
        <f>ROUND(AVERAGE(seed6!G36,seed2!G36,seed3!G36,seed4!G36,seed5!G36),4)</f>
        <v>5.5433000000000003</v>
      </c>
      <c r="H60">
        <f>ROUND(AVERAGE(seed6!H36,seed2!H36,seed3!H36,seed1!H36,seed5!H36),4)</f>
        <v>5.5118999999999998</v>
      </c>
      <c r="I60">
        <f>ROUND(AVERAGE(seed6!I36,seed2!I36,seed3!I36,seed4!I36,seed5!I36),4)</f>
        <v>6.4880000000000004</v>
      </c>
      <c r="L60" s="2" t="s">
        <v>12</v>
      </c>
      <c r="M60">
        <f>ROUND(AVERAGE(seed3!C36,seed5!C36,seed6!C36),4)</f>
        <v>4.5883000000000003</v>
      </c>
      <c r="N60">
        <f>ROUND(AVERAGE(seed3!D36,seed5!D36,seed6!D36),4)</f>
        <v>4.835</v>
      </c>
      <c r="O60">
        <f>ROUND(AVERAGE(seed3!E36,seed5!E36,seed6!E36),4)</f>
        <v>5.6764999999999999</v>
      </c>
      <c r="P60">
        <f>ROUND(AVERAGE(seed3!F36,seed5!F36,seed6!F36),4)</f>
        <v>5.9513999999999996</v>
      </c>
      <c r="Q60">
        <f>ROUND(AVERAGE(seed3!G36,seed5!G36,seed6!G36),4)</f>
        <v>5.5496999999999996</v>
      </c>
      <c r="R60">
        <f>ROUND(AVERAGE(seed3!H36,seed5!H36,seed6!H36),4)</f>
        <v>6.2441000000000004</v>
      </c>
      <c r="S60">
        <f>ROUND(AVERAGE(seed3!I36,seed5!I36,seed6!I36),4)</f>
        <v>6.5265000000000004</v>
      </c>
      <c r="V60">
        <f>(S61-R61)*2/(R61+S61)</f>
        <v>4.819751996405286E-2</v>
      </c>
    </row>
    <row r="61" spans="2:22">
      <c r="B61" t="s">
        <v>4</v>
      </c>
      <c r="C61">
        <f>ROUND(AVERAGE(seed6!C37,seed2!C37,seed3!C37,seed4!C37,seed5!C37),4)</f>
        <v>4.2554999999999996</v>
      </c>
      <c r="D61">
        <f>ROUND(AVERAGE(seed6!D37,seed2!D37,seed3!D37,seed4!D37,seed5!D37),4)</f>
        <v>4.8917999999999999</v>
      </c>
      <c r="E61">
        <f>ROUND(AVERAGE(seed6!E37,seed2!E37,seed3!E37,seed4!E37,seed5!E37),4)</f>
        <v>5.5926</v>
      </c>
      <c r="F61">
        <f>ROUND(AVERAGE(seed6!F37,seed2!F37,seed3!F37,seed4!F37,seed5!F37),4)</f>
        <v>5.9547999999999996</v>
      </c>
      <c r="G61">
        <f>ROUND(AVERAGE(seed6!G37,seed2!G37,seed3!G37,seed4!G37,seed5!G37),4)</f>
        <v>5.4889000000000001</v>
      </c>
      <c r="H61">
        <f>ROUND(AVERAGE(seed6!H37,seed2!H37,seed3!H37,seed1!H37,seed5!H37),4)</f>
        <v>5.4560000000000004</v>
      </c>
      <c r="I61">
        <f>ROUND(AVERAGE(seed6!I37,seed2!I37,seed3!I37,seed4!I37,seed5!I37),4)</f>
        <v>6.4356</v>
      </c>
      <c r="L61" t="s">
        <v>4</v>
      </c>
      <c r="M61">
        <f>ROUND(AVERAGE(seed3!C37,seed5!C37,seed6!C37),4)</f>
        <v>4.6017000000000001</v>
      </c>
      <c r="N61">
        <f>ROUND(AVERAGE(seed3!D37,seed5!D37,seed6!D37),4)</f>
        <v>4.8418999999999999</v>
      </c>
      <c r="O61">
        <f>ROUND(AVERAGE(seed3!E37,seed5!E37,seed6!E37),4)</f>
        <v>5.6329000000000002</v>
      </c>
      <c r="P61">
        <f>ROUND(AVERAGE(seed3!F37,seed5!F37,seed6!F37),4)</f>
        <v>5.9591000000000003</v>
      </c>
      <c r="Q61">
        <f>ROUND(AVERAGE(seed3!G37,seed5!G37,seed6!G37),4)</f>
        <v>5.5057999999999998</v>
      </c>
      <c r="R61">
        <f>ROUND(AVERAGE(seed3!H37,seed5!H37,seed6!H37),4)</f>
        <v>6.1898</v>
      </c>
      <c r="S61">
        <f>ROUND(AVERAGE(seed3!I37,seed5!I37,seed6!I37),4)</f>
        <v>6.4954999999999998</v>
      </c>
    </row>
    <row r="62" spans="2:22">
      <c r="B62" s="2" t="s">
        <v>14</v>
      </c>
      <c r="C62">
        <f>ROUND(AVERAGE(C52,C55,C58),4)</f>
        <v>2.8304</v>
      </c>
      <c r="D62">
        <f t="shared" ref="D62:I62" si="16">ROUND(AVERAGE(D52,D55,D58),4)</f>
        <v>3.4645000000000001</v>
      </c>
      <c r="E62">
        <f t="shared" si="16"/>
        <v>3.9889999999999999</v>
      </c>
      <c r="F62">
        <f t="shared" si="16"/>
        <v>4.1959999999999997</v>
      </c>
      <c r="G62">
        <f t="shared" si="16"/>
        <v>3.6905999999999999</v>
      </c>
      <c r="H62">
        <f t="shared" si="16"/>
        <v>3.8024</v>
      </c>
      <c r="I62">
        <f t="shared" si="16"/>
        <v>4.6262999999999996</v>
      </c>
      <c r="L62" s="2" t="s">
        <v>14</v>
      </c>
      <c r="M62">
        <f>ROUND(AVERAGE(M52,M55,M58),4)</f>
        <v>3.1091000000000002</v>
      </c>
      <c r="N62">
        <f t="shared" ref="N62:S62" si="17">ROUND(AVERAGE(N52,N55,N58),4)</f>
        <v>3.4599000000000002</v>
      </c>
      <c r="O62">
        <f t="shared" si="17"/>
        <v>4.0228999999999999</v>
      </c>
      <c r="P62">
        <f t="shared" si="17"/>
        <v>4.1848999999999998</v>
      </c>
      <c r="Q62">
        <f t="shared" si="17"/>
        <v>3.6869999999999998</v>
      </c>
      <c r="R62">
        <f t="shared" si="17"/>
        <v>4.4039000000000001</v>
      </c>
      <c r="S62">
        <f t="shared" si="17"/>
        <v>4.7003000000000004</v>
      </c>
    </row>
    <row r="63" spans="2:22">
      <c r="B63" t="s">
        <v>15</v>
      </c>
      <c r="C63">
        <f>ROUND(AVERAGE(seed6!C39,seed2!C39,seed3!C39,seed4!C39,seed5!C39),1)</f>
        <v>73.8</v>
      </c>
      <c r="D63">
        <f>ROUND(AVERAGE(seed6!D39,seed2!D39,seed3!D39,seed4!D39,seed5!D39),1)</f>
        <v>70</v>
      </c>
      <c r="E63">
        <f>ROUND(AVERAGE(seed6!E39,seed2!E39,seed3!E39,seed4!E39,seed5!E39),1)</f>
        <v>72.5</v>
      </c>
      <c r="F63">
        <f>ROUND(AVERAGE(seed6!F39,seed2!F39,seed3!F39,seed4!F39,seed5!F39),1)</f>
        <v>71.8</v>
      </c>
      <c r="G63">
        <f>ROUND(AVERAGE(seed6!G39,seed2!G39,seed3!G39,seed4!G39,seed5!G39),1)</f>
        <v>74.3</v>
      </c>
      <c r="H63">
        <f>ROUND(AVERAGE(seed6!H39,seed2!H39,seed3!H39,seed1!H39,seed5!H39),1)</f>
        <v>71.400000000000006</v>
      </c>
      <c r="I63">
        <f>ROUND(AVERAGE(seed6!I39,seed2!I39,seed3!I39,seed4!I39,seed5!I39),1)</f>
        <v>74.8</v>
      </c>
      <c r="L63" t="s">
        <v>15</v>
      </c>
      <c r="M63">
        <f>ROUND(AVERAGE(seed3!C39,seed5!C39,seed6!C39),1)</f>
        <v>72.3</v>
      </c>
      <c r="N63">
        <f>ROUND(AVERAGE(seed3!D39,seed5!D39,seed6!D39),1)</f>
        <v>67.3</v>
      </c>
      <c r="O63">
        <f>ROUND(AVERAGE(seed3!E39,seed5!E39,seed6!E39),1)</f>
        <v>70</v>
      </c>
      <c r="P63">
        <f>ROUND(AVERAGE(seed3!F39,seed5!F39,seed6!F39),1)</f>
        <v>69</v>
      </c>
      <c r="Q63">
        <f>ROUND(AVERAGE(seed3!G39,seed5!G39,seed6!G39),1)</f>
        <v>71.7</v>
      </c>
      <c r="R63">
        <f>ROUND(AVERAGE(seed3!H39,seed5!H39,seed6!H39),1)</f>
        <v>73.3</v>
      </c>
      <c r="S63">
        <f>ROUND(AVERAGE(seed3!I39,seed5!I39,seed6!I39),1)</f>
        <v>72.7</v>
      </c>
    </row>
    <row r="64" spans="2:22">
      <c r="B64" t="s">
        <v>16</v>
      </c>
      <c r="C64">
        <f>ROUND(AVERAGE(seed6!C40,seed2!C40,seed3!C40,seed4!C40,seed5!C40),1)</f>
        <v>72.8</v>
      </c>
      <c r="D64">
        <f>ROUND(AVERAGE(seed6!D40,seed2!D40,seed3!D40,seed4!D40,seed5!D40),1)</f>
        <v>77</v>
      </c>
      <c r="E64">
        <f>ROUND(AVERAGE(seed6!E40,seed2!E40,seed3!E40,seed4!E40,seed5!E40),1)</f>
        <v>81</v>
      </c>
      <c r="F64">
        <f>ROUND(AVERAGE(seed6!F40,seed2!F40,seed3!F40,seed4!F40,seed5!F40),1)</f>
        <v>80</v>
      </c>
      <c r="G64">
        <f>ROUND(AVERAGE(seed6!G40,seed2!G40,seed3!G40,seed4!G40,seed5!G40),1)</f>
        <v>80.8</v>
      </c>
      <c r="H64">
        <f>ROUND(AVERAGE(seed6!H40,seed2!H40,seed3!H40,seed1!H40,seed5!H40),1)</f>
        <v>77</v>
      </c>
      <c r="I64">
        <f>ROUND(AVERAGE(seed6!I40,seed2!I40,seed3!I40,seed4!I40,seed5!I40),1)</f>
        <v>81.8</v>
      </c>
      <c r="L64" t="s">
        <v>16</v>
      </c>
      <c r="M64">
        <f>ROUND(AVERAGE(seed3!C40,seed5!C40,seed6!C40),1)</f>
        <v>76.7</v>
      </c>
      <c r="N64">
        <f>ROUND(AVERAGE(seed3!D40,seed5!D40,seed6!D40),1)</f>
        <v>79.3</v>
      </c>
      <c r="O64">
        <f>ROUND(AVERAGE(seed3!E40,seed5!E40,seed6!E40),1)</f>
        <v>83.7</v>
      </c>
      <c r="P64">
        <f>ROUND(AVERAGE(seed3!F40,seed5!F40,seed6!F40),1)</f>
        <v>82.3</v>
      </c>
      <c r="Q64">
        <f>ROUND(AVERAGE(seed3!G40,seed5!G40,seed6!G40),1)</f>
        <v>83.7</v>
      </c>
      <c r="R64">
        <f>ROUND(AVERAGE(seed3!H40,seed5!H40,seed6!H40),1)</f>
        <v>86</v>
      </c>
      <c r="S64">
        <f>ROUND(AVERAGE(seed3!I40,seed5!I40,seed6!I40),1)</f>
        <v>85</v>
      </c>
    </row>
    <row r="65" spans="2:19">
      <c r="B65" t="s">
        <v>17</v>
      </c>
      <c r="C65">
        <f>ROUND(AVERAGE(seed6!C41,seed2!C41,seed3!C41,seed4!C41,seed5!C41),1)</f>
        <v>68.3</v>
      </c>
      <c r="D65">
        <f>ROUND(AVERAGE(seed6!D41,seed2!D41,seed3!D41,seed4!D41,seed5!D41),1)</f>
        <v>75.8</v>
      </c>
      <c r="E65">
        <f>ROUND(AVERAGE(seed6!E41,seed2!E41,seed3!E41,seed4!E41,seed5!E41),1)</f>
        <v>75</v>
      </c>
      <c r="F65">
        <f>ROUND(AVERAGE(seed6!F41,seed2!F41,seed3!F41,seed4!F41,seed5!F41),1)</f>
        <v>76.5</v>
      </c>
      <c r="G65">
        <f>ROUND(AVERAGE(seed6!G41,seed2!G41,seed3!G41,seed4!G41,seed5!G41),1)</f>
        <v>73.8</v>
      </c>
      <c r="H65">
        <f>ROUND(AVERAGE(seed6!H41,seed2!H41,seed3!H41,seed1!H41,seed5!H41),1)</f>
        <v>73.2</v>
      </c>
      <c r="I65">
        <f>ROUND(AVERAGE(seed6!I41,seed2!I41,seed3!I41,seed4!I41,seed5!I41),1)</f>
        <v>74.8</v>
      </c>
      <c r="L65" t="s">
        <v>17</v>
      </c>
      <c r="M65">
        <f>ROUND(AVERAGE(seed3!C41,seed5!C41,seed6!C41),1)</f>
        <v>69.7</v>
      </c>
      <c r="N65">
        <f>ROUND(AVERAGE(seed3!D41,seed5!D41,seed6!D41),1)</f>
        <v>75.7</v>
      </c>
      <c r="O65">
        <f>ROUND(AVERAGE(seed3!E41,seed5!E41,seed6!E41),1)</f>
        <v>74.7</v>
      </c>
      <c r="P65">
        <f>ROUND(AVERAGE(seed3!F41,seed5!F41,seed6!F41),1)</f>
        <v>76.7</v>
      </c>
      <c r="Q65">
        <f>ROUND(AVERAGE(seed3!G41,seed5!G41,seed6!G41),1)</f>
        <v>73</v>
      </c>
      <c r="R65">
        <f>ROUND(AVERAGE(seed3!H41,seed5!H41,seed6!H41),1)</f>
        <v>75.7</v>
      </c>
      <c r="S65">
        <f>ROUND(AVERAGE(seed3!I41,seed5!I41,seed6!I41),1)</f>
        <v>74.7</v>
      </c>
    </row>
    <row r="66" spans="2:19">
      <c r="B66" t="s">
        <v>18</v>
      </c>
      <c r="C66">
        <f>SUM(C63:C65)</f>
        <v>214.89999999999998</v>
      </c>
      <c r="D66">
        <f t="shared" ref="D66:I66" si="18">SUM(D63:D65)</f>
        <v>222.8</v>
      </c>
      <c r="E66">
        <f t="shared" si="18"/>
        <v>228.5</v>
      </c>
      <c r="F66">
        <f t="shared" si="18"/>
        <v>228.3</v>
      </c>
      <c r="G66">
        <f t="shared" si="18"/>
        <v>228.89999999999998</v>
      </c>
      <c r="H66">
        <f t="shared" si="18"/>
        <v>221.60000000000002</v>
      </c>
      <c r="I66">
        <f t="shared" si="18"/>
        <v>231.39999999999998</v>
      </c>
      <c r="L66" t="s">
        <v>18</v>
      </c>
      <c r="M66">
        <f>SUM(M63:M65)</f>
        <v>218.7</v>
      </c>
      <c r="N66">
        <f t="shared" ref="N66" si="19">SUM(N63:N65)</f>
        <v>222.3</v>
      </c>
      <c r="O66">
        <f t="shared" ref="O66" si="20">SUM(O63:O65)</f>
        <v>228.39999999999998</v>
      </c>
      <c r="P66">
        <f t="shared" ref="P66" si="21">SUM(P63:P65)</f>
        <v>228</v>
      </c>
      <c r="Q66">
        <f t="shared" ref="Q66" si="22">SUM(Q63:Q65)</f>
        <v>228.4</v>
      </c>
      <c r="R66">
        <f t="shared" ref="R66" si="23">SUM(R63:R65)</f>
        <v>235</v>
      </c>
      <c r="S66">
        <f t="shared" ref="S66" si="24">SUM(S63:S65)</f>
        <v>232.39999999999998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seed1</vt:lpstr>
      <vt:lpstr>seed2</vt:lpstr>
      <vt:lpstr>seed3</vt:lpstr>
      <vt:lpstr>seed4</vt:lpstr>
      <vt:lpstr>seed5</vt:lpstr>
      <vt:lpstr>seed6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2026-02-05T06:01:35Z</dcterms:modified>
</cp:coreProperties>
</file>