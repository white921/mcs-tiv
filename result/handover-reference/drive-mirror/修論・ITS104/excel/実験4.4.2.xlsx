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B15F687A-8269-6F41-B46A-0E73CFAE4925}" xr6:coauthVersionLast="47" xr6:coauthVersionMax="47" xr10:uidLastSave="{00000000-0000-0000-0000-000000000000}"/>
  <bookViews>
    <workbookView xWindow="2100" yWindow="238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7" sheetId="5" r:id="rId4"/>
    <sheet name="seed11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Q15" i="2"/>
  <c r="P15" i="2"/>
  <c r="O15" i="2"/>
  <c r="N15" i="2"/>
  <c r="M15" i="2"/>
  <c r="L15" i="2"/>
  <c r="R14" i="2"/>
  <c r="Q14" i="2"/>
  <c r="P14" i="2"/>
  <c r="O14" i="2"/>
  <c r="N14" i="2"/>
  <c r="M14" i="2"/>
  <c r="L14" i="2"/>
  <c r="R13" i="2"/>
  <c r="Q13" i="2"/>
  <c r="P13" i="2"/>
  <c r="O13" i="2"/>
  <c r="N13" i="2"/>
  <c r="M13" i="2"/>
  <c r="L13" i="2"/>
  <c r="R12" i="2"/>
  <c r="Q12" i="2"/>
  <c r="P12" i="2"/>
  <c r="O12" i="2"/>
  <c r="N12" i="2"/>
  <c r="M12" i="2"/>
  <c r="L12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Q7" i="2"/>
  <c r="P7" i="2"/>
  <c r="O7" i="2"/>
  <c r="N7" i="2"/>
  <c r="M7" i="2"/>
  <c r="L7" i="2"/>
  <c r="R6" i="2"/>
  <c r="Q6" i="2"/>
  <c r="P6" i="2"/>
  <c r="O6" i="2"/>
  <c r="N6" i="2"/>
  <c r="M6" i="2"/>
  <c r="L6" i="2"/>
  <c r="R5" i="2"/>
  <c r="Q5" i="2"/>
  <c r="P5" i="2"/>
  <c r="O5" i="2"/>
  <c r="N5" i="2"/>
  <c r="M5" i="2"/>
  <c r="L5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I25" i="2"/>
  <c r="H25" i="2"/>
  <c r="G25" i="2"/>
  <c r="F25" i="2"/>
  <c r="E25" i="2"/>
  <c r="D25" i="2"/>
  <c r="C25" i="2"/>
  <c r="I24" i="2"/>
  <c r="H24" i="2"/>
  <c r="G24" i="2"/>
  <c r="F24" i="2"/>
  <c r="E24" i="2"/>
  <c r="D24" i="2"/>
  <c r="C24" i="2"/>
  <c r="I23" i="2"/>
  <c r="H23" i="2"/>
  <c r="G23" i="2"/>
  <c r="F23" i="2"/>
  <c r="E23" i="2"/>
  <c r="D23" i="2"/>
  <c r="C23" i="2"/>
  <c r="I22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9" i="2"/>
  <c r="E9" i="2"/>
  <c r="F9" i="2"/>
  <c r="G9" i="2"/>
  <c r="H9" i="2"/>
  <c r="I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14" i="2"/>
  <c r="E14" i="2"/>
  <c r="F14" i="2"/>
  <c r="G14" i="2"/>
  <c r="H14" i="2"/>
  <c r="I14" i="2"/>
  <c r="D15" i="2"/>
  <c r="E15" i="2"/>
  <c r="F15" i="2"/>
  <c r="G15" i="2"/>
  <c r="H15" i="2"/>
  <c r="I15" i="2"/>
  <c r="C15" i="2"/>
  <c r="C14" i="2"/>
  <c r="C6" i="2"/>
  <c r="C7" i="2"/>
  <c r="C8" i="2"/>
  <c r="C9" i="2"/>
  <c r="C10" i="2"/>
  <c r="C11" i="2"/>
  <c r="C12" i="2"/>
  <c r="C13" i="2"/>
  <c r="C5" i="2"/>
</calcChain>
</file>

<file path=xl/sharedStrings.xml><?xml version="1.0" encoding="utf-8"?>
<sst xmlns="http://schemas.openxmlformats.org/spreadsheetml/2006/main" count="306" uniqueCount="15">
  <si>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</si>
  <si>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</si>
  <si>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</si>
  <si>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</si>
  <si>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性能込み</t>
    <rPh sb="0" eb="2">
      <t>セイノウ</t>
    </rPh>
    <rPh sb="2" eb="3">
      <t>コミ</t>
    </rPh>
    <phoneticPr fontId="1"/>
  </si>
  <si>
    <t>全体</t>
    <rPh sb="0" eb="2">
      <t>ゼンタイ</t>
    </rPh>
    <phoneticPr fontId="1"/>
  </si>
  <si>
    <t>希望車両</t>
    <rPh sb="0" eb="4">
      <t>キボウ</t>
    </rPh>
    <phoneticPr fontId="1"/>
  </si>
  <si>
    <t>受入れ車両</t>
    <rPh sb="0" eb="2">
      <t>ウケイレ</t>
    </rPh>
    <phoneticPr fontId="1"/>
  </si>
  <si>
    <t>通過_希望</t>
    <rPh sb="0" eb="2">
      <t>ツウカ</t>
    </rPh>
    <rPh sb="3" eb="5">
      <t>キボウ</t>
    </rPh>
    <phoneticPr fontId="1"/>
  </si>
  <si>
    <t>通過_受入れ</t>
    <rPh sb="0" eb="1">
      <t>ツウカ</t>
    </rPh>
    <rPh sb="3" eb="5">
      <t>ウケイレ</t>
    </rPh>
    <phoneticPr fontId="1"/>
  </si>
  <si>
    <t>1000/1000</t>
    <phoneticPr fontId="1"/>
  </si>
  <si>
    <t>800/1200</t>
    <phoneticPr fontId="1"/>
  </si>
  <si>
    <t>1200/800</t>
    <phoneticPr fontId="1"/>
  </si>
  <si>
    <t>（Bus）</t>
    <phoneticPr fontId="1"/>
  </si>
  <si>
    <t>（Car）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</si>
</sst>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R31"/>
  <sheetViews>
    <sheetView topLeftCell="A5" workbookViewId="0">
      <selection activeCell="I16" sqref="I16"/>
    </sheetView>
  </sheetViews>
  <sheetFormatPr baseColWidth="10" defaultRowHeight="20"/>
  <sheetData>
    <row r="2" spans="2:18">
      <c r="B2" t="s">
        <v>10</v>
      </c>
      <c r="K2" t="s">
        <v>12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18">
      <c r="B5" t="s">
        <v>13</v>
      </c>
      <c r="C5">
        <v>4.0418000000000003</v>
      </c>
      <c r="D5">
        <v>3.2288999999999999</v>
      </c>
      <c r="E5">
        <v>3.3896000000000002</v>
      </c>
      <c r="F5">
        <v>3.6204000000000001</v>
      </c>
      <c r="G5">
        <v>4.4013</v>
      </c>
      <c r="H5">
        <v>4.4730999999999996</v>
      </c>
      <c r="I5">
        <v>4.0031999999999996</v>
      </c>
      <c r="K5" t="s">
        <v>13</v>
      </c>
      <c r="N5" s="1"/>
      <c r="O5" s="1"/>
    </row>
    <row r="6" spans="2:18">
      <c r="B6" t="s">
        <v>14</v>
      </c>
      <c r="C6">
        <v>4.3383000000000003</v>
      </c>
      <c r="D6">
        <v>3.6627999999999998</v>
      </c>
      <c r="E6">
        <v>3.7978999999999998</v>
      </c>
      <c r="F6">
        <v>3.9811000000000001</v>
      </c>
      <c r="G6">
        <v>4.6111000000000004</v>
      </c>
      <c r="H6">
        <v>4.7891000000000004</v>
      </c>
      <c r="I6">
        <v>4.3274999999999997</v>
      </c>
      <c r="K6" t="s">
        <v>14</v>
      </c>
      <c r="N6" s="1"/>
      <c r="O6" s="1"/>
    </row>
    <row r="7" spans="2:18">
      <c r="B7" t="s">
        <v>5</v>
      </c>
      <c r="C7">
        <v>4.2594000000000003</v>
      </c>
      <c r="D7">
        <v>3.5449999999999999</v>
      </c>
      <c r="E7">
        <v>3.6877</v>
      </c>
      <c r="F7">
        <v>3.8852000000000002</v>
      </c>
      <c r="G7">
        <v>4.5561999999999996</v>
      </c>
      <c r="H7">
        <v>4.7042999999999999</v>
      </c>
      <c r="I7">
        <v>4.2407000000000004</v>
      </c>
      <c r="K7" t="s">
        <v>5</v>
      </c>
    </row>
    <row r="8" spans="2:18">
      <c r="B8" t="s">
        <v>13</v>
      </c>
      <c r="C8">
        <v>2.2113999999999998</v>
      </c>
      <c r="D8">
        <v>0.51770000000000005</v>
      </c>
      <c r="E8">
        <v>0.69520000000000004</v>
      </c>
      <c r="F8">
        <v>0.98109999999999997</v>
      </c>
      <c r="G8">
        <v>2.4965000000000002</v>
      </c>
      <c r="H8">
        <v>2.4672999999999998</v>
      </c>
      <c r="I8">
        <v>1.9294</v>
      </c>
      <c r="K8" t="s">
        <v>13</v>
      </c>
    </row>
    <row r="9" spans="2:18">
      <c r="B9" t="s">
        <v>14</v>
      </c>
      <c r="C9">
        <v>2.5053000000000001</v>
      </c>
      <c r="D9">
        <v>0.82230000000000003</v>
      </c>
      <c r="E9">
        <v>0.97699999999999998</v>
      </c>
      <c r="F9">
        <v>1.2876000000000001</v>
      </c>
      <c r="G9">
        <v>2.6566000000000001</v>
      </c>
      <c r="H9">
        <v>2.7502</v>
      </c>
      <c r="I9">
        <v>2.1779999999999999</v>
      </c>
      <c r="K9" t="s">
        <v>14</v>
      </c>
    </row>
    <row r="10" spans="2:18">
      <c r="B10" t="s">
        <v>6</v>
      </c>
      <c r="C10">
        <v>2.4266000000000001</v>
      </c>
      <c r="D10">
        <v>0.73980000000000001</v>
      </c>
      <c r="E10">
        <v>0.90129999999999999</v>
      </c>
      <c r="F10">
        <v>1.2068000000000001</v>
      </c>
      <c r="G10">
        <v>2.6154999999999999</v>
      </c>
      <c r="H10">
        <v>2.6739999999999999</v>
      </c>
      <c r="I10">
        <v>2.1122000000000001</v>
      </c>
      <c r="K10" t="s">
        <v>6</v>
      </c>
    </row>
    <row r="11" spans="2:18">
      <c r="B11" t="s">
        <v>13</v>
      </c>
      <c r="C11">
        <v>7.1932999999999998</v>
      </c>
      <c r="D11">
        <v>10.281599999999999</v>
      </c>
      <c r="E11">
        <v>10.169600000000001</v>
      </c>
      <c r="F11">
        <v>9.7746999999999993</v>
      </c>
      <c r="G11">
        <v>7.6365999999999996</v>
      </c>
      <c r="H11">
        <v>8.3890999999999991</v>
      </c>
      <c r="I11">
        <v>7.7020999999999997</v>
      </c>
      <c r="K11" t="s">
        <v>13</v>
      </c>
    </row>
    <row r="12" spans="2:18">
      <c r="B12" t="s">
        <v>14</v>
      </c>
      <c r="C12">
        <v>7.4116999999999997</v>
      </c>
      <c r="D12">
        <v>11.1294</v>
      </c>
      <c r="E12">
        <v>11.088800000000001</v>
      </c>
      <c r="F12">
        <v>10.5154</v>
      </c>
      <c r="G12">
        <v>8.1775000000000002</v>
      </c>
      <c r="H12">
        <v>8.7087000000000003</v>
      </c>
      <c r="I12">
        <v>8.3510000000000009</v>
      </c>
      <c r="K12" t="s">
        <v>14</v>
      </c>
    </row>
    <row r="13" spans="2:18">
      <c r="B13" t="s">
        <v>7</v>
      </c>
      <c r="C13">
        <v>7.3543000000000003</v>
      </c>
      <c r="D13">
        <v>10.898</v>
      </c>
      <c r="E13">
        <v>10.837</v>
      </c>
      <c r="F13">
        <v>10.314500000000001</v>
      </c>
      <c r="G13">
        <v>8.0311000000000003</v>
      </c>
      <c r="H13">
        <v>8.6234999999999999</v>
      </c>
      <c r="I13">
        <v>8.1731999999999996</v>
      </c>
      <c r="K13" t="s">
        <v>7</v>
      </c>
    </row>
    <row r="14" spans="2:18">
      <c r="B14" t="s">
        <v>8</v>
      </c>
      <c r="C14">
        <v>77</v>
      </c>
      <c r="D14">
        <v>18</v>
      </c>
      <c r="E14">
        <v>25</v>
      </c>
      <c r="F14">
        <v>36</v>
      </c>
      <c r="G14">
        <v>85</v>
      </c>
      <c r="H14">
        <v>87</v>
      </c>
      <c r="I14">
        <v>69</v>
      </c>
      <c r="K14" t="s">
        <v>8</v>
      </c>
    </row>
    <row r="15" spans="2:18">
      <c r="B15" t="s">
        <v>9</v>
      </c>
      <c r="C15">
        <v>152</v>
      </c>
      <c r="D15">
        <v>162</v>
      </c>
      <c r="E15">
        <v>162</v>
      </c>
      <c r="F15">
        <v>162</v>
      </c>
      <c r="G15">
        <v>162</v>
      </c>
      <c r="H15">
        <v>160</v>
      </c>
      <c r="I15">
        <v>161</v>
      </c>
      <c r="K15" t="s">
        <v>9</v>
      </c>
    </row>
    <row r="18" spans="2:9">
      <c r="B18" t="s">
        <v>11</v>
      </c>
    </row>
    <row r="19" spans="2:9"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2:9">
      <c r="C20" t="s">
        <v>2</v>
      </c>
      <c r="D20" t="s">
        <v>3</v>
      </c>
      <c r="E20" s="1">
        <v>0.2</v>
      </c>
      <c r="F20" s="1">
        <v>0.4</v>
      </c>
      <c r="G20" t="s">
        <v>0</v>
      </c>
      <c r="H20" t="s">
        <v>1</v>
      </c>
      <c r="I20" t="s">
        <v>4</v>
      </c>
    </row>
    <row r="21" spans="2:9">
      <c r="B21" t="s">
        <v>13</v>
      </c>
      <c r="E21" s="1"/>
      <c r="F21" s="1"/>
    </row>
    <row r="22" spans="2:9">
      <c r="B22" t="s">
        <v>14</v>
      </c>
      <c r="E22" s="1"/>
      <c r="F22" s="1"/>
    </row>
    <row r="23" spans="2:9">
      <c r="B23" t="s">
        <v>5</v>
      </c>
    </row>
    <row r="24" spans="2:9">
      <c r="B24" t="s">
        <v>13</v>
      </c>
    </row>
    <row r="25" spans="2:9">
      <c r="B25" t="s">
        <v>14</v>
      </c>
    </row>
    <row r="26" spans="2:9">
      <c r="B26" t="s">
        <v>6</v>
      </c>
    </row>
    <row r="27" spans="2:9">
      <c r="B27" t="s">
        <v>13</v>
      </c>
    </row>
    <row r="28" spans="2:9">
      <c r="B28" t="s">
        <v>14</v>
      </c>
    </row>
    <row r="29" spans="2:9">
      <c r="B29" t="s">
        <v>7</v>
      </c>
    </row>
    <row r="30" spans="2:9">
      <c r="B30" t="s">
        <v>8</v>
      </c>
    </row>
    <row r="31" spans="2:9">
      <c r="B3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R31"/>
  <sheetViews>
    <sheetView workbookViewId="0">
      <selection activeCell="I16" sqref="I16"/>
    </sheetView>
  </sheetViews>
  <sheetFormatPr baseColWidth="10" defaultRowHeight="20"/>
  <sheetData>
    <row r="2" spans="2:18">
      <c r="B2" t="s">
        <v>10</v>
      </c>
      <c r="K2" t="s">
        <v>12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18">
      <c r="B5" t="s">
        <v>13</v>
      </c>
      <c r="C5">
        <v>4.9603999999999999</v>
      </c>
      <c r="D5">
        <v>3.7416</v>
      </c>
      <c r="E5">
        <v>3.4222999999999999</v>
      </c>
      <c r="F5">
        <v>4.1467999999999998</v>
      </c>
      <c r="G5">
        <v>4.5622999999999996</v>
      </c>
      <c r="H5">
        <v>4.1935000000000002</v>
      </c>
      <c r="I5">
        <v>4.1935000000000002</v>
      </c>
      <c r="K5" t="s">
        <v>13</v>
      </c>
      <c r="N5" s="1"/>
      <c r="O5" s="1"/>
    </row>
    <row r="6" spans="2:18">
      <c r="B6" t="s">
        <v>14</v>
      </c>
      <c r="C6">
        <v>4.2625000000000002</v>
      </c>
      <c r="D6">
        <v>3.4264000000000001</v>
      </c>
      <c r="E6">
        <v>3.2084999999999999</v>
      </c>
      <c r="F6">
        <v>3.6474000000000002</v>
      </c>
      <c r="G6">
        <v>3.8399000000000001</v>
      </c>
      <c r="H6">
        <v>3.6408</v>
      </c>
      <c r="I6">
        <v>3.6408</v>
      </c>
      <c r="K6" t="s">
        <v>14</v>
      </c>
      <c r="N6" s="1"/>
      <c r="O6" s="1"/>
    </row>
    <row r="7" spans="2:18">
      <c r="B7" t="s">
        <v>5</v>
      </c>
      <c r="C7">
        <v>4.4157000000000002</v>
      </c>
      <c r="D7">
        <v>3.5042</v>
      </c>
      <c r="E7">
        <v>3.2627000000000002</v>
      </c>
      <c r="F7">
        <v>3.7654999999999998</v>
      </c>
      <c r="G7">
        <v>3.9986000000000002</v>
      </c>
      <c r="H7">
        <v>3.7656999999999998</v>
      </c>
      <c r="I7">
        <v>3.7656999999999998</v>
      </c>
      <c r="K7" t="s">
        <v>5</v>
      </c>
    </row>
    <row r="8" spans="2:18">
      <c r="B8" t="s">
        <v>13</v>
      </c>
      <c r="C8">
        <v>2.5901999999999998</v>
      </c>
      <c r="D8">
        <v>0.75349999999999995</v>
      </c>
      <c r="E8">
        <v>0.5131</v>
      </c>
      <c r="F8">
        <v>1.1508</v>
      </c>
      <c r="G8">
        <v>2.1402999999999999</v>
      </c>
      <c r="H8">
        <v>1.9976</v>
      </c>
      <c r="I8">
        <v>1.9976</v>
      </c>
      <c r="K8" t="s">
        <v>13</v>
      </c>
    </row>
    <row r="9" spans="2:18">
      <c r="B9" t="s">
        <v>14</v>
      </c>
      <c r="C9">
        <v>2.4607000000000001</v>
      </c>
      <c r="D9">
        <v>0.78069999999999995</v>
      </c>
      <c r="E9">
        <v>0.5595</v>
      </c>
      <c r="F9">
        <v>1.1201000000000001</v>
      </c>
      <c r="G9">
        <v>1.9383999999999999</v>
      </c>
      <c r="H9">
        <v>1.925</v>
      </c>
      <c r="I9">
        <v>1.925</v>
      </c>
      <c r="K9" t="s">
        <v>14</v>
      </c>
    </row>
    <row r="10" spans="2:18">
      <c r="B10" t="s">
        <v>6</v>
      </c>
      <c r="C10">
        <v>2.4861</v>
      </c>
      <c r="D10">
        <v>0.77439999999999998</v>
      </c>
      <c r="E10">
        <v>0.54820000000000002</v>
      </c>
      <c r="F10">
        <v>1.1268</v>
      </c>
      <c r="G10">
        <v>1.9767999999999999</v>
      </c>
      <c r="H10">
        <v>1.9396</v>
      </c>
      <c r="I10">
        <v>1.9396</v>
      </c>
      <c r="K10" t="s">
        <v>6</v>
      </c>
    </row>
    <row r="11" spans="2:18">
      <c r="B11" t="s">
        <v>13</v>
      </c>
      <c r="C11">
        <v>8.1936</v>
      </c>
      <c r="D11">
        <v>10.1996</v>
      </c>
      <c r="E11">
        <v>10.1166</v>
      </c>
      <c r="F11">
        <v>10.1371</v>
      </c>
      <c r="G11">
        <v>7.5849000000000002</v>
      </c>
      <c r="H11">
        <v>6.8887999999999998</v>
      </c>
      <c r="I11">
        <v>6.8887999999999998</v>
      </c>
      <c r="K11" t="s">
        <v>13</v>
      </c>
    </row>
    <row r="12" spans="2:18">
      <c r="B12" t="s">
        <v>14</v>
      </c>
      <c r="C12">
        <v>7.8265000000000002</v>
      </c>
      <c r="D12">
        <v>10.9002</v>
      </c>
      <c r="E12">
        <v>10.6568</v>
      </c>
      <c r="F12">
        <v>10.761799999999999</v>
      </c>
      <c r="G12">
        <v>7.5929000000000002</v>
      </c>
      <c r="H12">
        <v>6.6425999999999998</v>
      </c>
      <c r="I12">
        <v>6.6425999999999998</v>
      </c>
      <c r="K12" t="s">
        <v>14</v>
      </c>
    </row>
    <row r="13" spans="2:18">
      <c r="B13" t="s">
        <v>7</v>
      </c>
      <c r="C13">
        <v>7.9225000000000003</v>
      </c>
      <c r="D13">
        <v>10.7013</v>
      </c>
      <c r="E13">
        <v>10.5047</v>
      </c>
      <c r="F13">
        <v>10.5853</v>
      </c>
      <c r="G13">
        <v>7.5907999999999998</v>
      </c>
      <c r="H13">
        <v>6.7077999999999998</v>
      </c>
      <c r="I13">
        <v>6.7077999999999998</v>
      </c>
      <c r="K13" t="s">
        <v>7</v>
      </c>
    </row>
    <row r="14" spans="2:18">
      <c r="B14" t="s">
        <v>8</v>
      </c>
      <c r="C14">
        <v>80</v>
      </c>
      <c r="D14">
        <v>20</v>
      </c>
      <c r="E14">
        <v>12</v>
      </c>
      <c r="F14">
        <v>33</v>
      </c>
      <c r="G14">
        <v>64</v>
      </c>
      <c r="H14">
        <v>62</v>
      </c>
      <c r="I14">
        <v>62</v>
      </c>
      <c r="K14" t="s">
        <v>8</v>
      </c>
    </row>
    <row r="15" spans="2:18">
      <c r="B15" t="s">
        <v>9</v>
      </c>
      <c r="C15">
        <v>154</v>
      </c>
      <c r="D15">
        <v>156</v>
      </c>
      <c r="E15">
        <v>156</v>
      </c>
      <c r="F15">
        <v>156</v>
      </c>
      <c r="G15">
        <v>153</v>
      </c>
      <c r="H15">
        <v>148</v>
      </c>
      <c r="I15">
        <v>148</v>
      </c>
      <c r="K15" t="s">
        <v>9</v>
      </c>
    </row>
    <row r="18" spans="2:9">
      <c r="B18" t="s">
        <v>11</v>
      </c>
    </row>
    <row r="19" spans="2:9"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2:9">
      <c r="C20" t="s">
        <v>2</v>
      </c>
      <c r="D20" t="s">
        <v>3</v>
      </c>
      <c r="E20" s="1">
        <v>0.2</v>
      </c>
      <c r="F20" s="1">
        <v>0.4</v>
      </c>
      <c r="G20" t="s">
        <v>0</v>
      </c>
      <c r="H20" t="s">
        <v>1</v>
      </c>
      <c r="I20" t="s">
        <v>4</v>
      </c>
    </row>
    <row r="21" spans="2:9">
      <c r="B21" t="s">
        <v>13</v>
      </c>
      <c r="E21" s="1"/>
      <c r="F21" s="1"/>
    </row>
    <row r="22" spans="2:9">
      <c r="B22" t="s">
        <v>14</v>
      </c>
      <c r="E22" s="1"/>
      <c r="F22" s="1"/>
    </row>
    <row r="23" spans="2:9">
      <c r="B23" t="s">
        <v>5</v>
      </c>
    </row>
    <row r="24" spans="2:9">
      <c r="B24" t="s">
        <v>13</v>
      </c>
    </row>
    <row r="25" spans="2:9">
      <c r="B25" t="s">
        <v>14</v>
      </c>
    </row>
    <row r="26" spans="2:9">
      <c r="B26" t="s">
        <v>6</v>
      </c>
    </row>
    <row r="27" spans="2:9">
      <c r="B27" t="s">
        <v>13</v>
      </c>
    </row>
    <row r="28" spans="2:9">
      <c r="B28" t="s">
        <v>14</v>
      </c>
    </row>
    <row r="29" spans="2:9">
      <c r="B29" t="s">
        <v>7</v>
      </c>
    </row>
    <row r="30" spans="2:9">
      <c r="B30" t="s">
        <v>8</v>
      </c>
    </row>
    <row r="31" spans="2:9">
      <c r="B31" t="s">
        <v>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R31"/>
  <sheetViews>
    <sheetView topLeftCell="B1" workbookViewId="0">
      <selection activeCell="I16" sqref="I16"/>
    </sheetView>
  </sheetViews>
  <sheetFormatPr baseColWidth="10" defaultRowHeight="20"/>
  <sheetData>
    <row r="2" spans="2:18">
      <c r="B2" t="s">
        <v>10</v>
      </c>
      <c r="K2" t="s">
        <v>12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18">
      <c r="B5" t="s">
        <v>13</v>
      </c>
      <c r="C5">
        <v>4.4162999999999997</v>
      </c>
      <c r="D5">
        <v>3.1587000000000001</v>
      </c>
      <c r="E5">
        <v>3.1991000000000001</v>
      </c>
      <c r="F5">
        <v>3.5762999999999998</v>
      </c>
      <c r="G5">
        <v>4.7404000000000002</v>
      </c>
      <c r="H5">
        <v>4.9393000000000002</v>
      </c>
      <c r="I5">
        <v>4.9393000000000002</v>
      </c>
      <c r="K5" t="s">
        <v>13</v>
      </c>
      <c r="N5" s="1"/>
      <c r="O5" s="1"/>
    </row>
    <row r="6" spans="2:18">
      <c r="B6" t="s">
        <v>14</v>
      </c>
      <c r="C6">
        <v>4.2224000000000004</v>
      </c>
      <c r="D6">
        <v>3.4336000000000002</v>
      </c>
      <c r="E6">
        <v>3.4121000000000001</v>
      </c>
      <c r="F6">
        <v>3.4352999999999998</v>
      </c>
      <c r="G6">
        <v>4.3117999999999999</v>
      </c>
      <c r="H6">
        <v>4.5518999999999998</v>
      </c>
      <c r="I6">
        <v>4.5518999999999998</v>
      </c>
      <c r="K6" t="s">
        <v>14</v>
      </c>
      <c r="N6" s="1"/>
      <c r="O6" s="1"/>
    </row>
    <row r="7" spans="2:18">
      <c r="B7" t="s">
        <v>5</v>
      </c>
      <c r="C7">
        <v>4.2680999999999996</v>
      </c>
      <c r="D7">
        <v>3.3582999999999998</v>
      </c>
      <c r="E7">
        <v>3.3542999999999998</v>
      </c>
      <c r="F7">
        <v>3.4708999999999999</v>
      </c>
      <c r="G7">
        <v>4.4092000000000002</v>
      </c>
      <c r="H7">
        <v>4.6406999999999998</v>
      </c>
      <c r="I7">
        <v>4.6406999999999998</v>
      </c>
      <c r="K7" t="s">
        <v>5</v>
      </c>
    </row>
    <row r="8" spans="2:18">
      <c r="B8" t="s">
        <v>13</v>
      </c>
      <c r="C8">
        <v>2.2360000000000002</v>
      </c>
      <c r="D8">
        <v>0.41270000000000001</v>
      </c>
      <c r="E8">
        <v>0.38619999999999999</v>
      </c>
      <c r="F8">
        <v>0.62360000000000004</v>
      </c>
      <c r="G8">
        <v>2.4849999999999999</v>
      </c>
      <c r="H8">
        <v>2.6459999999999999</v>
      </c>
      <c r="I8">
        <v>2.6459999999999999</v>
      </c>
      <c r="K8" t="s">
        <v>13</v>
      </c>
    </row>
    <row r="9" spans="2:18">
      <c r="B9" t="s">
        <v>14</v>
      </c>
      <c r="C9">
        <v>2.3113000000000001</v>
      </c>
      <c r="D9">
        <v>0.55859999999999999</v>
      </c>
      <c r="E9">
        <v>0.51229999999999998</v>
      </c>
      <c r="F9">
        <v>0.63139999999999996</v>
      </c>
      <c r="G9">
        <v>2.3988999999999998</v>
      </c>
      <c r="H9">
        <v>2.6133000000000002</v>
      </c>
      <c r="I9">
        <v>2.6133000000000002</v>
      </c>
      <c r="K9" t="s">
        <v>14</v>
      </c>
    </row>
    <row r="10" spans="2:18">
      <c r="B10" t="s">
        <v>6</v>
      </c>
      <c r="C10">
        <v>2.2951999999999999</v>
      </c>
      <c r="D10">
        <v>0.51759999999999995</v>
      </c>
      <c r="E10">
        <v>0.47849999999999998</v>
      </c>
      <c r="F10">
        <v>0.62949999999999995</v>
      </c>
      <c r="G10">
        <v>2.4163000000000001</v>
      </c>
      <c r="H10">
        <v>2.6200999999999999</v>
      </c>
      <c r="I10">
        <v>2.6200999999999999</v>
      </c>
      <c r="K10" t="s">
        <v>6</v>
      </c>
    </row>
    <row r="11" spans="2:18">
      <c r="B11" t="s">
        <v>13</v>
      </c>
      <c r="C11">
        <v>7.4946000000000002</v>
      </c>
      <c r="D11">
        <v>10.3965</v>
      </c>
      <c r="E11">
        <v>10.4345</v>
      </c>
      <c r="F11">
        <v>10.3523</v>
      </c>
      <c r="G11">
        <v>7.6741000000000001</v>
      </c>
      <c r="H11">
        <v>8.2591000000000001</v>
      </c>
      <c r="I11">
        <v>8.2591000000000001</v>
      </c>
      <c r="K11" t="s">
        <v>13</v>
      </c>
    </row>
    <row r="12" spans="2:18">
      <c r="B12" t="s">
        <v>14</v>
      </c>
      <c r="C12">
        <v>8.0078999999999994</v>
      </c>
      <c r="D12">
        <v>11.4102</v>
      </c>
      <c r="E12">
        <v>11.3087</v>
      </c>
      <c r="F12">
        <v>11.282</v>
      </c>
      <c r="G12">
        <v>7.9245999999999999</v>
      </c>
      <c r="H12">
        <v>8.4358000000000004</v>
      </c>
      <c r="I12">
        <v>8.4358000000000004</v>
      </c>
      <c r="K12" t="s">
        <v>14</v>
      </c>
    </row>
    <row r="13" spans="2:18">
      <c r="B13" t="s">
        <v>7</v>
      </c>
      <c r="C13">
        <v>7.8661000000000003</v>
      </c>
      <c r="D13">
        <v>11.1251</v>
      </c>
      <c r="E13">
        <v>11.064399999999999</v>
      </c>
      <c r="F13">
        <v>11.0212</v>
      </c>
      <c r="G13">
        <v>7.8571</v>
      </c>
      <c r="H13">
        <v>8.3886000000000003</v>
      </c>
      <c r="I13">
        <v>8.3886000000000003</v>
      </c>
      <c r="K13" t="s">
        <v>7</v>
      </c>
    </row>
    <row r="14" spans="2:18">
      <c r="B14" t="s">
        <v>8</v>
      </c>
      <c r="C14">
        <v>73</v>
      </c>
      <c r="D14">
        <v>9</v>
      </c>
      <c r="E14">
        <v>8</v>
      </c>
      <c r="F14">
        <v>14</v>
      </c>
      <c r="G14">
        <v>73</v>
      </c>
      <c r="H14">
        <v>84</v>
      </c>
      <c r="I14">
        <v>84</v>
      </c>
      <c r="K14" t="s">
        <v>8</v>
      </c>
    </row>
    <row r="15" spans="2:18">
      <c r="B15" t="s">
        <v>9</v>
      </c>
      <c r="C15">
        <v>150</v>
      </c>
      <c r="D15">
        <v>157</v>
      </c>
      <c r="E15">
        <v>159</v>
      </c>
      <c r="F15">
        <v>158</v>
      </c>
      <c r="G15">
        <v>153</v>
      </c>
      <c r="H15">
        <v>156</v>
      </c>
      <c r="I15">
        <v>156</v>
      </c>
      <c r="K15" t="s">
        <v>9</v>
      </c>
    </row>
    <row r="18" spans="2:9">
      <c r="B18" t="s">
        <v>11</v>
      </c>
    </row>
    <row r="19" spans="2:9"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2:9">
      <c r="C20" t="s">
        <v>2</v>
      </c>
      <c r="D20" t="s">
        <v>3</v>
      </c>
      <c r="E20" s="1">
        <v>0.2</v>
      </c>
      <c r="F20" s="1">
        <v>0.4</v>
      </c>
      <c r="G20" t="s">
        <v>0</v>
      </c>
      <c r="H20" t="s">
        <v>1</v>
      </c>
      <c r="I20" t="s">
        <v>4</v>
      </c>
    </row>
    <row r="21" spans="2:9">
      <c r="B21" t="s">
        <v>13</v>
      </c>
      <c r="E21" s="1"/>
      <c r="F21" s="1"/>
    </row>
    <row r="22" spans="2:9">
      <c r="B22" t="s">
        <v>14</v>
      </c>
      <c r="E22" s="1"/>
      <c r="F22" s="1"/>
    </row>
    <row r="23" spans="2:9">
      <c r="B23" t="s">
        <v>5</v>
      </c>
    </row>
    <row r="24" spans="2:9">
      <c r="B24" t="s">
        <v>13</v>
      </c>
    </row>
    <row r="25" spans="2:9">
      <c r="B25" t="s">
        <v>14</v>
      </c>
    </row>
    <row r="26" spans="2:9">
      <c r="B26" t="s">
        <v>6</v>
      </c>
    </row>
    <row r="27" spans="2:9">
      <c r="B27" t="s">
        <v>13</v>
      </c>
    </row>
    <row r="28" spans="2:9">
      <c r="B28" t="s">
        <v>14</v>
      </c>
    </row>
    <row r="29" spans="2:9">
      <c r="B29" t="s">
        <v>7</v>
      </c>
    </row>
    <row r="30" spans="2:9">
      <c r="B30" t="s">
        <v>8</v>
      </c>
    </row>
    <row r="31" spans="2:9">
      <c r="B31" t="s">
        <v>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R31"/>
  <sheetViews>
    <sheetView topLeftCell="B1" workbookViewId="0">
      <selection activeCell="I16" sqref="I16"/>
    </sheetView>
  </sheetViews>
  <sheetFormatPr baseColWidth="10" defaultRowHeight="20"/>
  <sheetData>
    <row r="2" spans="2:18">
      <c r="B2" t="s">
        <v>10</v>
      </c>
      <c r="K2" t="s">
        <v>12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18">
      <c r="B5" t="s">
        <v>13</v>
      </c>
      <c r="C5">
        <v>4.3166000000000002</v>
      </c>
      <c r="D5">
        <v>2.9986999999999999</v>
      </c>
      <c r="E5">
        <v>3.7644000000000002</v>
      </c>
      <c r="F5">
        <v>3.5916999999999999</v>
      </c>
      <c r="G5">
        <v>5.0536000000000003</v>
      </c>
      <c r="H5">
        <v>4.5975000000000001</v>
      </c>
      <c r="I5">
        <v>4.7237</v>
      </c>
      <c r="K5" t="s">
        <v>13</v>
      </c>
      <c r="N5" s="1"/>
      <c r="O5" s="1"/>
    </row>
    <row r="6" spans="2:18">
      <c r="B6" t="s">
        <v>14</v>
      </c>
      <c r="C6">
        <v>4.0974000000000004</v>
      </c>
      <c r="D6">
        <v>3.5219999999999998</v>
      </c>
      <c r="E6">
        <v>3.6046</v>
      </c>
      <c r="F6">
        <v>3.5655000000000001</v>
      </c>
      <c r="G6">
        <v>4.2178000000000004</v>
      </c>
      <c r="H6">
        <v>4.0534999999999997</v>
      </c>
      <c r="I6">
        <v>4.0909000000000004</v>
      </c>
      <c r="K6" t="s">
        <v>14</v>
      </c>
      <c r="N6" s="1"/>
      <c r="O6" s="1"/>
    </row>
    <row r="7" spans="2:18">
      <c r="B7" t="s">
        <v>5</v>
      </c>
      <c r="C7">
        <v>4.1464999999999996</v>
      </c>
      <c r="D7">
        <v>3.3786</v>
      </c>
      <c r="E7">
        <v>3.6425000000000001</v>
      </c>
      <c r="F7">
        <v>3.5718999999999999</v>
      </c>
      <c r="G7">
        <v>4.3872999999999998</v>
      </c>
      <c r="H7">
        <v>4.17</v>
      </c>
      <c r="I7">
        <v>4.2222</v>
      </c>
      <c r="K7" t="s">
        <v>5</v>
      </c>
    </row>
    <row r="8" spans="2:18">
      <c r="B8" t="s">
        <v>13</v>
      </c>
      <c r="C8">
        <v>2.3719999999999999</v>
      </c>
      <c r="D8">
        <v>0.46300000000000002</v>
      </c>
      <c r="E8">
        <v>0.93899999999999995</v>
      </c>
      <c r="F8">
        <v>0.82620000000000005</v>
      </c>
      <c r="G8">
        <v>2.9079999999999999</v>
      </c>
      <c r="H8">
        <v>2.4782999999999999</v>
      </c>
      <c r="I8">
        <v>2.6964999999999999</v>
      </c>
      <c r="K8" t="s">
        <v>13</v>
      </c>
    </row>
    <row r="9" spans="2:18">
      <c r="B9" t="s">
        <v>14</v>
      </c>
      <c r="C9">
        <v>2.3105000000000002</v>
      </c>
      <c r="D9">
        <v>0.62009999999999998</v>
      </c>
      <c r="E9">
        <v>0.88529999999999998</v>
      </c>
      <c r="F9">
        <v>0.80330000000000001</v>
      </c>
      <c r="G9">
        <v>2.3534000000000002</v>
      </c>
      <c r="H9">
        <v>2.2176</v>
      </c>
      <c r="I9">
        <v>2.3068</v>
      </c>
      <c r="K9" t="s">
        <v>14</v>
      </c>
    </row>
    <row r="10" spans="2:18">
      <c r="B10" t="s">
        <v>6</v>
      </c>
      <c r="C10">
        <v>2.3237999999999999</v>
      </c>
      <c r="D10">
        <v>0.57620000000000005</v>
      </c>
      <c r="E10">
        <v>0.89759999999999995</v>
      </c>
      <c r="F10">
        <v>0.80879999999999996</v>
      </c>
      <c r="G10">
        <v>2.4552999999999998</v>
      </c>
      <c r="H10">
        <v>2.2704</v>
      </c>
      <c r="I10">
        <v>2.3822000000000001</v>
      </c>
      <c r="K10" t="s">
        <v>6</v>
      </c>
    </row>
    <row r="11" spans="2:18">
      <c r="B11" t="s">
        <v>13</v>
      </c>
      <c r="C11">
        <v>7.2991000000000001</v>
      </c>
      <c r="D11">
        <v>10.230499999999999</v>
      </c>
      <c r="E11">
        <v>10.1378</v>
      </c>
      <c r="F11">
        <v>10.0326</v>
      </c>
      <c r="G11">
        <v>8.0419999999999998</v>
      </c>
      <c r="H11">
        <v>7.6473000000000004</v>
      </c>
      <c r="I11">
        <v>7.6637000000000004</v>
      </c>
      <c r="K11" t="s">
        <v>13</v>
      </c>
    </row>
    <row r="12" spans="2:18">
      <c r="B12" t="s">
        <v>14</v>
      </c>
      <c r="C12">
        <v>7.2308000000000003</v>
      </c>
      <c r="D12">
        <v>11.033099999999999</v>
      </c>
      <c r="E12">
        <v>10.847099999999999</v>
      </c>
      <c r="F12">
        <v>10.839600000000001</v>
      </c>
      <c r="G12">
        <v>7.7973999999999997</v>
      </c>
      <c r="H12">
        <v>7.2201000000000004</v>
      </c>
      <c r="I12">
        <v>7.3475000000000001</v>
      </c>
      <c r="K12" t="s">
        <v>14</v>
      </c>
    </row>
    <row r="13" spans="2:18">
      <c r="B13" t="s">
        <v>7</v>
      </c>
      <c r="C13">
        <v>7.2470999999999997</v>
      </c>
      <c r="D13">
        <v>10.824299999999999</v>
      </c>
      <c r="E13">
        <v>10.6633</v>
      </c>
      <c r="F13">
        <v>10.6287</v>
      </c>
      <c r="G13">
        <v>7.8554000000000004</v>
      </c>
      <c r="H13">
        <v>7.3197999999999999</v>
      </c>
      <c r="I13">
        <v>7.4208999999999996</v>
      </c>
      <c r="K13" t="s">
        <v>7</v>
      </c>
    </row>
    <row r="14" spans="2:18">
      <c r="B14" t="s">
        <v>8</v>
      </c>
      <c r="C14">
        <v>77</v>
      </c>
      <c r="D14">
        <v>12</v>
      </c>
      <c r="E14">
        <v>24</v>
      </c>
      <c r="F14">
        <v>22</v>
      </c>
      <c r="G14">
        <v>81</v>
      </c>
      <c r="H14">
        <v>73</v>
      </c>
      <c r="I14">
        <v>77</v>
      </c>
      <c r="K14" t="s">
        <v>8</v>
      </c>
    </row>
    <row r="15" spans="2:18">
      <c r="B15" t="s">
        <v>9</v>
      </c>
      <c r="C15">
        <v>156</v>
      </c>
      <c r="D15">
        <v>159</v>
      </c>
      <c r="E15">
        <v>160</v>
      </c>
      <c r="F15">
        <v>161</v>
      </c>
      <c r="G15">
        <v>157</v>
      </c>
      <c r="H15">
        <v>157</v>
      </c>
      <c r="I15">
        <v>150</v>
      </c>
      <c r="K15" t="s">
        <v>9</v>
      </c>
    </row>
    <row r="18" spans="2:9">
      <c r="B18" t="s">
        <v>11</v>
      </c>
    </row>
    <row r="19" spans="2:9"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2:9">
      <c r="C20" t="s">
        <v>2</v>
      </c>
      <c r="D20" t="s">
        <v>3</v>
      </c>
      <c r="E20" s="1">
        <v>0.2</v>
      </c>
      <c r="F20" s="1">
        <v>0.4</v>
      </c>
      <c r="G20" t="s">
        <v>0</v>
      </c>
      <c r="H20" t="s">
        <v>1</v>
      </c>
      <c r="I20" t="s">
        <v>4</v>
      </c>
    </row>
    <row r="21" spans="2:9">
      <c r="B21" t="s">
        <v>13</v>
      </c>
      <c r="E21" s="1"/>
      <c r="F21" s="1"/>
    </row>
    <row r="22" spans="2:9">
      <c r="B22" t="s">
        <v>14</v>
      </c>
      <c r="E22" s="1"/>
      <c r="F22" s="1"/>
    </row>
    <row r="23" spans="2:9">
      <c r="B23" t="s">
        <v>5</v>
      </c>
    </row>
    <row r="24" spans="2:9">
      <c r="B24" t="s">
        <v>13</v>
      </c>
    </row>
    <row r="25" spans="2:9">
      <c r="B25" t="s">
        <v>14</v>
      </c>
    </row>
    <row r="26" spans="2:9">
      <c r="B26" t="s">
        <v>6</v>
      </c>
    </row>
    <row r="27" spans="2:9">
      <c r="B27" t="s">
        <v>13</v>
      </c>
    </row>
    <row r="28" spans="2:9">
      <c r="B28" t="s">
        <v>14</v>
      </c>
    </row>
    <row r="29" spans="2:9">
      <c r="B29" t="s">
        <v>7</v>
      </c>
    </row>
    <row r="30" spans="2:9">
      <c r="B30" t="s">
        <v>8</v>
      </c>
    </row>
    <row r="31" spans="2:9">
      <c r="B31" t="s">
        <v>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R31"/>
  <sheetViews>
    <sheetView topLeftCell="B1" workbookViewId="0">
      <selection activeCell="I16" sqref="I16"/>
    </sheetView>
  </sheetViews>
  <sheetFormatPr baseColWidth="10" defaultRowHeight="20"/>
  <sheetData>
    <row r="2" spans="2:18">
      <c r="B2" t="s">
        <v>10</v>
      </c>
      <c r="K2" t="s">
        <v>12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18">
      <c r="B5" t="s">
        <v>13</v>
      </c>
      <c r="C5">
        <v>4.3906999999999998</v>
      </c>
      <c r="D5">
        <v>4.2386999999999997</v>
      </c>
      <c r="E5">
        <v>4.7443999999999997</v>
      </c>
      <c r="F5">
        <v>4.6677999999999997</v>
      </c>
      <c r="G5">
        <v>5.3986999999999998</v>
      </c>
      <c r="H5">
        <v>4.9870999999999999</v>
      </c>
      <c r="I5">
        <v>4.2317999999999998</v>
      </c>
      <c r="K5" t="s">
        <v>13</v>
      </c>
      <c r="N5" s="1"/>
      <c r="O5" s="1"/>
    </row>
    <row r="6" spans="2:18">
      <c r="B6" t="s">
        <v>14</v>
      </c>
      <c r="C6">
        <v>4.2084999999999999</v>
      </c>
      <c r="D6">
        <v>2.8948</v>
      </c>
      <c r="E6">
        <v>2.9887000000000001</v>
      </c>
      <c r="F6">
        <v>3.1297999999999999</v>
      </c>
      <c r="G6">
        <v>4.2377000000000002</v>
      </c>
      <c r="H6">
        <v>3.8439999999999999</v>
      </c>
      <c r="I6">
        <v>4.1534000000000004</v>
      </c>
      <c r="K6" t="s">
        <v>14</v>
      </c>
      <c r="N6" s="1"/>
      <c r="O6" s="1"/>
    </row>
    <row r="7" spans="2:18">
      <c r="B7" t="s">
        <v>5</v>
      </c>
      <c r="C7">
        <v>4.2526999999999999</v>
      </c>
      <c r="D7">
        <v>3.1614</v>
      </c>
      <c r="E7">
        <v>3.3105000000000002</v>
      </c>
      <c r="F7">
        <v>3.4238</v>
      </c>
      <c r="G7">
        <v>4.4805000000000001</v>
      </c>
      <c r="H7">
        <v>4.0811999999999999</v>
      </c>
      <c r="I7">
        <v>4.1729000000000003</v>
      </c>
      <c r="K7" t="s">
        <v>5</v>
      </c>
    </row>
    <row r="8" spans="2:18">
      <c r="B8" t="s">
        <v>13</v>
      </c>
      <c r="C8">
        <v>2.2416999999999998</v>
      </c>
      <c r="D8">
        <v>0.30470000000000003</v>
      </c>
      <c r="E8">
        <v>0.56589999999999996</v>
      </c>
      <c r="F8">
        <v>0.59079999999999999</v>
      </c>
      <c r="G8">
        <v>2.6486000000000001</v>
      </c>
      <c r="H8">
        <v>2.4489000000000001</v>
      </c>
      <c r="I8">
        <v>1.8059000000000001</v>
      </c>
      <c r="K8" t="s">
        <v>13</v>
      </c>
    </row>
    <row r="9" spans="2:18">
      <c r="B9" t="s">
        <v>14</v>
      </c>
      <c r="C9">
        <v>2.5363000000000002</v>
      </c>
      <c r="D9">
        <v>0.4032</v>
      </c>
      <c r="E9">
        <v>0.56030000000000002</v>
      </c>
      <c r="F9">
        <v>0.64490000000000003</v>
      </c>
      <c r="G9">
        <v>2.1432000000000002</v>
      </c>
      <c r="H9">
        <v>2.0041000000000002</v>
      </c>
      <c r="I9">
        <v>2.2002000000000002</v>
      </c>
      <c r="K9" t="s">
        <v>14</v>
      </c>
    </row>
    <row r="10" spans="2:18">
      <c r="B10" t="s">
        <v>6</v>
      </c>
      <c r="C10">
        <v>2.4738000000000002</v>
      </c>
      <c r="D10">
        <v>0.3871</v>
      </c>
      <c r="E10">
        <v>0.56110000000000004</v>
      </c>
      <c r="F10">
        <v>0.63666999999999996</v>
      </c>
      <c r="G10">
        <v>2.2258</v>
      </c>
      <c r="H10">
        <v>2.0781000000000001</v>
      </c>
      <c r="I10">
        <v>2.1118000000000001</v>
      </c>
      <c r="K10" t="s">
        <v>6</v>
      </c>
    </row>
    <row r="11" spans="2:18">
      <c r="B11" t="s">
        <v>13</v>
      </c>
      <c r="C11">
        <v>6.8135000000000003</v>
      </c>
      <c r="D11">
        <v>10.342700000000001</v>
      </c>
      <c r="E11">
        <v>10.196899999999999</v>
      </c>
      <c r="F11">
        <v>10.2845</v>
      </c>
      <c r="G11">
        <v>8.2555999999999994</v>
      </c>
      <c r="H11">
        <v>7.7028999999999996</v>
      </c>
      <c r="I11">
        <v>7.7016</v>
      </c>
      <c r="K11" t="s">
        <v>13</v>
      </c>
    </row>
    <row r="12" spans="2:18">
      <c r="B12" t="s">
        <v>14</v>
      </c>
      <c r="C12">
        <v>7.0545999999999998</v>
      </c>
      <c r="D12">
        <v>11.2074</v>
      </c>
      <c r="E12">
        <v>10.941700000000001</v>
      </c>
      <c r="F12">
        <v>11.306699999999999</v>
      </c>
      <c r="G12">
        <v>8.8847000000000005</v>
      </c>
      <c r="H12">
        <v>7.7275</v>
      </c>
      <c r="I12">
        <v>8.2262000000000004</v>
      </c>
      <c r="K12" t="s">
        <v>14</v>
      </c>
    </row>
    <row r="13" spans="2:18">
      <c r="B13" t="s">
        <v>7</v>
      </c>
      <c r="C13">
        <v>6.9848999999999997</v>
      </c>
      <c r="D13">
        <v>10.9514</v>
      </c>
      <c r="E13">
        <v>10.722799999999999</v>
      </c>
      <c r="F13">
        <v>11.001099999999999</v>
      </c>
      <c r="G13">
        <v>8.6995000000000005</v>
      </c>
      <c r="H13">
        <v>7.7205000000000004</v>
      </c>
      <c r="I13">
        <v>8.0708000000000002</v>
      </c>
      <c r="K13" t="s">
        <v>7</v>
      </c>
    </row>
    <row r="14" spans="2:18">
      <c r="B14" t="s">
        <v>8</v>
      </c>
      <c r="C14">
        <v>77</v>
      </c>
      <c r="D14">
        <v>5</v>
      </c>
      <c r="E14">
        <v>12</v>
      </c>
      <c r="F14">
        <v>15</v>
      </c>
      <c r="G14">
        <v>67</v>
      </c>
      <c r="H14">
        <v>66</v>
      </c>
      <c r="I14">
        <v>70</v>
      </c>
      <c r="K14" t="s">
        <v>8</v>
      </c>
    </row>
    <row r="15" spans="2:18">
      <c r="B15" t="s">
        <v>9</v>
      </c>
      <c r="C15">
        <v>155</v>
      </c>
      <c r="D15">
        <v>160</v>
      </c>
      <c r="E15">
        <v>160</v>
      </c>
      <c r="F15">
        <v>160</v>
      </c>
      <c r="G15">
        <v>160</v>
      </c>
      <c r="H15">
        <v>151</v>
      </c>
      <c r="I15">
        <v>154</v>
      </c>
      <c r="K15" t="s">
        <v>9</v>
      </c>
    </row>
    <row r="18" spans="2:9">
      <c r="B18" t="s">
        <v>11</v>
      </c>
    </row>
    <row r="19" spans="2:9"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2:9">
      <c r="C20" t="s">
        <v>2</v>
      </c>
      <c r="D20" t="s">
        <v>3</v>
      </c>
      <c r="E20" s="1">
        <v>0.2</v>
      </c>
      <c r="F20" s="1">
        <v>0.4</v>
      </c>
      <c r="G20" t="s">
        <v>0</v>
      </c>
      <c r="H20" t="s">
        <v>1</v>
      </c>
      <c r="I20" t="s">
        <v>4</v>
      </c>
    </row>
    <row r="21" spans="2:9">
      <c r="B21" t="s">
        <v>13</v>
      </c>
      <c r="E21" s="1"/>
      <c r="F21" s="1"/>
    </row>
    <row r="22" spans="2:9">
      <c r="B22" t="s">
        <v>14</v>
      </c>
      <c r="E22" s="1"/>
      <c r="F22" s="1"/>
    </row>
    <row r="23" spans="2:9">
      <c r="B23" t="s">
        <v>5</v>
      </c>
    </row>
    <row r="24" spans="2:9">
      <c r="B24" t="s">
        <v>13</v>
      </c>
    </row>
    <row r="25" spans="2:9">
      <c r="B25" t="s">
        <v>14</v>
      </c>
    </row>
    <row r="26" spans="2:9">
      <c r="B26" t="s">
        <v>6</v>
      </c>
    </row>
    <row r="27" spans="2:9">
      <c r="B27" t="s">
        <v>13</v>
      </c>
    </row>
    <row r="28" spans="2:9">
      <c r="B28" t="s">
        <v>14</v>
      </c>
    </row>
    <row r="29" spans="2:9">
      <c r="B29" t="s">
        <v>7</v>
      </c>
    </row>
    <row r="30" spans="2:9">
      <c r="B30" t="s">
        <v>8</v>
      </c>
    </row>
    <row r="31" spans="2:9">
      <c r="B31" t="s">
        <v>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R31"/>
  <sheetViews>
    <sheetView tabSelected="1" workbookViewId="0">
      <selection activeCell="I2" sqref="I2"/>
    </sheetView>
  </sheetViews>
  <sheetFormatPr baseColWidth="10" defaultRowHeight="20"/>
  <sheetData>
    <row r="2" spans="2:18">
      <c r="B2" t="s">
        <v>10</v>
      </c>
      <c r="K2" t="s">
        <v>12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18">
      <c r="B5" t="s">
        <v>13</v>
      </c>
      <c r="C5">
        <f>ROUND(AVERAGE(seed1!C5,seed2!C5,seed3!C5,seed7!C5,seed11!C5),4)</f>
        <v>4.4252000000000002</v>
      </c>
      <c r="D5">
        <f>ROUND(AVERAGE(seed1!D5,seed2!D5,seed3!D5,seed7!D5,seed11!D5),4)</f>
        <v>3.4733000000000001</v>
      </c>
      <c r="E5">
        <f>ROUND(AVERAGE(seed1!E5,seed2!E5,seed3!E5,seed7!E5,seed11!E5),4)</f>
        <v>3.7040000000000002</v>
      </c>
      <c r="F5">
        <f>ROUND(AVERAGE(seed1!F5,seed2!F5,seed3!F5,seed7!F5,seed11!F5),4)</f>
        <v>3.9205999999999999</v>
      </c>
      <c r="G5">
        <f>ROUND(AVERAGE(seed1!G5,seed2!G5,seed3!G5,seed7!G5,seed11!G5),4)</f>
        <v>4.8312999999999997</v>
      </c>
      <c r="H5">
        <f>ROUND(AVERAGE(seed1!H5,seed2!H5,seed3!H5,seed7!H5,seed11!H5),4)</f>
        <v>4.6380999999999997</v>
      </c>
      <c r="I5">
        <f>ROUND(AVERAGE(seed1!I5,seed2!I5,seed3!I5,seed7!I5,seed11!I5),4)</f>
        <v>4.4183000000000003</v>
      </c>
      <c r="K5" t="s">
        <v>13</v>
      </c>
      <c r="L5" t="e">
        <f>ROUND(AVERAGE(seed1!L5,seed2!L5,seed3!L5,seed7!L5,seed11!L5),4)</f>
        <v>#DIV/0!</v>
      </c>
      <c r="M5" t="e">
        <f>ROUND(AVERAGE(seed1!M5,seed2!M5,seed3!M5,seed7!M5,seed11!M5),4)</f>
        <v>#DIV/0!</v>
      </c>
      <c r="N5" t="e">
        <f>ROUND(AVERAGE(seed1!N5,seed2!N5,seed3!N5,seed7!N5,seed11!N5),4)</f>
        <v>#DIV/0!</v>
      </c>
      <c r="O5" t="e">
        <f>ROUND(AVERAGE(seed1!O5,seed2!O5,seed3!O5,seed7!O5,seed11!O5),4)</f>
        <v>#DIV/0!</v>
      </c>
      <c r="P5" t="e">
        <f>ROUND(AVERAGE(seed1!P5,seed2!P5,seed3!P5,seed7!P5,seed11!P5),4)</f>
        <v>#DIV/0!</v>
      </c>
      <c r="Q5" t="e">
        <f>ROUND(AVERAGE(seed1!Q5,seed2!Q5,seed3!Q5,seed7!Q5,seed11!Q5),4)</f>
        <v>#DIV/0!</v>
      </c>
      <c r="R5" t="e">
        <f>ROUND(AVERAGE(seed1!R5,seed2!R5,seed3!R5,seed7!R5,seed11!R5),4)</f>
        <v>#DIV/0!</v>
      </c>
    </row>
    <row r="6" spans="2:18">
      <c r="B6" t="s">
        <v>14</v>
      </c>
      <c r="C6">
        <f>ROUND(AVERAGE(seed1!C6,seed2!C6,seed3!C6,seed7!C6,seed11!C6),4)</f>
        <v>4.2257999999999996</v>
      </c>
      <c r="D6">
        <f>ROUND(AVERAGE(seed1!D6,seed2!D6,seed3!D6,seed7!D6,seed11!D6),4)</f>
        <v>3.3879000000000001</v>
      </c>
      <c r="E6">
        <f>ROUND(AVERAGE(seed1!E6,seed2!E6,seed3!E6,seed7!E6,seed11!E6),4)</f>
        <v>3.4024000000000001</v>
      </c>
      <c r="F6">
        <f>ROUND(AVERAGE(seed1!F6,seed2!F6,seed3!F6,seed7!F6,seed11!F6),4)</f>
        <v>3.5518000000000001</v>
      </c>
      <c r="G6">
        <f>ROUND(AVERAGE(seed1!G6,seed2!G6,seed3!G6,seed7!G6,seed11!G6),4)</f>
        <v>4.2436999999999996</v>
      </c>
      <c r="H6">
        <f>ROUND(AVERAGE(seed1!H6,seed2!H6,seed3!H6,seed7!H6,seed11!H6),4)</f>
        <v>4.1759000000000004</v>
      </c>
      <c r="I6">
        <f>ROUND(AVERAGE(seed1!I6,seed2!I6,seed3!I6,seed7!I6,seed11!I6),4)</f>
        <v>4.1528999999999998</v>
      </c>
      <c r="K6" t="s">
        <v>14</v>
      </c>
      <c r="L6" t="e">
        <f>ROUND(AVERAGE(seed1!L6,seed2!L6,seed3!L6,seed7!L6,seed11!L6),4)</f>
        <v>#DIV/0!</v>
      </c>
      <c r="M6" t="e">
        <f>ROUND(AVERAGE(seed1!M6,seed2!M6,seed3!M6,seed7!M6,seed11!M6),4)</f>
        <v>#DIV/0!</v>
      </c>
      <c r="N6" t="e">
        <f>ROUND(AVERAGE(seed1!N6,seed2!N6,seed3!N6,seed7!N6,seed11!N6),4)</f>
        <v>#DIV/0!</v>
      </c>
      <c r="O6" t="e">
        <f>ROUND(AVERAGE(seed1!O6,seed2!O6,seed3!O6,seed7!O6,seed11!O6),4)</f>
        <v>#DIV/0!</v>
      </c>
      <c r="P6" t="e">
        <f>ROUND(AVERAGE(seed1!P6,seed2!P6,seed3!P6,seed7!P6,seed11!P6),4)</f>
        <v>#DIV/0!</v>
      </c>
      <c r="Q6" t="e">
        <f>ROUND(AVERAGE(seed1!Q6,seed2!Q6,seed3!Q6,seed7!Q6,seed11!Q6),4)</f>
        <v>#DIV/0!</v>
      </c>
      <c r="R6" t="e">
        <f>ROUND(AVERAGE(seed1!R6,seed2!R6,seed3!R6,seed7!R6,seed11!R6),4)</f>
        <v>#DIV/0!</v>
      </c>
    </row>
    <row r="7" spans="2:18">
      <c r="B7" t="s">
        <v>5</v>
      </c>
      <c r="C7">
        <f>ROUND(AVERAGE(seed1!C7,seed2!C7,seed3!C7,seed7!C7,seed11!C7),4)</f>
        <v>4.2685000000000004</v>
      </c>
      <c r="D7">
        <f>ROUND(AVERAGE(seed1!D7,seed2!D7,seed3!D7,seed7!D7,seed11!D7),4)</f>
        <v>3.3895</v>
      </c>
      <c r="E7">
        <f>ROUND(AVERAGE(seed1!E7,seed2!E7,seed3!E7,seed7!E7,seed11!E7),4)</f>
        <v>3.4514999999999998</v>
      </c>
      <c r="F7">
        <f>ROUND(AVERAGE(seed1!F7,seed2!F7,seed3!F7,seed7!F7,seed11!F7),4)</f>
        <v>3.6234999999999999</v>
      </c>
      <c r="G7">
        <f>ROUND(AVERAGE(seed1!G7,seed2!G7,seed3!G7,seed7!G7,seed11!G7),4)</f>
        <v>4.3663999999999996</v>
      </c>
      <c r="H7">
        <f>ROUND(AVERAGE(seed1!H7,seed2!H7,seed3!H7,seed7!H7,seed11!H7),4)</f>
        <v>4.2724000000000002</v>
      </c>
      <c r="I7">
        <f>ROUND(AVERAGE(seed1!I7,seed2!I7,seed3!I7,seed7!I7,seed11!I7),4)</f>
        <v>4.2084000000000001</v>
      </c>
      <c r="K7" t="s">
        <v>5</v>
      </c>
      <c r="L7" t="e">
        <f>ROUND(AVERAGE(seed1!L7,seed2!L7,seed3!L7,seed7!L7,seed11!L7),4)</f>
        <v>#DIV/0!</v>
      </c>
      <c r="M7" t="e">
        <f>ROUND(AVERAGE(seed1!M7,seed2!M7,seed3!M7,seed7!M7,seed11!M7),4)</f>
        <v>#DIV/0!</v>
      </c>
      <c r="N7" t="e">
        <f>ROUND(AVERAGE(seed1!N7,seed2!N7,seed3!N7,seed7!N7,seed11!N7),4)</f>
        <v>#DIV/0!</v>
      </c>
      <c r="O7" t="e">
        <f>ROUND(AVERAGE(seed1!O7,seed2!O7,seed3!O7,seed7!O7,seed11!O7),4)</f>
        <v>#DIV/0!</v>
      </c>
      <c r="P7" t="e">
        <f>ROUND(AVERAGE(seed1!P7,seed2!P7,seed3!P7,seed7!P7,seed11!P7),4)</f>
        <v>#DIV/0!</v>
      </c>
      <c r="Q7" t="e">
        <f>ROUND(AVERAGE(seed1!Q7,seed2!Q7,seed3!Q7,seed7!Q7,seed11!Q7),4)</f>
        <v>#DIV/0!</v>
      </c>
      <c r="R7" t="e">
        <f>ROUND(AVERAGE(seed1!R7,seed2!R7,seed3!R7,seed7!R7,seed11!R7),4)</f>
        <v>#DIV/0!</v>
      </c>
    </row>
    <row r="8" spans="2:18">
      <c r="B8" t="s">
        <v>13</v>
      </c>
      <c r="C8">
        <f>ROUND(AVERAGE(seed1!C8,seed2!C8,seed3!C8,seed7!C8,seed11!C8),4)</f>
        <v>2.3302999999999998</v>
      </c>
      <c r="D8">
        <f>ROUND(AVERAGE(seed1!D8,seed2!D8,seed3!D8,seed7!D8,seed11!D8),4)</f>
        <v>0.49030000000000001</v>
      </c>
      <c r="E8">
        <f>ROUND(AVERAGE(seed1!E8,seed2!E8,seed3!E8,seed7!E8,seed11!E8),4)</f>
        <v>0.61990000000000001</v>
      </c>
      <c r="F8">
        <f>ROUND(AVERAGE(seed1!F8,seed2!F8,seed3!F8,seed7!F8,seed11!F8),4)</f>
        <v>0.83450000000000002</v>
      </c>
      <c r="G8">
        <f>ROUND(AVERAGE(seed1!G8,seed2!G8,seed3!G8,seed7!G8,seed11!G8),4)</f>
        <v>2.5356999999999998</v>
      </c>
      <c r="H8">
        <f>ROUND(AVERAGE(seed1!H8,seed2!H8,seed3!H8,seed7!H8,seed11!H8),4)</f>
        <v>2.4076</v>
      </c>
      <c r="I8">
        <f>ROUND(AVERAGE(seed1!I8,seed2!I8,seed3!I8,seed7!I8,seed11!I8),4)</f>
        <v>2.2151000000000001</v>
      </c>
      <c r="K8" t="s">
        <v>13</v>
      </c>
      <c r="L8" t="e">
        <f>ROUND(AVERAGE(seed1!L8,seed2!L8,seed3!L8,seed7!L8,seed11!L8),4)</f>
        <v>#DIV/0!</v>
      </c>
      <c r="M8" t="e">
        <f>ROUND(AVERAGE(seed1!M8,seed2!M8,seed3!M8,seed7!M8,seed11!M8),4)</f>
        <v>#DIV/0!</v>
      </c>
      <c r="N8" t="e">
        <f>ROUND(AVERAGE(seed1!N8,seed2!N8,seed3!N8,seed7!N8,seed11!N8),4)</f>
        <v>#DIV/0!</v>
      </c>
      <c r="O8" t="e">
        <f>ROUND(AVERAGE(seed1!O8,seed2!O8,seed3!O8,seed7!O8,seed11!O8),4)</f>
        <v>#DIV/0!</v>
      </c>
      <c r="P8" t="e">
        <f>ROUND(AVERAGE(seed1!P8,seed2!P8,seed3!P8,seed7!P8,seed11!P8),4)</f>
        <v>#DIV/0!</v>
      </c>
      <c r="Q8" t="e">
        <f>ROUND(AVERAGE(seed1!Q8,seed2!Q8,seed3!Q8,seed7!Q8,seed11!Q8),4)</f>
        <v>#DIV/0!</v>
      </c>
      <c r="R8" t="e">
        <f>ROUND(AVERAGE(seed1!R8,seed2!R8,seed3!R8,seed7!R8,seed11!R8),4)</f>
        <v>#DIV/0!</v>
      </c>
    </row>
    <row r="9" spans="2:18">
      <c r="B9" t="s">
        <v>14</v>
      </c>
      <c r="C9">
        <f>ROUND(AVERAGE(seed1!C9,seed2!C9,seed3!C9,seed7!C9,seed11!C9),4)</f>
        <v>2.4247999999999998</v>
      </c>
      <c r="D9">
        <f>ROUND(AVERAGE(seed1!D9,seed2!D9,seed3!D9,seed7!D9,seed11!D9),4)</f>
        <v>0.63700000000000001</v>
      </c>
      <c r="E9">
        <f>ROUND(AVERAGE(seed1!E9,seed2!E9,seed3!E9,seed7!E9,seed11!E9),4)</f>
        <v>0.69889999999999997</v>
      </c>
      <c r="F9">
        <f>ROUND(AVERAGE(seed1!F9,seed2!F9,seed3!F9,seed7!F9,seed11!F9),4)</f>
        <v>0.89749999999999996</v>
      </c>
      <c r="G9">
        <f>ROUND(AVERAGE(seed1!G9,seed2!G9,seed3!G9,seed7!G9,seed11!G9),4)</f>
        <v>2.2980999999999998</v>
      </c>
      <c r="H9">
        <f>ROUND(AVERAGE(seed1!H9,seed2!H9,seed3!H9,seed7!H9,seed11!H9),4)</f>
        <v>2.302</v>
      </c>
      <c r="I9">
        <f>ROUND(AVERAGE(seed1!I9,seed2!I9,seed3!I9,seed7!I9,seed11!I9),4)</f>
        <v>2.2446999999999999</v>
      </c>
      <c r="K9" t="s">
        <v>14</v>
      </c>
      <c r="L9" t="e">
        <f>ROUND(AVERAGE(seed1!L9,seed2!L9,seed3!L9,seed7!L9,seed11!L9),4)</f>
        <v>#DIV/0!</v>
      </c>
      <c r="M9" t="e">
        <f>ROUND(AVERAGE(seed1!M9,seed2!M9,seed3!M9,seed7!M9,seed11!M9),4)</f>
        <v>#DIV/0!</v>
      </c>
      <c r="N9" t="e">
        <f>ROUND(AVERAGE(seed1!N9,seed2!N9,seed3!N9,seed7!N9,seed11!N9),4)</f>
        <v>#DIV/0!</v>
      </c>
      <c r="O9" t="e">
        <f>ROUND(AVERAGE(seed1!O9,seed2!O9,seed3!O9,seed7!O9,seed11!O9),4)</f>
        <v>#DIV/0!</v>
      </c>
      <c r="P9" t="e">
        <f>ROUND(AVERAGE(seed1!P9,seed2!P9,seed3!P9,seed7!P9,seed11!P9),4)</f>
        <v>#DIV/0!</v>
      </c>
      <c r="Q9" t="e">
        <f>ROUND(AVERAGE(seed1!Q9,seed2!Q9,seed3!Q9,seed7!Q9,seed11!Q9),4)</f>
        <v>#DIV/0!</v>
      </c>
      <c r="R9" t="e">
        <f>ROUND(AVERAGE(seed1!R9,seed2!R9,seed3!R9,seed7!R9,seed11!R9),4)</f>
        <v>#DIV/0!</v>
      </c>
    </row>
    <row r="10" spans="2:18">
      <c r="B10" t="s">
        <v>6</v>
      </c>
      <c r="C10">
        <f>ROUND(AVERAGE(seed1!C10,seed2!C10,seed3!C10,seed7!C10,seed11!C10),4)</f>
        <v>2.4011</v>
      </c>
      <c r="D10">
        <f>ROUND(AVERAGE(seed1!D10,seed2!D10,seed3!D10,seed7!D10,seed11!D10),4)</f>
        <v>0.59899999999999998</v>
      </c>
      <c r="E10">
        <f>ROUND(AVERAGE(seed1!E10,seed2!E10,seed3!E10,seed7!E10,seed11!E10),4)</f>
        <v>0.67730000000000001</v>
      </c>
      <c r="F10">
        <f>ROUND(AVERAGE(seed1!F10,seed2!F10,seed3!F10,seed7!F10,seed11!F10),4)</f>
        <v>0.88170000000000004</v>
      </c>
      <c r="G10">
        <f>ROUND(AVERAGE(seed1!G10,seed2!G10,seed3!G10,seed7!G10,seed11!G10),4)</f>
        <v>2.3378999999999999</v>
      </c>
      <c r="H10">
        <f>ROUND(AVERAGE(seed1!H10,seed2!H10,seed3!H10,seed7!H10,seed11!H10),4)</f>
        <v>2.3163999999999998</v>
      </c>
      <c r="I10">
        <f>ROUND(AVERAGE(seed1!I10,seed2!I10,seed3!I10,seed7!I10,seed11!I10),4)</f>
        <v>2.2332000000000001</v>
      </c>
      <c r="K10" t="s">
        <v>6</v>
      </c>
      <c r="L10" t="e">
        <f>ROUND(AVERAGE(seed1!L10,seed2!L10,seed3!L10,seed7!L10,seed11!L10),4)</f>
        <v>#DIV/0!</v>
      </c>
      <c r="M10" t="e">
        <f>ROUND(AVERAGE(seed1!M10,seed2!M10,seed3!M10,seed7!M10,seed11!M10),4)</f>
        <v>#DIV/0!</v>
      </c>
      <c r="N10" t="e">
        <f>ROUND(AVERAGE(seed1!N10,seed2!N10,seed3!N10,seed7!N10,seed11!N10),4)</f>
        <v>#DIV/0!</v>
      </c>
      <c r="O10" t="e">
        <f>ROUND(AVERAGE(seed1!O10,seed2!O10,seed3!O10,seed7!O10,seed11!O10),4)</f>
        <v>#DIV/0!</v>
      </c>
      <c r="P10" t="e">
        <f>ROUND(AVERAGE(seed1!P10,seed2!P10,seed3!P10,seed7!P10,seed11!P10),4)</f>
        <v>#DIV/0!</v>
      </c>
      <c r="Q10" t="e">
        <f>ROUND(AVERAGE(seed1!Q10,seed2!Q10,seed3!Q10,seed7!Q10,seed11!Q10),4)</f>
        <v>#DIV/0!</v>
      </c>
      <c r="R10" t="e">
        <f>ROUND(AVERAGE(seed1!R10,seed2!R10,seed3!R10,seed7!R10,seed11!R10),4)</f>
        <v>#DIV/0!</v>
      </c>
    </row>
    <row r="11" spans="2:18">
      <c r="B11" t="s">
        <v>13</v>
      </c>
      <c r="C11">
        <f>ROUND(AVERAGE(seed1!C11,seed2!C11,seed3!C11,seed7!C11,seed11!C11),4)</f>
        <v>7.3987999999999996</v>
      </c>
      <c r="D11">
        <f>ROUND(AVERAGE(seed1!D11,seed2!D11,seed3!D11,seed7!D11,seed11!D11),4)</f>
        <v>10.2902</v>
      </c>
      <c r="E11">
        <f>ROUND(AVERAGE(seed1!E11,seed2!E11,seed3!E11,seed7!E11,seed11!E11),4)</f>
        <v>10.2111</v>
      </c>
      <c r="F11">
        <f>ROUND(AVERAGE(seed1!F11,seed2!F11,seed3!F11,seed7!F11,seed11!F11),4)</f>
        <v>10.116199999999999</v>
      </c>
      <c r="G11">
        <f>ROUND(AVERAGE(seed1!G11,seed2!G11,seed3!G11,seed7!G11,seed11!G11),4)</f>
        <v>7.8385999999999996</v>
      </c>
      <c r="H11">
        <f>ROUND(AVERAGE(seed1!H11,seed2!H11,seed3!H11,seed7!H11,seed11!H11),4)</f>
        <v>7.7774000000000001</v>
      </c>
      <c r="I11">
        <f>ROUND(AVERAGE(seed1!I11,seed2!I11,seed3!I11,seed7!I11,seed11!I11),4)</f>
        <v>7.6430999999999996</v>
      </c>
      <c r="K11" t="s">
        <v>13</v>
      </c>
      <c r="L11" t="e">
        <f>ROUND(AVERAGE(seed1!L11,seed2!L11,seed3!L11,seed7!L11,seed11!L11),4)</f>
        <v>#DIV/0!</v>
      </c>
      <c r="M11" t="e">
        <f>ROUND(AVERAGE(seed1!M11,seed2!M11,seed3!M11,seed7!M11,seed11!M11),4)</f>
        <v>#DIV/0!</v>
      </c>
      <c r="N11" t="e">
        <f>ROUND(AVERAGE(seed1!N11,seed2!N11,seed3!N11,seed7!N11,seed11!N11),4)</f>
        <v>#DIV/0!</v>
      </c>
      <c r="O11" t="e">
        <f>ROUND(AVERAGE(seed1!O11,seed2!O11,seed3!O11,seed7!O11,seed11!O11),4)</f>
        <v>#DIV/0!</v>
      </c>
      <c r="P11" t="e">
        <f>ROUND(AVERAGE(seed1!P11,seed2!P11,seed3!P11,seed7!P11,seed11!P11),4)</f>
        <v>#DIV/0!</v>
      </c>
      <c r="Q11" t="e">
        <f>ROUND(AVERAGE(seed1!Q11,seed2!Q11,seed3!Q11,seed7!Q11,seed11!Q11),4)</f>
        <v>#DIV/0!</v>
      </c>
      <c r="R11" t="e">
        <f>ROUND(AVERAGE(seed1!R11,seed2!R11,seed3!R11,seed7!R11,seed11!R11),4)</f>
        <v>#DIV/0!</v>
      </c>
    </row>
    <row r="12" spans="2:18">
      <c r="B12" t="s">
        <v>14</v>
      </c>
      <c r="C12">
        <f>ROUND(AVERAGE(seed1!C12,seed2!C12,seed3!C12,seed7!C12,seed11!C12),4)</f>
        <v>7.5063000000000004</v>
      </c>
      <c r="D12">
        <f>ROUND(AVERAGE(seed1!D12,seed2!D12,seed3!D12,seed7!D12,seed11!D12),4)</f>
        <v>11.136100000000001</v>
      </c>
      <c r="E12">
        <f>ROUND(AVERAGE(seed1!E12,seed2!E12,seed3!E12,seed7!E12,seed11!E12),4)</f>
        <v>10.9686</v>
      </c>
      <c r="F12">
        <f>ROUND(AVERAGE(seed1!F12,seed2!F12,seed3!F12,seed7!F12,seed11!F12),4)</f>
        <v>10.9411</v>
      </c>
      <c r="G12">
        <f>ROUND(AVERAGE(seed1!G12,seed2!G12,seed3!G12,seed7!G12,seed11!G12),4)</f>
        <v>8.0754000000000001</v>
      </c>
      <c r="H12">
        <f>ROUND(AVERAGE(seed1!H12,seed2!H12,seed3!H12,seed7!H12,seed11!H12),4)</f>
        <v>7.7469000000000001</v>
      </c>
      <c r="I12">
        <f>ROUND(AVERAGE(seed1!I12,seed2!I12,seed3!I12,seed7!I12,seed11!I12),4)</f>
        <v>7.8006000000000002</v>
      </c>
      <c r="K12" t="s">
        <v>14</v>
      </c>
      <c r="L12" t="e">
        <f>ROUND(AVERAGE(seed1!L12,seed2!L12,seed3!L12,seed7!L12,seed11!L12),4)</f>
        <v>#DIV/0!</v>
      </c>
      <c r="M12" t="e">
        <f>ROUND(AVERAGE(seed1!M12,seed2!M12,seed3!M12,seed7!M12,seed11!M12),4)</f>
        <v>#DIV/0!</v>
      </c>
      <c r="N12" t="e">
        <f>ROUND(AVERAGE(seed1!N12,seed2!N12,seed3!N12,seed7!N12,seed11!N12),4)</f>
        <v>#DIV/0!</v>
      </c>
      <c r="O12" t="e">
        <f>ROUND(AVERAGE(seed1!O12,seed2!O12,seed3!O12,seed7!O12,seed11!O12),4)</f>
        <v>#DIV/0!</v>
      </c>
      <c r="P12" t="e">
        <f>ROUND(AVERAGE(seed1!P12,seed2!P12,seed3!P12,seed7!P12,seed11!P12),4)</f>
        <v>#DIV/0!</v>
      </c>
      <c r="Q12" t="e">
        <f>ROUND(AVERAGE(seed1!Q12,seed2!Q12,seed3!Q12,seed7!Q12,seed11!Q12),4)</f>
        <v>#DIV/0!</v>
      </c>
      <c r="R12" t="e">
        <f>ROUND(AVERAGE(seed1!R12,seed2!R12,seed3!R12,seed7!R12,seed11!R12),4)</f>
        <v>#DIV/0!</v>
      </c>
    </row>
    <row r="13" spans="2:18">
      <c r="B13" t="s">
        <v>7</v>
      </c>
      <c r="C13">
        <f>ROUND(AVERAGE(seed1!C13,seed2!C13,seed3!C13,seed7!C13,seed11!C13),4)</f>
        <v>7.4749999999999996</v>
      </c>
      <c r="D13">
        <f>ROUND(AVERAGE(seed1!D13,seed2!D13,seed3!D13,seed7!D13,seed11!D13),4)</f>
        <v>10.9</v>
      </c>
      <c r="E13">
        <f>ROUND(AVERAGE(seed1!E13,seed2!E13,seed3!E13,seed7!E13,seed11!E13),4)</f>
        <v>10.7584</v>
      </c>
      <c r="F13">
        <f>ROUND(AVERAGE(seed1!F13,seed2!F13,seed3!F13,seed7!F13,seed11!F13),4)</f>
        <v>10.7102</v>
      </c>
      <c r="G13">
        <f>ROUND(AVERAGE(seed1!G13,seed2!G13,seed3!G13,seed7!G13,seed11!G13),4)</f>
        <v>8.0068000000000001</v>
      </c>
      <c r="H13">
        <f>ROUND(AVERAGE(seed1!H13,seed2!H13,seed3!H13,seed7!H13,seed11!H13),4)</f>
        <v>7.7519999999999998</v>
      </c>
      <c r="I13">
        <f>ROUND(AVERAGE(seed1!I13,seed2!I13,seed3!I13,seed7!I13,seed11!I13),4)</f>
        <v>7.7523</v>
      </c>
      <c r="K13" t="s">
        <v>7</v>
      </c>
      <c r="L13" t="e">
        <f>ROUND(AVERAGE(seed1!L13,seed2!L13,seed3!L13,seed7!L13,seed11!L13),4)</f>
        <v>#DIV/0!</v>
      </c>
      <c r="M13" t="e">
        <f>ROUND(AVERAGE(seed1!M13,seed2!M13,seed3!M13,seed7!M13,seed11!M13),4)</f>
        <v>#DIV/0!</v>
      </c>
      <c r="N13" t="e">
        <f>ROUND(AVERAGE(seed1!N13,seed2!N13,seed3!N13,seed7!N13,seed11!N13),4)</f>
        <v>#DIV/0!</v>
      </c>
      <c r="O13" t="e">
        <f>ROUND(AVERAGE(seed1!O13,seed2!O13,seed3!O13,seed7!O13,seed11!O13),4)</f>
        <v>#DIV/0!</v>
      </c>
      <c r="P13" t="e">
        <f>ROUND(AVERAGE(seed1!P13,seed2!P13,seed3!P13,seed7!P13,seed11!P13),4)</f>
        <v>#DIV/0!</v>
      </c>
      <c r="Q13" t="e">
        <f>ROUND(AVERAGE(seed1!Q13,seed2!Q13,seed3!Q13,seed7!Q13,seed11!Q13),4)</f>
        <v>#DIV/0!</v>
      </c>
      <c r="R13" t="e">
        <f>ROUND(AVERAGE(seed1!R13,seed2!R13,seed3!R13,seed7!R13,seed11!R13),4)</f>
        <v>#DIV/0!</v>
      </c>
    </row>
    <row r="14" spans="2:18">
      <c r="B14" t="s">
        <v>8</v>
      </c>
      <c r="C14">
        <f>ROUND(AVERAGE(seed1!C14,seed2!C14,seed3!C14,seed7!C14,seed11!C14),1)</f>
        <v>76.8</v>
      </c>
      <c r="D14">
        <f>ROUND(AVERAGE(seed1!D14,seed2!D14,seed3!D14,seed7!D14,seed11!D14),1)</f>
        <v>12.8</v>
      </c>
      <c r="E14">
        <f>ROUND(AVERAGE(seed1!E14,seed2!E14,seed3!E14,seed7!E14,seed11!E14),1)</f>
        <v>16.2</v>
      </c>
      <c r="F14">
        <f>ROUND(AVERAGE(seed1!F14,seed2!F14,seed3!F14,seed7!F14,seed11!F14),1)</f>
        <v>24</v>
      </c>
      <c r="G14">
        <f>ROUND(AVERAGE(seed1!G14,seed2!G14,seed3!G14,seed7!G14,seed11!G14),1)</f>
        <v>74</v>
      </c>
      <c r="H14">
        <f>ROUND(AVERAGE(seed1!H14,seed2!H14,seed3!H14,seed7!H14,seed11!H14),1)</f>
        <v>74.400000000000006</v>
      </c>
      <c r="I14">
        <f>ROUND(AVERAGE(seed1!I14,seed2!I14,seed3!I14,seed7!I14,seed11!I14),1)</f>
        <v>72.400000000000006</v>
      </c>
      <c r="K14" t="s">
        <v>8</v>
      </c>
      <c r="L14" t="e">
        <f>ROUND(AVERAGE(seed1!L14,seed2!L14,seed3!L14,seed7!L14,seed11!L14),1)</f>
        <v>#DIV/0!</v>
      </c>
      <c r="M14" t="e">
        <f>ROUND(AVERAGE(seed1!M14,seed2!M14,seed3!M14,seed7!M14,seed11!M14),1)</f>
        <v>#DIV/0!</v>
      </c>
      <c r="N14" t="e">
        <f>ROUND(AVERAGE(seed1!N14,seed2!N14,seed3!N14,seed7!N14,seed11!N14),1)</f>
        <v>#DIV/0!</v>
      </c>
      <c r="O14" t="e">
        <f>ROUND(AVERAGE(seed1!O14,seed2!O14,seed3!O14,seed7!O14,seed11!O14),1)</f>
        <v>#DIV/0!</v>
      </c>
      <c r="P14" t="e">
        <f>ROUND(AVERAGE(seed1!P14,seed2!P14,seed3!P14,seed7!P14,seed11!P14),1)</f>
        <v>#DIV/0!</v>
      </c>
      <c r="Q14" t="e">
        <f>ROUND(AVERAGE(seed1!Q14,seed2!Q14,seed3!Q14,seed7!Q14,seed11!Q14),1)</f>
        <v>#DIV/0!</v>
      </c>
      <c r="R14" t="e">
        <f>ROUND(AVERAGE(seed1!R14,seed2!R14,seed3!R14,seed7!R14,seed11!R14),1)</f>
        <v>#DIV/0!</v>
      </c>
    </row>
    <row r="15" spans="2:18">
      <c r="B15" t="s">
        <v>9</v>
      </c>
      <c r="C15">
        <f>ROUND(AVERAGE(seed1!C15,seed2!C15,seed3!C15,seed7!C15,seed11!C15),1)</f>
        <v>153.4</v>
      </c>
      <c r="D15">
        <f>ROUND(AVERAGE(seed1!D15,seed2!D15,seed3!D15,seed7!D15,seed11!D15),1)</f>
        <v>158.80000000000001</v>
      </c>
      <c r="E15">
        <f>ROUND(AVERAGE(seed1!E15,seed2!E15,seed3!E15,seed7!E15,seed11!E15),1)</f>
        <v>159.4</v>
      </c>
      <c r="F15">
        <f>ROUND(AVERAGE(seed1!F15,seed2!F15,seed3!F15,seed7!F15,seed11!F15),1)</f>
        <v>159.4</v>
      </c>
      <c r="G15">
        <f>ROUND(AVERAGE(seed1!G15,seed2!G15,seed3!G15,seed7!G15,seed11!G15),1)</f>
        <v>157</v>
      </c>
      <c r="H15">
        <f>ROUND(AVERAGE(seed1!H15,seed2!H15,seed3!H15,seed7!H15,seed11!H15),1)</f>
        <v>154.4</v>
      </c>
      <c r="I15">
        <f>ROUND(AVERAGE(seed1!I15,seed2!I15,seed3!I15,seed7!I15,seed11!I15),1)</f>
        <v>153.80000000000001</v>
      </c>
      <c r="K15" t="s">
        <v>9</v>
      </c>
      <c r="L15" t="e">
        <f>ROUND(AVERAGE(seed1!L15,seed2!L15,seed3!L15,seed7!L15,seed11!L15),1)</f>
        <v>#DIV/0!</v>
      </c>
      <c r="M15" t="e">
        <f>ROUND(AVERAGE(seed1!M15,seed2!M15,seed3!M15,seed7!M15,seed11!M15),1)</f>
        <v>#DIV/0!</v>
      </c>
      <c r="N15" t="e">
        <f>ROUND(AVERAGE(seed1!N15,seed2!N15,seed3!N15,seed7!N15,seed11!N15),1)</f>
        <v>#DIV/0!</v>
      </c>
      <c r="O15" t="e">
        <f>ROUND(AVERAGE(seed1!O15,seed2!O15,seed3!O15,seed7!O15,seed11!O15),1)</f>
        <v>#DIV/0!</v>
      </c>
      <c r="P15" t="e">
        <f>ROUND(AVERAGE(seed1!P15,seed2!P15,seed3!P15,seed7!P15,seed11!P15),1)</f>
        <v>#DIV/0!</v>
      </c>
      <c r="Q15" t="e">
        <f>ROUND(AVERAGE(seed1!Q15,seed2!Q15,seed3!Q15,seed7!Q15,seed11!Q15),1)</f>
        <v>#DIV/0!</v>
      </c>
      <c r="R15" t="e">
        <f>ROUND(AVERAGE(seed1!R15,seed2!R15,seed3!R15,seed7!R15,seed11!R15),1)</f>
        <v>#DIV/0!</v>
      </c>
    </row>
    <row r="18" spans="2:9">
      <c r="B18" t="s">
        <v>11</v>
      </c>
    </row>
    <row r="19" spans="2:9"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2:9">
      <c r="C20" t="s">
        <v>2</v>
      </c>
      <c r="D20" t="s">
        <v>3</v>
      </c>
      <c r="E20" s="1">
        <v>0.2</v>
      </c>
      <c r="F20" s="1">
        <v>0.4</v>
      </c>
      <c r="G20" t="s">
        <v>0</v>
      </c>
      <c r="H20" t="s">
        <v>1</v>
      </c>
      <c r="I20" t="s">
        <v>4</v>
      </c>
    </row>
    <row r="21" spans="2:9">
      <c r="B21" t="s">
        <v>13</v>
      </c>
      <c r="C21" t="e">
        <f>ROUND(AVERAGE(seed1!C21,seed2!C21,seed3!C21,seed7!C21,seed11!C21),4)</f>
        <v>#DIV/0!</v>
      </c>
      <c r="D21" t="e">
        <f>ROUND(AVERAGE(seed1!D21,seed2!D21,seed3!D21,seed7!D21,seed11!D21),4)</f>
        <v>#DIV/0!</v>
      </c>
      <c r="E21" t="e">
        <f>ROUND(AVERAGE(seed1!E21,seed2!E21,seed3!E21,seed7!E21,seed11!E21),4)</f>
        <v>#DIV/0!</v>
      </c>
      <c r="F21" t="e">
        <f>ROUND(AVERAGE(seed1!F21,seed2!F21,seed3!F21,seed7!F21,seed11!F21),4)</f>
        <v>#DIV/0!</v>
      </c>
      <c r="G21" t="e">
        <f>ROUND(AVERAGE(seed1!G21,seed2!G21,seed3!G21,seed7!G21,seed11!G21),4)</f>
        <v>#DIV/0!</v>
      </c>
      <c r="H21" t="e">
        <f>ROUND(AVERAGE(seed1!H21,seed2!H21,seed3!H21,seed7!H21,seed11!H21),4)</f>
        <v>#DIV/0!</v>
      </c>
      <c r="I21" t="e">
        <f>ROUND(AVERAGE(seed1!I21,seed2!I21,seed3!I21,seed7!I21,seed11!I21),4)</f>
        <v>#DIV/0!</v>
      </c>
    </row>
    <row r="22" spans="2:9">
      <c r="B22" t="s">
        <v>14</v>
      </c>
      <c r="C22" t="e">
        <f>ROUND(AVERAGE(seed1!C22,seed2!C22,seed3!C22,seed7!C22,seed11!C22),4)</f>
        <v>#DIV/0!</v>
      </c>
      <c r="D22" t="e">
        <f>ROUND(AVERAGE(seed1!D22,seed2!D22,seed3!D22,seed7!D22,seed11!D22),4)</f>
        <v>#DIV/0!</v>
      </c>
      <c r="E22" t="e">
        <f>ROUND(AVERAGE(seed1!E22,seed2!E22,seed3!E22,seed7!E22,seed11!E22),4)</f>
        <v>#DIV/0!</v>
      </c>
      <c r="F22" t="e">
        <f>ROUND(AVERAGE(seed1!F22,seed2!F22,seed3!F22,seed7!F22,seed11!F22),4)</f>
        <v>#DIV/0!</v>
      </c>
      <c r="G22" t="e">
        <f>ROUND(AVERAGE(seed1!G22,seed2!G22,seed3!G22,seed7!G22,seed11!G22),4)</f>
        <v>#DIV/0!</v>
      </c>
      <c r="H22" t="e">
        <f>ROUND(AVERAGE(seed1!H22,seed2!H22,seed3!H22,seed7!H22,seed11!H22),4)</f>
        <v>#DIV/0!</v>
      </c>
      <c r="I22" t="e">
        <f>ROUND(AVERAGE(seed1!I22,seed2!I22,seed3!I22,seed7!I22,seed11!I22),4)</f>
        <v>#DIV/0!</v>
      </c>
    </row>
    <row r="23" spans="2:9">
      <c r="B23" t="s">
        <v>5</v>
      </c>
      <c r="C23" t="e">
        <f>ROUND(AVERAGE(seed1!C23,seed2!C23,seed3!C23,seed7!C23,seed11!C23),4)</f>
        <v>#DIV/0!</v>
      </c>
      <c r="D23" t="e">
        <f>ROUND(AVERAGE(seed1!D23,seed2!D23,seed3!D23,seed7!D23,seed11!D23),4)</f>
        <v>#DIV/0!</v>
      </c>
      <c r="E23" t="e">
        <f>ROUND(AVERAGE(seed1!E23,seed2!E23,seed3!E23,seed7!E23,seed11!E23),4)</f>
        <v>#DIV/0!</v>
      </c>
      <c r="F23" t="e">
        <f>ROUND(AVERAGE(seed1!F23,seed2!F23,seed3!F23,seed7!F23,seed11!F23),4)</f>
        <v>#DIV/0!</v>
      </c>
      <c r="G23" t="e">
        <f>ROUND(AVERAGE(seed1!G23,seed2!G23,seed3!G23,seed7!G23,seed11!G23),4)</f>
        <v>#DIV/0!</v>
      </c>
      <c r="H23" t="e">
        <f>ROUND(AVERAGE(seed1!H23,seed2!H23,seed3!H23,seed7!H23,seed11!H23),4)</f>
        <v>#DIV/0!</v>
      </c>
      <c r="I23" t="e">
        <f>ROUND(AVERAGE(seed1!I23,seed2!I23,seed3!I23,seed7!I23,seed11!I23),4)</f>
        <v>#DIV/0!</v>
      </c>
    </row>
    <row r="24" spans="2:9">
      <c r="B24" t="s">
        <v>13</v>
      </c>
      <c r="C24" t="e">
        <f>ROUND(AVERAGE(seed1!C24,seed2!C24,seed3!C24,seed7!C24,seed11!C24),4)</f>
        <v>#DIV/0!</v>
      </c>
      <c r="D24" t="e">
        <f>ROUND(AVERAGE(seed1!D24,seed2!D24,seed3!D24,seed7!D24,seed11!D24),4)</f>
        <v>#DIV/0!</v>
      </c>
      <c r="E24" t="e">
        <f>ROUND(AVERAGE(seed1!E24,seed2!E24,seed3!E24,seed7!E24,seed11!E24),4)</f>
        <v>#DIV/0!</v>
      </c>
      <c r="F24" t="e">
        <f>ROUND(AVERAGE(seed1!F24,seed2!F24,seed3!F24,seed7!F24,seed11!F24),4)</f>
        <v>#DIV/0!</v>
      </c>
      <c r="G24" t="e">
        <f>ROUND(AVERAGE(seed1!G24,seed2!G24,seed3!G24,seed7!G24,seed11!G24),4)</f>
        <v>#DIV/0!</v>
      </c>
      <c r="H24" t="e">
        <f>ROUND(AVERAGE(seed1!H24,seed2!H24,seed3!H24,seed7!H24,seed11!H24),4)</f>
        <v>#DIV/0!</v>
      </c>
      <c r="I24" t="e">
        <f>ROUND(AVERAGE(seed1!I24,seed2!I24,seed3!I24,seed7!I24,seed11!I24),4)</f>
        <v>#DIV/0!</v>
      </c>
    </row>
    <row r="25" spans="2:9">
      <c r="B25" t="s">
        <v>14</v>
      </c>
      <c r="C25" t="e">
        <f>ROUND(AVERAGE(seed1!C25,seed2!C25,seed3!C25,seed7!C25,seed11!C25),4)</f>
        <v>#DIV/0!</v>
      </c>
      <c r="D25" t="e">
        <f>ROUND(AVERAGE(seed1!D25,seed2!D25,seed3!D25,seed7!D25,seed11!D25),4)</f>
        <v>#DIV/0!</v>
      </c>
      <c r="E25" t="e">
        <f>ROUND(AVERAGE(seed1!E25,seed2!E25,seed3!E25,seed7!E25,seed11!E25),4)</f>
        <v>#DIV/0!</v>
      </c>
      <c r="F25" t="e">
        <f>ROUND(AVERAGE(seed1!F25,seed2!F25,seed3!F25,seed7!F25,seed11!F25),4)</f>
        <v>#DIV/0!</v>
      </c>
      <c r="G25" t="e">
        <f>ROUND(AVERAGE(seed1!G25,seed2!G25,seed3!G25,seed7!G25,seed11!G25),4)</f>
        <v>#DIV/0!</v>
      </c>
      <c r="H25" t="e">
        <f>ROUND(AVERAGE(seed1!H25,seed2!H25,seed3!H25,seed7!H25,seed11!H25),4)</f>
        <v>#DIV/0!</v>
      </c>
      <c r="I25" t="e">
        <f>ROUND(AVERAGE(seed1!I25,seed2!I25,seed3!I25,seed7!I25,seed11!I25),4)</f>
        <v>#DIV/0!</v>
      </c>
    </row>
    <row r="26" spans="2:9">
      <c r="B26" t="s">
        <v>6</v>
      </c>
      <c r="C26" t="e">
        <f>ROUND(AVERAGE(seed1!C26,seed2!C26,seed3!C26,seed7!C26,seed11!C26),4)</f>
        <v>#DIV/0!</v>
      </c>
      <c r="D26" t="e">
        <f>ROUND(AVERAGE(seed1!D26,seed2!D26,seed3!D26,seed7!D26,seed11!D26),4)</f>
        <v>#DIV/0!</v>
      </c>
      <c r="E26" t="e">
        <f>ROUND(AVERAGE(seed1!E26,seed2!E26,seed3!E26,seed7!E26,seed11!E26),4)</f>
        <v>#DIV/0!</v>
      </c>
      <c r="F26" t="e">
        <f>ROUND(AVERAGE(seed1!F26,seed2!F26,seed3!F26,seed7!F26,seed11!F26),4)</f>
        <v>#DIV/0!</v>
      </c>
      <c r="G26" t="e">
        <f>ROUND(AVERAGE(seed1!G26,seed2!G26,seed3!G26,seed7!G26,seed11!G26),4)</f>
        <v>#DIV/0!</v>
      </c>
      <c r="H26" t="e">
        <f>ROUND(AVERAGE(seed1!H26,seed2!H26,seed3!H26,seed7!H26,seed11!H26),4)</f>
        <v>#DIV/0!</v>
      </c>
      <c r="I26" t="e">
        <f>ROUND(AVERAGE(seed1!I26,seed2!I26,seed3!I26,seed7!I26,seed11!I26),4)</f>
        <v>#DIV/0!</v>
      </c>
    </row>
    <row r="27" spans="2:9">
      <c r="B27" t="s">
        <v>13</v>
      </c>
      <c r="C27" t="e">
        <f>ROUND(AVERAGE(seed1!C27,seed2!C27,seed3!C27,seed7!C27,seed11!C27),4)</f>
        <v>#DIV/0!</v>
      </c>
      <c r="D27" t="e">
        <f>ROUND(AVERAGE(seed1!D27,seed2!D27,seed3!D27,seed7!D27,seed11!D27),4)</f>
        <v>#DIV/0!</v>
      </c>
      <c r="E27" t="e">
        <f>ROUND(AVERAGE(seed1!E27,seed2!E27,seed3!E27,seed7!E27,seed11!E27),4)</f>
        <v>#DIV/0!</v>
      </c>
      <c r="F27" t="e">
        <f>ROUND(AVERAGE(seed1!F27,seed2!F27,seed3!F27,seed7!F27,seed11!F27),4)</f>
        <v>#DIV/0!</v>
      </c>
      <c r="G27" t="e">
        <f>ROUND(AVERAGE(seed1!G27,seed2!G27,seed3!G27,seed7!G27,seed11!G27),4)</f>
        <v>#DIV/0!</v>
      </c>
      <c r="H27" t="e">
        <f>ROUND(AVERAGE(seed1!H27,seed2!H27,seed3!H27,seed7!H27,seed11!H27),4)</f>
        <v>#DIV/0!</v>
      </c>
      <c r="I27" t="e">
        <f>ROUND(AVERAGE(seed1!I27,seed2!I27,seed3!I27,seed7!I27,seed11!I27),4)</f>
        <v>#DIV/0!</v>
      </c>
    </row>
    <row r="28" spans="2:9">
      <c r="B28" t="s">
        <v>14</v>
      </c>
      <c r="C28" t="e">
        <f>ROUND(AVERAGE(seed1!C28,seed2!C28,seed3!C28,seed7!C28,seed11!C28),4)</f>
        <v>#DIV/0!</v>
      </c>
      <c r="D28" t="e">
        <f>ROUND(AVERAGE(seed1!D28,seed2!D28,seed3!D28,seed7!D28,seed11!D28),4)</f>
        <v>#DIV/0!</v>
      </c>
      <c r="E28" t="e">
        <f>ROUND(AVERAGE(seed1!E28,seed2!E28,seed3!E28,seed7!E28,seed11!E28),4)</f>
        <v>#DIV/0!</v>
      </c>
      <c r="F28" t="e">
        <f>ROUND(AVERAGE(seed1!F28,seed2!F28,seed3!F28,seed7!F28,seed11!F28),4)</f>
        <v>#DIV/0!</v>
      </c>
      <c r="G28" t="e">
        <f>ROUND(AVERAGE(seed1!G28,seed2!G28,seed3!G28,seed7!G28,seed11!G28),4)</f>
        <v>#DIV/0!</v>
      </c>
      <c r="H28" t="e">
        <f>ROUND(AVERAGE(seed1!H28,seed2!H28,seed3!H28,seed7!H28,seed11!H28),4)</f>
        <v>#DIV/0!</v>
      </c>
      <c r="I28" t="e">
        <f>ROUND(AVERAGE(seed1!I28,seed2!I28,seed3!I28,seed7!I28,seed11!I28),4)</f>
        <v>#DIV/0!</v>
      </c>
    </row>
    <row r="29" spans="2:9">
      <c r="B29" t="s">
        <v>7</v>
      </c>
      <c r="C29" t="e">
        <f>ROUND(AVERAGE(seed1!C29,seed2!C29,seed3!C29,seed7!C29,seed11!C29),4)</f>
        <v>#DIV/0!</v>
      </c>
      <c r="D29" t="e">
        <f>ROUND(AVERAGE(seed1!D29,seed2!D29,seed3!D29,seed7!D29,seed11!D29),4)</f>
        <v>#DIV/0!</v>
      </c>
      <c r="E29" t="e">
        <f>ROUND(AVERAGE(seed1!E29,seed2!E29,seed3!E29,seed7!E29,seed11!E29),4)</f>
        <v>#DIV/0!</v>
      </c>
      <c r="F29" t="e">
        <f>ROUND(AVERAGE(seed1!F29,seed2!F29,seed3!F29,seed7!F29,seed11!F29),4)</f>
        <v>#DIV/0!</v>
      </c>
      <c r="G29" t="e">
        <f>ROUND(AVERAGE(seed1!G29,seed2!G29,seed3!G29,seed7!G29,seed11!G29),4)</f>
        <v>#DIV/0!</v>
      </c>
      <c r="H29" t="e">
        <f>ROUND(AVERAGE(seed1!H29,seed2!H29,seed3!H29,seed7!H29,seed11!H29),4)</f>
        <v>#DIV/0!</v>
      </c>
      <c r="I29" t="e">
        <f>ROUND(AVERAGE(seed1!I29,seed2!I29,seed3!I29,seed7!I29,seed11!I29),4)</f>
        <v>#DIV/0!</v>
      </c>
    </row>
    <row r="30" spans="2:9">
      <c r="B30" t="s">
        <v>8</v>
      </c>
      <c r="C30" t="e">
        <f>ROUND(AVERAGE(seed1!C30,seed2!C30,seed3!C30,seed7!C30,seed11!C30),1)</f>
        <v>#DIV/0!</v>
      </c>
      <c r="D30" t="e">
        <f>ROUND(AVERAGE(seed1!D30,seed2!D30,seed3!D30,seed7!D30,seed11!D30),1)</f>
        <v>#DIV/0!</v>
      </c>
      <c r="E30" t="e">
        <f>ROUND(AVERAGE(seed1!E30,seed2!E30,seed3!E30,seed7!E30,seed11!E30),1)</f>
        <v>#DIV/0!</v>
      </c>
      <c r="F30" t="e">
        <f>ROUND(AVERAGE(seed1!F30,seed2!F30,seed3!F30,seed7!F30,seed11!F30),1)</f>
        <v>#DIV/0!</v>
      </c>
      <c r="G30" t="e">
        <f>ROUND(AVERAGE(seed1!G30,seed2!G30,seed3!G30,seed7!G30,seed11!G30),1)</f>
        <v>#DIV/0!</v>
      </c>
      <c r="H30" t="e">
        <f>ROUND(AVERAGE(seed1!H30,seed2!H30,seed3!H30,seed7!H30,seed11!H30),1)</f>
        <v>#DIV/0!</v>
      </c>
      <c r="I30" t="e">
        <f>ROUND(AVERAGE(seed1!I30,seed2!I30,seed3!I30,seed7!I30,seed11!I30),1)</f>
        <v>#DIV/0!</v>
      </c>
    </row>
    <row r="31" spans="2:9">
      <c r="B31" t="s">
        <v>9</v>
      </c>
      <c r="C31" t="e">
        <f>ROUND(AVERAGE(seed1!C31,seed2!C31,seed3!C31,seed7!C31,seed11!C31),1)</f>
        <v>#DIV/0!</v>
      </c>
      <c r="D31" t="e">
        <f>ROUND(AVERAGE(seed1!D31,seed2!D31,seed3!D31,seed7!D31,seed11!D31),1)</f>
        <v>#DIV/0!</v>
      </c>
      <c r="E31" t="e">
        <f>ROUND(AVERAGE(seed1!E31,seed2!E31,seed3!E31,seed7!E31,seed11!E31),1)</f>
        <v>#DIV/0!</v>
      </c>
      <c r="F31" t="e">
        <f>ROUND(AVERAGE(seed1!F31,seed2!F31,seed3!F31,seed7!F31,seed11!F31),1)</f>
        <v>#DIV/0!</v>
      </c>
      <c r="G31" t="e">
        <f>ROUND(AVERAGE(seed1!G31,seed2!G31,seed3!G31,seed7!G31,seed11!G31),1)</f>
        <v>#DIV/0!</v>
      </c>
      <c r="H31" t="e">
        <f>ROUND(AVERAGE(seed1!H31,seed2!H31,seed3!H31,seed7!H31,seed11!H31),1)</f>
        <v>#DIV/0!</v>
      </c>
      <c r="I31" t="e">
        <f>ROUND(AVERAGE(seed1!I31,seed2!I31,seed3!I31,seed7!I31,seed11!I31),1)</f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seed7</vt:lpstr>
      <vt:lpstr>seed11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2026-02-13T12:00:01Z</dcterms:modified>
</cp:coreProperties>
</file>