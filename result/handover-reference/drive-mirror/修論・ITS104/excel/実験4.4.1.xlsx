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EF94E6E7-CF26-7A4F-B6D9-045DB984C910}" xr6:coauthVersionLast="47" xr6:coauthVersionMax="47" xr10:uidLastSave="{00000000-0000-0000-0000-000000000000}"/>
  <bookViews>
    <workbookView xWindow="1400" yWindow="1060" windowWidth="26700" windowHeight="14560" activeTab="5" xr2:uid="{C5CA4C6E-6361-2F40-A2A3-1A2A3BC48401}"/>
  </bookViews>
  <sheets>
    <sheet name="seed1" sheetId="1" r:id="rId1"/>
    <sheet name="seed2" sheetId="3" r:id="rId2"/>
    <sheet name="seed3" sheetId="4" r:id="rId3"/>
    <sheet name="seed6" sheetId="5" r:id="rId4"/>
    <sheet name="seed8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" i="2" l="1"/>
  <c r="U15" i="2"/>
  <c r="U14" i="2"/>
  <c r="T15" i="2"/>
  <c r="I5" i="2" l="1"/>
  <c r="I6" i="2"/>
  <c r="I7" i="2"/>
  <c r="I8" i="2"/>
  <c r="I9" i="2"/>
  <c r="I15" i="2"/>
  <c r="I16" i="2"/>
  <c r="I17" i="2"/>
  <c r="I18" i="2"/>
  <c r="I19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L9" i="2"/>
  <c r="M9" i="2"/>
  <c r="N9" i="2"/>
  <c r="O9" i="2"/>
  <c r="P9" i="2"/>
  <c r="Q9" i="2"/>
  <c r="M8" i="2"/>
  <c r="N8" i="2"/>
  <c r="O8" i="2"/>
  <c r="P8" i="2"/>
  <c r="Q8" i="2"/>
  <c r="L8" i="2"/>
  <c r="M5" i="2"/>
  <c r="N5" i="2"/>
  <c r="O5" i="2"/>
  <c r="P5" i="2"/>
  <c r="Q5" i="2"/>
  <c r="M6" i="2"/>
  <c r="N6" i="2"/>
  <c r="O6" i="2"/>
  <c r="P6" i="2"/>
  <c r="Q6" i="2"/>
  <c r="M7" i="2"/>
  <c r="N7" i="2"/>
  <c r="O7" i="2"/>
  <c r="P7" i="2"/>
  <c r="Q7" i="2"/>
  <c r="L6" i="2"/>
  <c r="L7" i="2"/>
  <c r="L5" i="2"/>
</calcChain>
</file>

<file path=xl/sharedStrings.xml><?xml version="1.0" encoding="utf-8"?>
<sst xmlns="http://schemas.openxmlformats.org/spreadsheetml/2006/main" count="193" uniqueCount="22">
  <si>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</si>
  <si>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</si>
  <si>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</si>
  <si>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</si>
  <si>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性能込み</t>
    <rPh sb="0" eb="2">
      <t>セイノウ</t>
    </rPh>
    <rPh sb="2" eb="3">
      <t>コミ</t>
    </rPh>
    <phoneticPr fontId="1"/>
  </si>
  <si>
    <t>全体</t>
    <rPh sb="0" eb="2">
      <t>ゼンタイ</t>
    </rPh>
    <phoneticPr fontId="1"/>
  </si>
  <si>
    <t>希望車両</t>
    <rPh sb="0" eb="4">
      <t>キボウ</t>
    </rPh>
    <phoneticPr fontId="1"/>
  </si>
  <si>
    <t>受入れ車両</t>
    <rPh sb="0" eb="2">
      <t>ウケイレ</t>
    </rPh>
    <phoneticPr fontId="1"/>
  </si>
  <si>
    <t>通過_希望</t>
    <rPh sb="0" eb="2">
      <t>ツウカ</t>
    </rPh>
    <rPh sb="3" eb="5">
      <t>キボウ</t>
    </rPh>
    <phoneticPr fontId="1"/>
  </si>
  <si>
    <t>通過_受入れ</t>
    <rPh sb="0" eb="1">
      <t>ツウカ</t>
    </rPh>
    <rPh sb="3" eb="5">
      <t>ウケイレ</t>
    </rPh>
    <phoneticPr fontId="1"/>
  </si>
  <si>
    <t>1000/1000</t>
    <phoneticPr fontId="1"/>
  </si>
  <si>
    <t>800/1200</t>
    <phoneticPr fontId="1"/>
  </si>
  <si>
    <t>1200/800</t>
    <phoneticPr fontId="1"/>
  </si>
  <si>
    <t>seed7</t>
    <phoneticPr fontId="1"/>
  </si>
  <si>
    <t>受け入れ</t>
    <rPh sb="0" eb="1">
      <t>ウケイレ</t>
    </rPh>
    <phoneticPr fontId="1"/>
  </si>
  <si>
    <t>本線</t>
    <rPh sb="0" eb="2">
      <t>ホンセn</t>
    </rPh>
    <phoneticPr fontId="1"/>
  </si>
  <si>
    <t>合流</t>
    <rPh sb="0" eb="2">
      <t>ゴウリュウ</t>
    </rPh>
    <phoneticPr fontId="1"/>
  </si>
  <si>
    <t>ALW</t>
    <phoneticPr fontId="1"/>
  </si>
  <si>
    <t>ACT</t>
    <phoneticPr fontId="1"/>
  </si>
  <si>
    <t>SPD</t>
    <phoneticPr fontId="1"/>
  </si>
  <si>
    <t>UTF</t>
    <phoneticPr fontId="1"/>
  </si>
  <si>
    <t>TIV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</si>
</sst>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25530202885223"/>
          <c:y val="4.6768343357795839E-2"/>
          <c:w val="0.82450367526773838"/>
          <c:h val="0.75889617964421119"/>
        </c:manualLayout>
      </c:layout>
      <c:lineChart>
        <c:grouping val="standard"/>
        <c:varyColors val="0"/>
        <c:ser>
          <c:idx val="0"/>
          <c:order val="0"/>
          <c:tx>
            <c:strRef>
              <c:f>平均!$N$13</c:f>
              <c:strCache>
                <c:ptCount val="1"/>
                <c:pt idx="0">
                  <c:v>ALW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cat>
            <c:numRef>
              <c:f>平均!$M$14:$M$16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cat>
          <c:val>
            <c:numRef>
              <c:f>平均!$N$14:$N$16</c:f>
              <c:numCache>
                <c:formatCode>General</c:formatCode>
                <c:ptCount val="3"/>
                <c:pt idx="0">
                  <c:v>4.0606</c:v>
                </c:pt>
                <c:pt idx="1">
                  <c:v>4.1117999999999997</c:v>
                </c:pt>
                <c:pt idx="2">
                  <c:v>4.7337999999999996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B-3340-A1EA-23576EF32F3F}"/>
            </c:ext>
          </c:extLst>
        </c:ser>
        <c:ser>
          <c:idx val="1"/>
          <c:order val="1"/>
          <c:tx>
            <c:strRef>
              <c:f>平均!$O$13</c:f>
              <c:strCache>
                <c:ptCount val="1"/>
                <c:pt idx="0">
                  <c:v>ACT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平均!$M$14:$M$16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cat>
          <c:val>
            <c:numRef>
              <c:f>平均!$O$14:$O$16</c:f>
              <c:numCache>
                <c:formatCode>General</c:formatCode>
                <c:ptCount val="3"/>
                <c:pt idx="0">
                  <c:v>3.9883000000000002</c:v>
                </c:pt>
                <c:pt idx="1">
                  <c:v>3.7198000000000002</c:v>
                </c:pt>
                <c:pt idx="2">
                  <c:v>3.4712000000000001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B-3340-A1EA-23576EF32F3F}"/>
            </c:ext>
          </c:extLst>
        </c:ser>
        <c:ser>
          <c:idx val="2"/>
          <c:order val="2"/>
          <c:tx>
            <c:strRef>
              <c:f>平均!$P$13</c:f>
              <c:strCache>
                <c:ptCount val="1"/>
                <c:pt idx="0">
                  <c:v>SPD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25400">
                <a:solidFill>
                  <a:schemeClr val="accent3"/>
                </a:solidFill>
              </a:ln>
              <a:effectLst/>
            </c:spPr>
          </c:marker>
          <c:cat>
            <c:numRef>
              <c:f>平均!$M$14:$M$16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cat>
          <c:val>
            <c:numRef>
              <c:f>平均!$P$14:$P$16</c:f>
              <c:numCache>
                <c:formatCode>General</c:formatCode>
                <c:ptCount val="3"/>
                <c:pt idx="0">
                  <c:v>4.2267000000000001</c:v>
                </c:pt>
                <c:pt idx="1">
                  <c:v>3.8212000000000002</c:v>
                </c:pt>
                <c:pt idx="2">
                  <c:v>3.8368000000000002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B-3340-A1EA-23576EF32F3F}"/>
            </c:ext>
          </c:extLst>
        </c:ser>
        <c:ser>
          <c:idx val="3"/>
          <c:order val="3"/>
          <c:tx>
            <c:strRef>
              <c:f>平均!$Q$13</c:f>
              <c:strCache>
                <c:ptCount val="1"/>
                <c:pt idx="0">
                  <c:v>UTF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5400">
                <a:solidFill>
                  <a:schemeClr val="accent4"/>
                </a:solidFill>
              </a:ln>
              <a:effectLst/>
            </c:spPr>
          </c:marker>
          <c:cat>
            <c:numRef>
              <c:f>平均!$M$14:$M$16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cat>
          <c:val>
            <c:numRef>
              <c:f>平均!$Q$14:$Q$16</c:f>
              <c:numCache>
                <c:formatCode>General</c:formatCode>
                <c:ptCount val="3"/>
                <c:pt idx="0">
                  <c:v>4.5430000000000001</c:v>
                </c:pt>
                <c:pt idx="1">
                  <c:v>4.3099999999999996</c:v>
                </c:pt>
                <c:pt idx="2">
                  <c:v>4.7446999999999999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2B-3340-A1EA-23576EF32F3F}"/>
            </c:ext>
          </c:extLst>
        </c:ser>
        <c:ser>
          <c:idx val="4"/>
          <c:order val="4"/>
          <c:tx>
            <c:strRef>
              <c:f>平均!$R$13</c:f>
              <c:strCache>
                <c:ptCount val="1"/>
                <c:pt idx="0">
                  <c:v>TIV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平均!$M$14:$M$16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cat>
          <c:val>
            <c:numRef>
              <c:f>平均!$R$14:$R$16</c:f>
              <c:numCache>
                <c:formatCode>General</c:formatCode>
                <c:ptCount val="3"/>
                <c:pt idx="0">
                  <c:v>4.4439000000000002</c:v>
                </c:pt>
                <c:pt idx="1">
                  <c:v>4.8032000000000004</c:v>
                </c:pt>
                <c:pt idx="2">
                  <c:v>4.6600999999999999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2B-3340-A1EA-23576EF32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909376"/>
        <c:axId val="250583616"/>
      </c:lineChart>
      <c:catAx>
        <c:axId val="108590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Inflow</a:t>
                </a:r>
                <a:r>
                  <a:rPr lang="en-US" altLang="ja-JP" sz="1400" baseline="0"/>
                  <a:t> from B  [vehicles/h]</a:t>
                </a:r>
                <a:endParaRPr lang="ja-JP" altLang="en-US" sz="1400"/>
              </a:p>
            </c:rich>
          </c:tx>
          <c:layout>
            <c:manualLayout>
              <c:xMode val="edge"/>
              <c:yMode val="edge"/>
              <c:x val="0.35285127072011374"/>
              <c:y val="0.90122969870268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0583616"/>
        <c:crosses val="autoZero"/>
        <c:auto val="1"/>
        <c:lblAlgn val="ctr"/>
        <c:lblOffset val="100"/>
        <c:noMultiLvlLbl val="0"/>
      </c:catAx>
      <c:valAx>
        <c:axId val="25058361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/>
                  <a:t>Total</a:t>
                </a:r>
                <a:r>
                  <a:rPr lang="en-US" altLang="ja-JP" sz="1400" baseline="0"/>
                  <a:t> average speed [m/s]</a:t>
                </a:r>
                <a:endParaRPr lang="ja-JP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909376"/>
        <c:crosses val="autoZero"/>
        <c:crossBetween val="between"/>
        <c:majorUnit val="0.5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209416037107286"/>
          <c:y val="0.62605010353133417"/>
          <c:w val="0.46349161340981959"/>
          <c:h val="0.182863444152814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687070</xdr:colOff>
      <xdr:row>16</xdr:row>
      <xdr:rowOff>228600</xdr:rowOff>
    </xdr:from>
    <xdr:to>
      <xdr:col>16</xdr:col>
      <xdr:colOff>609600</xdr:colOff>
      <xdr:row>28</xdr:row>
      <xdr:rowOff>20320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9175FB4-AAF9-68A8-D595-E40FE7F92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Q19"/>
  <sheetViews>
    <sheetView workbookViewId="0">
      <selection activeCell="Q10" sqref="Q10"/>
    </sheetView>
  </sheetViews>
  <sheetFormatPr baseColWidth="10" defaultRowHeight="20"/>
  <sheetData>
    <row r="2" spans="2:17">
      <c r="B2" t="s">
        <v>10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</row>
    <row r="5" spans="2:17">
      <c r="B5" t="s">
        <v>5</v>
      </c>
      <c r="C5">
        <v>4.1063000000000001</v>
      </c>
      <c r="D5">
        <v>3.7395999999999998</v>
      </c>
      <c r="E5">
        <v>3.7395999999999998</v>
      </c>
      <c r="F5">
        <v>3.8483999999999998</v>
      </c>
      <c r="G5">
        <v>4.5636999999999999</v>
      </c>
      <c r="H5">
        <v>4.8644999999999996</v>
      </c>
      <c r="I5">
        <v>4.8644999999999996</v>
      </c>
      <c r="K5" t="s">
        <v>5</v>
      </c>
      <c r="L5">
        <v>4.3750999999999998</v>
      </c>
      <c r="M5">
        <v>3.5476999999999999</v>
      </c>
      <c r="N5">
        <v>3.5476999999999999</v>
      </c>
      <c r="O5">
        <v>3.7389000000000001</v>
      </c>
      <c r="P5">
        <v>4.9972000000000003</v>
      </c>
      <c r="Q5">
        <v>4.6592000000000002</v>
      </c>
    </row>
    <row r="6" spans="2:17">
      <c r="B6" t="s">
        <v>6</v>
      </c>
      <c r="C6">
        <v>2.5823</v>
      </c>
      <c r="D6">
        <v>0.74950000000000006</v>
      </c>
      <c r="E6">
        <v>0.74950000000000006</v>
      </c>
      <c r="F6">
        <v>0.86380000000000001</v>
      </c>
      <c r="G6">
        <v>2.5861000000000001</v>
      </c>
      <c r="H6">
        <v>2.8666</v>
      </c>
      <c r="I6">
        <v>2.8666</v>
      </c>
      <c r="K6" t="s">
        <v>6</v>
      </c>
      <c r="L6">
        <v>2.6192000000000002</v>
      </c>
      <c r="M6">
        <v>1.1754</v>
      </c>
      <c r="N6">
        <v>1.1754</v>
      </c>
      <c r="O6">
        <v>1.3956999999999999</v>
      </c>
      <c r="P6">
        <v>3.2749000000000001</v>
      </c>
      <c r="Q6">
        <v>2.9767000000000001</v>
      </c>
    </row>
    <row r="7" spans="2:17">
      <c r="B7" t="s">
        <v>7</v>
      </c>
      <c r="C7">
        <v>6.5129999999999999</v>
      </c>
      <c r="D7">
        <v>12.812900000000001</v>
      </c>
      <c r="E7">
        <v>12.812900000000001</v>
      </c>
      <c r="F7">
        <v>12.736000000000001</v>
      </c>
      <c r="G7">
        <v>8.1819000000000006</v>
      </c>
      <c r="H7">
        <v>8.7254000000000005</v>
      </c>
      <c r="I7">
        <v>8.7254000000000005</v>
      </c>
      <c r="K7" t="s">
        <v>7</v>
      </c>
      <c r="L7">
        <v>9.2651000000000003</v>
      </c>
      <c r="M7">
        <v>12.774800000000001</v>
      </c>
      <c r="N7">
        <v>12.774800000000001</v>
      </c>
      <c r="O7">
        <v>12.7059</v>
      </c>
      <c r="P7">
        <v>10.146599999999999</v>
      </c>
      <c r="Q7">
        <v>9.5431000000000008</v>
      </c>
    </row>
    <row r="8" spans="2:17">
      <c r="B8" t="s">
        <v>8</v>
      </c>
      <c r="C8">
        <v>81</v>
      </c>
      <c r="D8">
        <v>19</v>
      </c>
      <c r="E8">
        <v>19</v>
      </c>
      <c r="F8">
        <v>23</v>
      </c>
      <c r="G8">
        <v>85</v>
      </c>
      <c r="H8">
        <v>94</v>
      </c>
      <c r="I8">
        <v>94</v>
      </c>
      <c r="K8" t="s">
        <v>8</v>
      </c>
      <c r="L8">
        <v>91</v>
      </c>
      <c r="M8">
        <v>35</v>
      </c>
      <c r="N8">
        <v>35</v>
      </c>
      <c r="O8">
        <v>43</v>
      </c>
      <c r="P8">
        <v>114</v>
      </c>
      <c r="Q8">
        <v>102</v>
      </c>
    </row>
    <row r="9" spans="2:17">
      <c r="B9" t="s">
        <v>9</v>
      </c>
      <c r="C9">
        <v>137</v>
      </c>
      <c r="D9">
        <v>162</v>
      </c>
      <c r="E9">
        <v>162</v>
      </c>
      <c r="F9">
        <v>162</v>
      </c>
      <c r="G9">
        <v>159</v>
      </c>
      <c r="H9">
        <v>161</v>
      </c>
      <c r="I9">
        <v>161</v>
      </c>
      <c r="K9" t="s">
        <v>9</v>
      </c>
      <c r="L9">
        <v>124</v>
      </c>
      <c r="M9">
        <v>125</v>
      </c>
      <c r="N9">
        <v>125</v>
      </c>
      <c r="O9">
        <v>125</v>
      </c>
      <c r="P9">
        <v>124</v>
      </c>
      <c r="Q9">
        <v>118</v>
      </c>
    </row>
    <row r="12" spans="2:17">
      <c r="B12" t="s">
        <v>11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2</v>
      </c>
      <c r="D14" t="s">
        <v>3</v>
      </c>
      <c r="E14" s="1">
        <v>0.2</v>
      </c>
      <c r="F14" s="1">
        <v>0.4</v>
      </c>
      <c r="G14" t="s">
        <v>0</v>
      </c>
      <c r="H14" t="s">
        <v>1</v>
      </c>
    </row>
    <row r="15" spans="2:17">
      <c r="B15" t="s">
        <v>5</v>
      </c>
      <c r="C15">
        <v>4.0366</v>
      </c>
      <c r="D15">
        <v>3.8605</v>
      </c>
      <c r="E15">
        <v>3.8605</v>
      </c>
      <c r="F15">
        <v>4.1321000000000003</v>
      </c>
      <c r="G15">
        <v>4.1974</v>
      </c>
      <c r="H15">
        <v>4.3266</v>
      </c>
    </row>
    <row r="16" spans="2:17">
      <c r="B16" t="s">
        <v>6</v>
      </c>
      <c r="C16">
        <v>2.2934999999999999</v>
      </c>
      <c r="D16">
        <v>0.41239999999999999</v>
      </c>
      <c r="E16">
        <v>0.41239999999999999</v>
      </c>
      <c r="F16">
        <v>0.64380000000000004</v>
      </c>
      <c r="G16">
        <v>0.87639999999999996</v>
      </c>
      <c r="H16">
        <v>2.3029000000000002</v>
      </c>
    </row>
    <row r="17" spans="2:8">
      <c r="B17" t="s">
        <v>7</v>
      </c>
      <c r="C17">
        <v>5.9825999999999997</v>
      </c>
      <c r="D17">
        <v>12.836600000000001</v>
      </c>
      <c r="E17">
        <v>12.836600000000001</v>
      </c>
      <c r="F17">
        <v>12.753</v>
      </c>
      <c r="G17">
        <v>11.9693</v>
      </c>
      <c r="H17">
        <v>6.9320000000000004</v>
      </c>
    </row>
    <row r="18" spans="2:8">
      <c r="B18" t="s">
        <v>8</v>
      </c>
      <c r="C18">
        <v>70</v>
      </c>
      <c r="D18">
        <v>6</v>
      </c>
      <c r="E18">
        <v>6</v>
      </c>
      <c r="F18">
        <v>14</v>
      </c>
      <c r="G18">
        <v>23</v>
      </c>
      <c r="H18">
        <v>73</v>
      </c>
    </row>
    <row r="19" spans="2:8">
      <c r="B19" t="s">
        <v>9</v>
      </c>
      <c r="C19">
        <v>183</v>
      </c>
      <c r="D19">
        <v>193</v>
      </c>
      <c r="E19">
        <v>193</v>
      </c>
      <c r="F19">
        <v>193</v>
      </c>
      <c r="G19">
        <v>193</v>
      </c>
      <c r="H19">
        <v>186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Q19"/>
  <sheetViews>
    <sheetView workbookViewId="0">
      <selection activeCell="Q10" sqref="Q10"/>
    </sheetView>
  </sheetViews>
  <sheetFormatPr baseColWidth="10" defaultRowHeight="20"/>
  <sheetData>
    <row r="2" spans="2:17">
      <c r="B2" t="s">
        <v>10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</row>
    <row r="5" spans="2:17">
      <c r="B5" t="s">
        <v>5</v>
      </c>
      <c r="C5">
        <v>2.7488000000000001</v>
      </c>
      <c r="D5">
        <v>3.7277999999999998</v>
      </c>
      <c r="E5">
        <v>3.7277999999999998</v>
      </c>
      <c r="F5">
        <v>3.6981999999999999</v>
      </c>
      <c r="G5">
        <v>5.2632000000000003</v>
      </c>
      <c r="H5">
        <v>4.6544999999999996</v>
      </c>
      <c r="K5" t="s">
        <v>5</v>
      </c>
      <c r="L5">
        <v>5.0678999999999998</v>
      </c>
      <c r="M5">
        <v>3.4598</v>
      </c>
      <c r="N5">
        <v>3.4598</v>
      </c>
      <c r="O5">
        <v>3.7486000000000002</v>
      </c>
      <c r="P5">
        <v>4.4484000000000004</v>
      </c>
      <c r="Q5">
        <v>4.3438999999999997</v>
      </c>
    </row>
    <row r="6" spans="2:17">
      <c r="B6" t="s">
        <v>6</v>
      </c>
      <c r="C6">
        <v>1.4810000000000001</v>
      </c>
      <c r="D6">
        <v>0.79510000000000003</v>
      </c>
      <c r="E6">
        <v>0.79510000000000003</v>
      </c>
      <c r="F6">
        <v>0.80120000000000002</v>
      </c>
      <c r="G6">
        <v>3.2826</v>
      </c>
      <c r="H6">
        <v>2.8041</v>
      </c>
      <c r="K6" t="s">
        <v>6</v>
      </c>
      <c r="L6">
        <v>3.2713000000000001</v>
      </c>
      <c r="M6">
        <v>1.0218</v>
      </c>
      <c r="N6">
        <v>1.0218</v>
      </c>
      <c r="O6">
        <v>1.3701000000000001</v>
      </c>
      <c r="P6">
        <v>2.5859000000000001</v>
      </c>
      <c r="Q6">
        <v>2.7974999999999999</v>
      </c>
    </row>
    <row r="7" spans="2:17">
      <c r="B7" t="s">
        <v>7</v>
      </c>
      <c r="C7">
        <v>4.4804000000000004</v>
      </c>
      <c r="D7">
        <v>12.8156</v>
      </c>
      <c r="E7">
        <v>12.8156</v>
      </c>
      <c r="F7">
        <v>12.7195</v>
      </c>
      <c r="G7">
        <v>9.4400999999999993</v>
      </c>
      <c r="H7">
        <v>8.1361000000000008</v>
      </c>
      <c r="K7" t="s">
        <v>7</v>
      </c>
      <c r="L7">
        <v>10.3096</v>
      </c>
      <c r="M7">
        <v>12.7965</v>
      </c>
      <c r="N7">
        <v>12.7965</v>
      </c>
      <c r="O7">
        <v>12.6404</v>
      </c>
      <c r="P7">
        <v>9.5053999999999998</v>
      </c>
      <c r="Q7">
        <v>8.1295999999999999</v>
      </c>
    </row>
    <row r="8" spans="2:17">
      <c r="B8" t="s">
        <v>8</v>
      </c>
      <c r="C8">
        <v>45</v>
      </c>
      <c r="D8">
        <v>20</v>
      </c>
      <c r="E8">
        <v>20</v>
      </c>
      <c r="F8">
        <v>21</v>
      </c>
      <c r="G8">
        <v>107</v>
      </c>
      <c r="H8">
        <v>93</v>
      </c>
      <c r="K8" t="s">
        <v>8</v>
      </c>
      <c r="L8">
        <v>110</v>
      </c>
      <c r="M8">
        <v>29</v>
      </c>
      <c r="N8">
        <v>29</v>
      </c>
      <c r="O8">
        <v>42</v>
      </c>
      <c r="P8">
        <v>86</v>
      </c>
      <c r="Q8">
        <v>92</v>
      </c>
    </row>
    <row r="9" spans="2:17">
      <c r="B9" t="s">
        <v>9</v>
      </c>
      <c r="C9">
        <v>114</v>
      </c>
      <c r="D9">
        <v>158</v>
      </c>
      <c r="E9">
        <v>158</v>
      </c>
      <c r="F9">
        <v>158</v>
      </c>
      <c r="G9">
        <v>154</v>
      </c>
      <c r="H9">
        <v>153</v>
      </c>
      <c r="K9" t="s">
        <v>9</v>
      </c>
      <c r="L9">
        <v>126</v>
      </c>
      <c r="M9">
        <v>129</v>
      </c>
      <c r="N9">
        <v>129</v>
      </c>
      <c r="O9">
        <v>129</v>
      </c>
      <c r="P9">
        <v>129</v>
      </c>
      <c r="Q9">
        <v>114</v>
      </c>
    </row>
    <row r="12" spans="2:17">
      <c r="B12" t="s">
        <v>11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2</v>
      </c>
      <c r="D14" t="s">
        <v>3</v>
      </c>
      <c r="E14" s="1">
        <v>0.2</v>
      </c>
      <c r="F14" s="1">
        <v>0.4</v>
      </c>
      <c r="G14" t="s">
        <v>0</v>
      </c>
      <c r="H14" t="s">
        <v>1</v>
      </c>
    </row>
    <row r="15" spans="2:17">
      <c r="B15" t="s">
        <v>5</v>
      </c>
      <c r="C15">
        <v>3.9064000000000001</v>
      </c>
      <c r="D15">
        <v>3.9658000000000002</v>
      </c>
      <c r="E15">
        <v>3.9658000000000002</v>
      </c>
      <c r="F15">
        <v>3.8405999999999998</v>
      </c>
      <c r="G15">
        <v>3.9929000000000001</v>
      </c>
      <c r="H15">
        <v>4.6166</v>
      </c>
    </row>
    <row r="16" spans="2:17">
      <c r="B16" t="s">
        <v>6</v>
      </c>
      <c r="C16">
        <v>2.0529999999999999</v>
      </c>
      <c r="D16">
        <v>0.49740000000000001</v>
      </c>
      <c r="E16">
        <v>0.49740000000000001</v>
      </c>
      <c r="F16">
        <v>0.3725</v>
      </c>
      <c r="G16">
        <v>0.50260000000000005</v>
      </c>
      <c r="H16">
        <v>2.4538000000000002</v>
      </c>
    </row>
    <row r="17" spans="2:8">
      <c r="B17" t="s">
        <v>7</v>
      </c>
      <c r="C17">
        <v>5.9576000000000002</v>
      </c>
      <c r="D17">
        <v>12.817600000000001</v>
      </c>
      <c r="E17">
        <v>12.817600000000001</v>
      </c>
      <c r="F17">
        <v>12.844900000000001</v>
      </c>
      <c r="G17">
        <v>12.766400000000001</v>
      </c>
      <c r="H17">
        <v>7.5019999999999998</v>
      </c>
    </row>
    <row r="18" spans="2:8">
      <c r="B18" t="s">
        <v>8</v>
      </c>
      <c r="C18">
        <v>60</v>
      </c>
      <c r="D18">
        <v>8</v>
      </c>
      <c r="E18">
        <v>8</v>
      </c>
      <c r="F18">
        <v>5</v>
      </c>
      <c r="G18">
        <v>9</v>
      </c>
      <c r="H18">
        <v>73</v>
      </c>
    </row>
    <row r="19" spans="2:8">
      <c r="B19" t="s">
        <v>9</v>
      </c>
      <c r="C19">
        <v>173</v>
      </c>
      <c r="D19">
        <v>192</v>
      </c>
      <c r="E19">
        <v>192</v>
      </c>
      <c r="F19">
        <v>192</v>
      </c>
      <c r="G19">
        <v>192</v>
      </c>
      <c r="H19">
        <v>183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Q19"/>
  <sheetViews>
    <sheetView workbookViewId="0">
      <selection activeCell="Q10" sqref="Q10"/>
    </sheetView>
  </sheetViews>
  <sheetFormatPr baseColWidth="10" defaultRowHeight="20"/>
  <sheetData>
    <row r="2" spans="2:17">
      <c r="B2" t="s">
        <v>10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</row>
    <row r="5" spans="2:17">
      <c r="B5" t="s">
        <v>5</v>
      </c>
      <c r="C5">
        <v>4.532</v>
      </c>
      <c r="D5">
        <v>3.8172999999999999</v>
      </c>
      <c r="E5">
        <v>3.8172999999999999</v>
      </c>
      <c r="F5">
        <v>3.9878999999999998</v>
      </c>
      <c r="G5">
        <v>3.5068999999999999</v>
      </c>
      <c r="H5">
        <v>4.9776999999999996</v>
      </c>
      <c r="K5" t="s">
        <v>5</v>
      </c>
      <c r="L5">
        <v>4.7247000000000003</v>
      </c>
      <c r="M5">
        <v>3.4453</v>
      </c>
      <c r="N5">
        <v>3.4453</v>
      </c>
      <c r="O5">
        <v>4.0140000000000002</v>
      </c>
      <c r="P5">
        <v>4.7295999999999996</v>
      </c>
      <c r="Q5">
        <v>4.6207000000000003</v>
      </c>
    </row>
    <row r="6" spans="2:17">
      <c r="B6" t="s">
        <v>6</v>
      </c>
      <c r="C6">
        <v>2.7513000000000001</v>
      </c>
      <c r="D6">
        <v>0.80740000000000001</v>
      </c>
      <c r="E6">
        <v>0.80740000000000001</v>
      </c>
      <c r="F6">
        <v>0.94010000000000005</v>
      </c>
      <c r="G6">
        <v>2.4685999999999999</v>
      </c>
      <c r="H6">
        <v>2.9944999999999999</v>
      </c>
      <c r="K6" t="s">
        <v>6</v>
      </c>
      <c r="L6">
        <v>2.9843999999999999</v>
      </c>
      <c r="M6">
        <v>0.99839999999999995</v>
      </c>
      <c r="N6">
        <v>0.99839999999999995</v>
      </c>
      <c r="O6">
        <v>1.6426000000000001</v>
      </c>
      <c r="P6">
        <v>2.9005000000000001</v>
      </c>
      <c r="Q6">
        <v>2.7584</v>
      </c>
    </row>
    <row r="7" spans="2:17">
      <c r="B7" t="s">
        <v>7</v>
      </c>
      <c r="C7">
        <v>7.4058000000000002</v>
      </c>
      <c r="D7">
        <v>12.820600000000001</v>
      </c>
      <c r="E7">
        <v>12.820600000000001</v>
      </c>
      <c r="F7">
        <v>12.7956</v>
      </c>
      <c r="G7">
        <v>5.0664999999999996</v>
      </c>
      <c r="H7">
        <v>8.5320999999999998</v>
      </c>
      <c r="K7" t="s">
        <v>7</v>
      </c>
      <c r="L7">
        <v>9.2233000000000001</v>
      </c>
      <c r="M7">
        <v>12.8071</v>
      </c>
      <c r="N7">
        <v>12.8071</v>
      </c>
      <c r="O7">
        <v>12.543799999999999</v>
      </c>
      <c r="P7">
        <v>9.8587000000000007</v>
      </c>
      <c r="Q7">
        <v>9.5304000000000002</v>
      </c>
    </row>
    <row r="8" spans="2:17">
      <c r="B8" t="s">
        <v>8</v>
      </c>
      <c r="C8">
        <v>84</v>
      </c>
      <c r="D8">
        <v>20</v>
      </c>
      <c r="E8">
        <v>20</v>
      </c>
      <c r="F8">
        <v>24</v>
      </c>
      <c r="G8">
        <v>74</v>
      </c>
      <c r="H8">
        <v>92</v>
      </c>
      <c r="K8" t="s">
        <v>8</v>
      </c>
      <c r="L8">
        <v>101</v>
      </c>
      <c r="M8">
        <v>29</v>
      </c>
      <c r="N8">
        <v>29</v>
      </c>
      <c r="O8">
        <v>52</v>
      </c>
      <c r="P8">
        <v>98</v>
      </c>
      <c r="Q8">
        <v>91</v>
      </c>
    </row>
    <row r="9" spans="2:17">
      <c r="B9" t="s">
        <v>9</v>
      </c>
      <c r="C9">
        <v>150</v>
      </c>
      <c r="D9">
        <v>161</v>
      </c>
      <c r="E9">
        <v>161</v>
      </c>
      <c r="F9">
        <v>161</v>
      </c>
      <c r="G9">
        <v>106</v>
      </c>
      <c r="H9">
        <v>156</v>
      </c>
      <c r="K9" t="s">
        <v>9</v>
      </c>
      <c r="L9">
        <v>130</v>
      </c>
      <c r="M9">
        <v>130</v>
      </c>
      <c r="N9">
        <v>130</v>
      </c>
      <c r="O9">
        <v>130</v>
      </c>
      <c r="P9">
        <v>129</v>
      </c>
      <c r="Q9">
        <v>130</v>
      </c>
    </row>
    <row r="12" spans="2:17">
      <c r="B12" t="s">
        <v>11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2</v>
      </c>
      <c r="D14" t="s">
        <v>3</v>
      </c>
      <c r="E14" s="1">
        <v>0.2</v>
      </c>
      <c r="F14" s="1">
        <v>0.4</v>
      </c>
      <c r="G14" t="s">
        <v>0</v>
      </c>
      <c r="H14" t="s">
        <v>1</v>
      </c>
    </row>
    <row r="15" spans="2:17">
      <c r="B15" t="s">
        <v>5</v>
      </c>
      <c r="C15">
        <v>5.0865999999999998</v>
      </c>
      <c r="D15">
        <v>4.0869</v>
      </c>
      <c r="E15">
        <v>4.0869</v>
      </c>
      <c r="F15">
        <v>4.4086999999999996</v>
      </c>
      <c r="G15">
        <v>5.1341999999999999</v>
      </c>
      <c r="H15">
        <v>4.9130000000000003</v>
      </c>
    </row>
    <row r="16" spans="2:17">
      <c r="B16" t="s">
        <v>6</v>
      </c>
      <c r="C16">
        <v>3.0461999999999998</v>
      </c>
      <c r="D16">
        <v>0.51280000000000003</v>
      </c>
      <c r="E16">
        <v>0.51280000000000003</v>
      </c>
      <c r="F16">
        <v>0.87839999999999996</v>
      </c>
      <c r="G16">
        <v>2.7837999999999998</v>
      </c>
      <c r="H16">
        <v>2.8439999999999999</v>
      </c>
    </row>
    <row r="17" spans="2:8">
      <c r="B17" t="s">
        <v>7</v>
      </c>
      <c r="C17">
        <v>7.6856999999999998</v>
      </c>
      <c r="D17">
        <v>12.818300000000001</v>
      </c>
      <c r="E17">
        <v>12.818300000000001</v>
      </c>
      <c r="F17">
        <v>12.435700000000001</v>
      </c>
      <c r="G17">
        <v>8.3719000000000001</v>
      </c>
      <c r="H17">
        <v>7.5526999999999997</v>
      </c>
    </row>
    <row r="18" spans="2:8">
      <c r="B18" t="s">
        <v>8</v>
      </c>
      <c r="C18">
        <v>85</v>
      </c>
      <c r="D18">
        <v>8</v>
      </c>
      <c r="E18">
        <v>8</v>
      </c>
      <c r="F18">
        <v>21</v>
      </c>
      <c r="G18">
        <v>77</v>
      </c>
      <c r="H18">
        <v>80</v>
      </c>
    </row>
    <row r="19" spans="2:8">
      <c r="B19" t="s">
        <v>9</v>
      </c>
      <c r="C19">
        <v>180</v>
      </c>
      <c r="D19">
        <v>192</v>
      </c>
      <c r="E19">
        <v>192</v>
      </c>
      <c r="F19">
        <v>192</v>
      </c>
      <c r="G19">
        <v>183</v>
      </c>
      <c r="H19">
        <v>178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Q19"/>
  <sheetViews>
    <sheetView workbookViewId="0">
      <selection activeCell="Q8" sqref="Q8"/>
    </sheetView>
  </sheetViews>
  <sheetFormatPr baseColWidth="10" defaultRowHeight="20"/>
  <sheetData>
    <row r="2" spans="2:17">
      <c r="B2" t="s">
        <v>10</v>
      </c>
      <c r="K2" t="s">
        <v>12</v>
      </c>
      <c r="L2" t="s">
        <v>13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</row>
    <row r="5" spans="2:17">
      <c r="B5" t="s">
        <v>5</v>
      </c>
      <c r="C5">
        <v>5.0739999999999998</v>
      </c>
      <c r="D5">
        <v>3.6629</v>
      </c>
      <c r="E5">
        <v>3.6829000000000001</v>
      </c>
      <c r="F5">
        <v>4.1669</v>
      </c>
      <c r="G5">
        <v>3.9809999999999999</v>
      </c>
      <c r="H5">
        <v>4.7596999999999996</v>
      </c>
      <c r="K5" t="s">
        <v>5</v>
      </c>
      <c r="L5">
        <v>4.6254</v>
      </c>
      <c r="M5">
        <v>3.4691000000000001</v>
      </c>
      <c r="N5">
        <v>3.4691000000000001</v>
      </c>
      <c r="O5">
        <v>3.8003</v>
      </c>
      <c r="P5">
        <v>4.3453999999999997</v>
      </c>
      <c r="Q5">
        <v>4.7533000000000003</v>
      </c>
    </row>
    <row r="6" spans="2:17">
      <c r="B6" t="s">
        <v>6</v>
      </c>
      <c r="C6">
        <v>3.0922000000000001</v>
      </c>
      <c r="D6">
        <v>0.63070000000000004</v>
      </c>
      <c r="E6">
        <v>0.63070000000000004</v>
      </c>
      <c r="F6">
        <v>1.117</v>
      </c>
      <c r="G6">
        <v>1.0780000000000001</v>
      </c>
      <c r="H6">
        <v>2.7862</v>
      </c>
      <c r="K6" t="s">
        <v>6</v>
      </c>
      <c r="L6">
        <v>2.9293999999999998</v>
      </c>
      <c r="M6">
        <v>1.0468</v>
      </c>
      <c r="N6">
        <v>1.0468</v>
      </c>
      <c r="O6">
        <v>1.4591000000000001</v>
      </c>
      <c r="P6">
        <v>2.5055000000000001</v>
      </c>
      <c r="Q6">
        <v>3.0626000000000002</v>
      </c>
    </row>
    <row r="7" spans="2:17">
      <c r="B7" t="s">
        <v>7</v>
      </c>
      <c r="C7">
        <v>8.5952999999999999</v>
      </c>
      <c r="D7">
        <v>12.8241</v>
      </c>
      <c r="E7">
        <v>12.8241</v>
      </c>
      <c r="F7">
        <v>12.689</v>
      </c>
      <c r="G7">
        <v>11.849</v>
      </c>
      <c r="H7">
        <v>8.3442000000000007</v>
      </c>
      <c r="K7" t="s">
        <v>7</v>
      </c>
      <c r="L7">
        <v>9.0657999999999994</v>
      </c>
      <c r="M7">
        <v>12.7973</v>
      </c>
      <c r="N7">
        <v>12.7973</v>
      </c>
      <c r="O7">
        <v>12.5626</v>
      </c>
      <c r="P7">
        <v>9.3271999999999995</v>
      </c>
      <c r="Q7">
        <v>9.2297999999999991</v>
      </c>
    </row>
    <row r="8" spans="2:17">
      <c r="B8" t="s">
        <v>8</v>
      </c>
      <c r="C8">
        <v>91</v>
      </c>
      <c r="D8">
        <v>14</v>
      </c>
      <c r="E8">
        <v>14</v>
      </c>
      <c r="F8">
        <v>30</v>
      </c>
      <c r="G8">
        <v>30</v>
      </c>
      <c r="H8">
        <v>88</v>
      </c>
      <c r="K8" t="s">
        <v>8</v>
      </c>
      <c r="L8">
        <v>99</v>
      </c>
      <c r="M8">
        <v>31</v>
      </c>
      <c r="N8">
        <v>31</v>
      </c>
      <c r="O8">
        <v>46</v>
      </c>
      <c r="P8">
        <v>84</v>
      </c>
      <c r="Q8">
        <v>105</v>
      </c>
    </row>
    <row r="9" spans="2:17">
      <c r="B9" t="s">
        <v>9</v>
      </c>
      <c r="C9">
        <v>154</v>
      </c>
      <c r="D9">
        <v>162</v>
      </c>
      <c r="E9">
        <v>162</v>
      </c>
      <c r="F9">
        <v>162</v>
      </c>
      <c r="G9">
        <v>155</v>
      </c>
      <c r="H9">
        <v>155</v>
      </c>
      <c r="K9" t="s">
        <v>9</v>
      </c>
      <c r="L9">
        <v>126</v>
      </c>
      <c r="M9">
        <v>129</v>
      </c>
      <c r="N9">
        <v>129</v>
      </c>
      <c r="O9">
        <v>129</v>
      </c>
      <c r="P9">
        <v>126</v>
      </c>
      <c r="Q9">
        <v>126</v>
      </c>
    </row>
    <row r="12" spans="2:17">
      <c r="B12" t="s">
        <v>11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2</v>
      </c>
      <c r="D14" t="s">
        <v>3</v>
      </c>
      <c r="E14" s="1">
        <v>0.2</v>
      </c>
      <c r="F14" s="1">
        <v>0.4</v>
      </c>
      <c r="G14" t="s">
        <v>0</v>
      </c>
      <c r="H14" t="s">
        <v>1</v>
      </c>
    </row>
    <row r="15" spans="2:17">
      <c r="B15" t="s">
        <v>5</v>
      </c>
      <c r="C15">
        <v>3.0213999999999999</v>
      </c>
      <c r="D15">
        <v>4.0471000000000004</v>
      </c>
      <c r="E15">
        <v>4.0471000000000004</v>
      </c>
      <c r="F15">
        <v>4.5556999999999999</v>
      </c>
      <c r="G15">
        <v>4.7946</v>
      </c>
      <c r="H15">
        <v>4.4362000000000004</v>
      </c>
    </row>
    <row r="16" spans="2:17">
      <c r="B16" t="s">
        <v>6</v>
      </c>
      <c r="C16">
        <v>1.7881</v>
      </c>
      <c r="D16">
        <v>0.51019999999999999</v>
      </c>
      <c r="E16">
        <v>0.51019999999999999</v>
      </c>
      <c r="F16">
        <v>1.0208999999999999</v>
      </c>
      <c r="G16">
        <v>1.3038000000000001</v>
      </c>
      <c r="H16">
        <v>2.4579</v>
      </c>
    </row>
    <row r="17" spans="2:8">
      <c r="B17" t="s">
        <v>7</v>
      </c>
      <c r="C17">
        <v>4.28</v>
      </c>
      <c r="D17">
        <v>12.813000000000001</v>
      </c>
      <c r="E17">
        <v>12.813000000000001</v>
      </c>
      <c r="F17">
        <v>12.653700000000001</v>
      </c>
      <c r="G17">
        <v>12.051500000000001</v>
      </c>
      <c r="H17">
        <v>6.8833000000000002</v>
      </c>
    </row>
    <row r="18" spans="2:8">
      <c r="B18" t="s">
        <v>8</v>
      </c>
      <c r="C18">
        <v>47</v>
      </c>
      <c r="D18">
        <v>9</v>
      </c>
      <c r="E18">
        <v>9</v>
      </c>
      <c r="F18">
        <v>25</v>
      </c>
      <c r="G18">
        <v>34</v>
      </c>
      <c r="H18">
        <v>73</v>
      </c>
    </row>
    <row r="19" spans="2:8">
      <c r="B19" t="s">
        <v>9</v>
      </c>
      <c r="C19">
        <v>126</v>
      </c>
      <c r="D19">
        <v>191</v>
      </c>
      <c r="E19">
        <v>191</v>
      </c>
      <c r="F19">
        <v>191</v>
      </c>
      <c r="G19">
        <v>191</v>
      </c>
      <c r="H19">
        <v>176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Q19"/>
  <sheetViews>
    <sheetView workbookViewId="0">
      <selection activeCell="Q10" sqref="Q10"/>
    </sheetView>
  </sheetViews>
  <sheetFormatPr baseColWidth="10" defaultRowHeight="20"/>
  <sheetData>
    <row r="2" spans="2:17">
      <c r="B2" t="s">
        <v>10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</row>
    <row r="5" spans="2:17">
      <c r="B5" t="s">
        <v>5</v>
      </c>
      <c r="C5">
        <v>4.0979000000000001</v>
      </c>
      <c r="D5">
        <v>3.6514000000000002</v>
      </c>
      <c r="E5">
        <v>3.6514000000000002</v>
      </c>
      <c r="F5">
        <v>3.4047999999999998</v>
      </c>
      <c r="G5">
        <v>4.2351999999999999</v>
      </c>
      <c r="H5">
        <v>4.7598000000000003</v>
      </c>
      <c r="K5" t="s">
        <v>5</v>
      </c>
      <c r="L5">
        <v>4.8761000000000001</v>
      </c>
      <c r="M5">
        <v>3.4339</v>
      </c>
      <c r="N5">
        <v>3.4339</v>
      </c>
      <c r="O5">
        <v>3.8820000000000001</v>
      </c>
      <c r="P5">
        <v>5.2027000000000001</v>
      </c>
      <c r="Q5">
        <v>4.9234999999999998</v>
      </c>
    </row>
    <row r="6" spans="2:17">
      <c r="B6" t="s">
        <v>6</v>
      </c>
      <c r="C6">
        <v>2.1894999999999998</v>
      </c>
      <c r="D6">
        <v>0.66920000000000002</v>
      </c>
      <c r="E6">
        <v>0.66920000000000002</v>
      </c>
      <c r="F6">
        <v>0.43509999999999999</v>
      </c>
      <c r="G6">
        <v>2.2890000000000001</v>
      </c>
      <c r="H6">
        <v>2.7728000000000002</v>
      </c>
      <c r="K6" t="s">
        <v>6</v>
      </c>
      <c r="L6">
        <v>3.1695000000000002</v>
      </c>
      <c r="M6">
        <v>0.9909</v>
      </c>
      <c r="N6">
        <v>0.9909</v>
      </c>
      <c r="O6">
        <v>1.5091000000000001</v>
      </c>
      <c r="P6">
        <v>3.4990000000000001</v>
      </c>
      <c r="Q6">
        <v>3.1480000000000001</v>
      </c>
    </row>
    <row r="7" spans="2:17">
      <c r="B7" t="s">
        <v>7</v>
      </c>
      <c r="C7">
        <v>7.3337000000000003</v>
      </c>
      <c r="D7">
        <v>12.806100000000001</v>
      </c>
      <c r="E7">
        <v>12.806100000000001</v>
      </c>
      <c r="F7">
        <v>12.835100000000001</v>
      </c>
      <c r="G7">
        <v>7.6692999999999998</v>
      </c>
      <c r="H7">
        <v>8.7357999999999993</v>
      </c>
      <c r="K7" t="s">
        <v>7</v>
      </c>
      <c r="L7">
        <v>9.6234999999999999</v>
      </c>
      <c r="M7">
        <v>12.8308</v>
      </c>
      <c r="N7">
        <v>12.8308</v>
      </c>
      <c r="O7">
        <v>12.713200000000001</v>
      </c>
      <c r="P7">
        <v>10.2346</v>
      </c>
      <c r="Q7">
        <v>9.9644999999999992</v>
      </c>
    </row>
    <row r="8" spans="2:17">
      <c r="B8" t="s">
        <v>8</v>
      </c>
      <c r="C8">
        <v>73</v>
      </c>
      <c r="D8">
        <v>16</v>
      </c>
      <c r="E8">
        <v>16</v>
      </c>
      <c r="F8">
        <v>7</v>
      </c>
      <c r="G8">
        <v>72</v>
      </c>
      <c r="H8">
        <v>89</v>
      </c>
      <c r="K8" t="s">
        <v>8</v>
      </c>
      <c r="L8">
        <v>110</v>
      </c>
      <c r="M8">
        <v>28</v>
      </c>
      <c r="N8">
        <v>28</v>
      </c>
      <c r="O8">
        <v>47</v>
      </c>
      <c r="P8">
        <v>121</v>
      </c>
      <c r="Q8">
        <v>107</v>
      </c>
    </row>
    <row r="9" spans="2:17">
      <c r="B9" t="s">
        <v>9</v>
      </c>
      <c r="C9">
        <v>156</v>
      </c>
      <c r="D9">
        <v>161</v>
      </c>
      <c r="E9">
        <v>161</v>
      </c>
      <c r="F9">
        <v>161</v>
      </c>
      <c r="G9">
        <v>153</v>
      </c>
      <c r="H9">
        <v>152</v>
      </c>
      <c r="K9" t="s">
        <v>9</v>
      </c>
      <c r="L9">
        <v>127</v>
      </c>
      <c r="M9">
        <v>129</v>
      </c>
      <c r="N9">
        <v>129</v>
      </c>
      <c r="O9">
        <v>129</v>
      </c>
      <c r="P9">
        <v>128</v>
      </c>
      <c r="Q9">
        <v>128</v>
      </c>
    </row>
    <row r="12" spans="2:17">
      <c r="B12" t="s">
        <v>11</v>
      </c>
    </row>
    <row r="13" spans="2:17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</row>
    <row r="14" spans="2:17">
      <c r="C14" t="s">
        <v>2</v>
      </c>
      <c r="D14" t="s">
        <v>3</v>
      </c>
      <c r="E14" s="1">
        <v>0.2</v>
      </c>
      <c r="F14" s="1">
        <v>0.4</v>
      </c>
      <c r="G14" t="s">
        <v>0</v>
      </c>
      <c r="H14" t="s">
        <v>1</v>
      </c>
    </row>
    <row r="15" spans="2:17">
      <c r="B15" t="s">
        <v>5</v>
      </c>
      <c r="C15">
        <v>4.2519</v>
      </c>
      <c r="D15">
        <v>3.9811000000000001</v>
      </c>
      <c r="E15">
        <v>3.9811000000000001</v>
      </c>
      <c r="F15">
        <v>4.1962999999999999</v>
      </c>
      <c r="G15">
        <v>4.5957999999999997</v>
      </c>
      <c r="H15">
        <v>3.9268999999999998</v>
      </c>
    </row>
    <row r="16" spans="2:17">
      <c r="B16" t="s">
        <v>6</v>
      </c>
      <c r="C16">
        <v>2.4470999999999998</v>
      </c>
      <c r="D16">
        <v>0.45550000000000002</v>
      </c>
      <c r="E16">
        <v>0.45550000000000002</v>
      </c>
      <c r="F16">
        <v>0.6825</v>
      </c>
      <c r="G16">
        <v>2.2785000000000002</v>
      </c>
      <c r="H16">
        <v>2.0476000000000001</v>
      </c>
    </row>
    <row r="17" spans="2:8">
      <c r="B17" t="s">
        <v>7</v>
      </c>
      <c r="C17">
        <v>6.2949000000000002</v>
      </c>
      <c r="D17">
        <v>12.822900000000001</v>
      </c>
      <c r="E17">
        <v>12.822900000000001</v>
      </c>
      <c r="F17">
        <v>12.745100000000001</v>
      </c>
      <c r="G17">
        <v>7.9066000000000001</v>
      </c>
      <c r="H17">
        <v>6.0259999999999998</v>
      </c>
    </row>
    <row r="18" spans="2:8">
      <c r="B18" t="s">
        <v>8</v>
      </c>
      <c r="C18">
        <v>74</v>
      </c>
      <c r="D18">
        <v>7</v>
      </c>
      <c r="E18">
        <v>7</v>
      </c>
      <c r="F18">
        <v>15</v>
      </c>
      <c r="G18">
        <v>71</v>
      </c>
      <c r="H18">
        <v>62</v>
      </c>
    </row>
    <row r="19" spans="2:8">
      <c r="B19" t="s">
        <v>9</v>
      </c>
      <c r="C19">
        <v>182</v>
      </c>
      <c r="D19">
        <v>193</v>
      </c>
      <c r="E19">
        <v>193</v>
      </c>
      <c r="F19">
        <v>194</v>
      </c>
      <c r="G19">
        <v>189</v>
      </c>
      <c r="H19">
        <v>183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U19"/>
  <sheetViews>
    <sheetView tabSelected="1" topLeftCell="M7" zoomScale="125" workbookViewId="0">
      <selection activeCell="U16" sqref="U16"/>
    </sheetView>
  </sheetViews>
  <sheetFormatPr baseColWidth="10" defaultRowHeight="20"/>
  <sheetData>
    <row r="2" spans="2:21">
      <c r="B2" t="s">
        <v>10</v>
      </c>
      <c r="K2" t="s">
        <v>12</v>
      </c>
    </row>
    <row r="3" spans="2:21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</row>
    <row r="4" spans="2:21">
      <c r="C4" t="s">
        <v>2</v>
      </c>
      <c r="D4" t="s">
        <v>3</v>
      </c>
      <c r="E4" s="1">
        <v>0.2</v>
      </c>
      <c r="F4" s="1">
        <v>0.4</v>
      </c>
      <c r="G4" t="s">
        <v>0</v>
      </c>
      <c r="H4" t="s">
        <v>1</v>
      </c>
      <c r="I4" t="s">
        <v>4</v>
      </c>
      <c r="L4" t="s">
        <v>2</v>
      </c>
      <c r="M4" t="s">
        <v>3</v>
      </c>
      <c r="N4" s="1">
        <v>0.2</v>
      </c>
      <c r="O4" s="1">
        <v>0.4</v>
      </c>
      <c r="P4" t="s">
        <v>0</v>
      </c>
      <c r="Q4" t="s">
        <v>1</v>
      </c>
      <c r="R4" t="s">
        <v>4</v>
      </c>
    </row>
    <row r="5" spans="2:21">
      <c r="B5" t="s">
        <v>5</v>
      </c>
      <c r="C5">
        <f>ROUND(AVERAGE(seed1!C5,seed2!C5,seed3!C5,seed6!C5,seed8!C5),4)</f>
        <v>4.1117999999999997</v>
      </c>
      <c r="D5">
        <f>ROUND(AVERAGE(seed1!D5,seed2!D5,seed3!D5,seed6!D5,seed8!D5),4)</f>
        <v>3.7198000000000002</v>
      </c>
      <c r="E5">
        <f>ROUND(AVERAGE(seed1!E5,seed2!E5,seed3!E5,seed6!E5,seed8!E5),4)</f>
        <v>3.7238000000000002</v>
      </c>
      <c r="F5">
        <f>ROUND(AVERAGE(seed1!F5,seed2!F5,seed3!F5,seed6!F5,seed8!F5),4)</f>
        <v>3.8212000000000002</v>
      </c>
      <c r="G5">
        <f>ROUND(AVERAGE(seed1!G5,seed2!G5,seed3!G5,seed6!G5,seed8!G5),4)</f>
        <v>4.3099999999999996</v>
      </c>
      <c r="H5">
        <f>ROUND(AVERAGE(seed1!H5,seed2!H5,seed3!H5,seed6!H5,seed8!H5),4)</f>
        <v>4.8032000000000004</v>
      </c>
      <c r="I5">
        <f>ROUND(AVERAGE(seed1!I5,seed2!I5,seed3!I5,seed6!I5,seed8!I5),4)</f>
        <v>4.8644999999999996</v>
      </c>
      <c r="K5" t="s">
        <v>5</v>
      </c>
      <c r="L5">
        <f>ROUND(AVERAGE(seed1!L5,seed2!L5,seed3!L5,seed6!L5,seed8!L5),4)</f>
        <v>4.7337999999999996</v>
      </c>
      <c r="M5">
        <f>ROUND(AVERAGE(seed1!M5,seed2!M5,seed3!M5,seed6!M5,seed8!M5),4)</f>
        <v>3.4712000000000001</v>
      </c>
      <c r="N5">
        <f>ROUND(AVERAGE(seed1!N5,seed2!N5,seed3!N5,seed6!N5,seed8!N5),4)</f>
        <v>3.4712000000000001</v>
      </c>
      <c r="O5">
        <f>ROUND(AVERAGE(seed1!O5,seed2!O5,seed3!O5,seed6!O5,seed8!O5),4)</f>
        <v>3.8368000000000002</v>
      </c>
      <c r="P5">
        <f>ROUND(AVERAGE(seed1!P5,seed2!P5,seed3!P5,seed6!P5,seed8!P5),4)</f>
        <v>4.7446999999999999</v>
      </c>
      <c r="Q5">
        <f>ROUND(AVERAGE(seed1!Q5,seed2!Q5,seed3!Q5,seed6!Q5,seed8!Q5),4)</f>
        <v>4.6600999999999999</v>
      </c>
    </row>
    <row r="6" spans="2:21">
      <c r="B6" t="s">
        <v>6</v>
      </c>
      <c r="C6">
        <f>ROUND(AVERAGE(seed1!C6,seed2!C6,seed3!C6,seed6!C6,seed8!C6),4)</f>
        <v>2.4192999999999998</v>
      </c>
      <c r="D6">
        <f>ROUND(AVERAGE(seed1!D6,seed2!D6,seed3!D6,seed6!D6,seed8!D6),4)</f>
        <v>0.73040000000000005</v>
      </c>
      <c r="E6">
        <f>ROUND(AVERAGE(seed1!E6,seed2!E6,seed3!E6,seed6!E6,seed8!E6),4)</f>
        <v>0.73040000000000005</v>
      </c>
      <c r="F6">
        <f>ROUND(AVERAGE(seed1!F6,seed2!F6,seed3!F6,seed6!F6,seed8!F6),4)</f>
        <v>0.83140000000000003</v>
      </c>
      <c r="G6">
        <f>ROUND(AVERAGE(seed1!G6,seed2!G6,seed3!G6,seed6!G6,seed8!G6),4)</f>
        <v>2.3409</v>
      </c>
      <c r="H6">
        <f>ROUND(AVERAGE(seed1!H6,seed2!H6,seed3!H6,seed6!H6,seed8!H6),4)</f>
        <v>2.8448000000000002</v>
      </c>
      <c r="I6">
        <f>ROUND(AVERAGE(seed1!I6,seed2!I6,seed3!I6,seed6!I6,seed8!I6),4)</f>
        <v>2.8666</v>
      </c>
      <c r="K6" t="s">
        <v>6</v>
      </c>
      <c r="L6">
        <f>ROUND(AVERAGE(seed1!L6,seed2!L6,seed3!L6,seed6!L6,seed8!L6),4)</f>
        <v>2.9948000000000001</v>
      </c>
      <c r="M6">
        <f>ROUND(AVERAGE(seed1!M6,seed2!M6,seed3!M6,seed6!M6,seed8!M6),4)</f>
        <v>1.0467</v>
      </c>
      <c r="N6">
        <f>ROUND(AVERAGE(seed1!N6,seed2!N6,seed3!N6,seed6!N6,seed8!N6),4)</f>
        <v>1.0467</v>
      </c>
      <c r="O6">
        <f>ROUND(AVERAGE(seed1!O6,seed2!O6,seed3!O6,seed6!O6,seed8!O6),4)</f>
        <v>1.4753000000000001</v>
      </c>
      <c r="P6">
        <f>ROUND(AVERAGE(seed1!P6,seed2!P6,seed3!P6,seed6!P6,seed8!P6),4)</f>
        <v>2.9531999999999998</v>
      </c>
      <c r="Q6">
        <f>ROUND(AVERAGE(seed1!Q6,seed2!Q6,seed3!Q6,seed6!Q6,seed8!Q6),4)</f>
        <v>2.9485999999999999</v>
      </c>
    </row>
    <row r="7" spans="2:21">
      <c r="B7" t="s">
        <v>7</v>
      </c>
      <c r="C7">
        <f>ROUND(AVERAGE(seed1!C7,seed2!C7,seed3!C7,seed6!C7,seed8!C7),4)</f>
        <v>6.8655999999999997</v>
      </c>
      <c r="D7">
        <f>ROUND(AVERAGE(seed1!D7,seed2!D7,seed3!D7,seed6!D7,seed8!D7),4)</f>
        <v>12.815899999999999</v>
      </c>
      <c r="E7">
        <f>ROUND(AVERAGE(seed1!E7,seed2!E7,seed3!E7,seed6!E7,seed8!E7),4)</f>
        <v>12.815899999999999</v>
      </c>
      <c r="F7">
        <f>ROUND(AVERAGE(seed1!F7,seed2!F7,seed3!F7,seed6!F7,seed8!F7),4)</f>
        <v>12.755000000000001</v>
      </c>
      <c r="G7">
        <f>ROUND(AVERAGE(seed1!G7,seed2!G7,seed3!G7,seed6!G7,seed8!G7),4)</f>
        <v>8.4413999999999998</v>
      </c>
      <c r="H7">
        <f>ROUND(AVERAGE(seed1!H7,seed2!H7,seed3!H7,seed6!H7,seed8!H7),4)</f>
        <v>8.4946999999999999</v>
      </c>
      <c r="I7">
        <f>ROUND(AVERAGE(seed1!I7,seed2!I7,seed3!I7,seed6!I7,seed8!I7),4)</f>
        <v>8.7254000000000005</v>
      </c>
      <c r="K7" t="s">
        <v>7</v>
      </c>
      <c r="L7">
        <f>ROUND(AVERAGE(seed1!L7,seed2!L7,seed3!L7,seed6!L7,seed8!L7),4)</f>
        <v>9.4975000000000005</v>
      </c>
      <c r="M7">
        <f>ROUND(AVERAGE(seed1!M7,seed2!M7,seed3!M7,seed6!M7,seed8!M7),4)</f>
        <v>12.801299999999999</v>
      </c>
      <c r="N7">
        <f>ROUND(AVERAGE(seed1!N7,seed2!N7,seed3!N7,seed6!N7,seed8!N7),4)</f>
        <v>12.801299999999999</v>
      </c>
      <c r="O7">
        <f>ROUND(AVERAGE(seed1!O7,seed2!O7,seed3!O7,seed6!O7,seed8!O7),4)</f>
        <v>12.6332</v>
      </c>
      <c r="P7">
        <f>ROUND(AVERAGE(seed1!P7,seed2!P7,seed3!P7,seed6!P7,seed8!P7),4)</f>
        <v>9.8145000000000007</v>
      </c>
      <c r="Q7">
        <f>ROUND(AVERAGE(seed1!Q7,seed2!Q7,seed3!Q7,seed6!Q7,seed8!Q7),4)</f>
        <v>9.2795000000000005</v>
      </c>
    </row>
    <row r="8" spans="2:21">
      <c r="B8" t="s">
        <v>8</v>
      </c>
      <c r="C8">
        <f>ROUND(AVERAGE(seed1!C8,seed2!C8,seed3!C8,seed6!C8,seed8!C8),1)</f>
        <v>74.8</v>
      </c>
      <c r="D8">
        <f>ROUND(AVERAGE(seed1!D8,seed2!D8,seed3!D8,seed6!D8,seed8!D8),1)</f>
        <v>17.8</v>
      </c>
      <c r="E8">
        <f>ROUND(AVERAGE(seed1!E8,seed2!E8,seed3!E8,seed6!E8,seed8!E8),1)</f>
        <v>17.8</v>
      </c>
      <c r="F8">
        <f>ROUND(AVERAGE(seed1!F8,seed2!F8,seed3!F8,seed6!F8,seed8!F8),1)</f>
        <v>21</v>
      </c>
      <c r="G8">
        <f>ROUND(AVERAGE(seed1!G8,seed2!G8,seed3!G8,seed6!G8,seed8!G8),1)</f>
        <v>73.599999999999994</v>
      </c>
      <c r="H8">
        <f>ROUND(AVERAGE(seed1!H8,seed2!H8,seed3!H8,seed6!H8,seed8!H8),1)</f>
        <v>91.2</v>
      </c>
      <c r="I8">
        <f>ROUND(AVERAGE(seed1!I8,seed2!I8,seed3!I8,seed6!I8,seed8!I8),1)</f>
        <v>94</v>
      </c>
      <c r="K8" t="s">
        <v>8</v>
      </c>
      <c r="L8">
        <f>ROUND(AVERAGE(seed1!L8,seed2!L8,seed3!L8,seed6!L8,seed8!L8),1)</f>
        <v>102.2</v>
      </c>
      <c r="M8">
        <f>ROUND(AVERAGE(seed1!M8,seed2!M8,seed3!M8,seed6!M8,seed8!M8),1)</f>
        <v>30.4</v>
      </c>
      <c r="N8">
        <f>ROUND(AVERAGE(seed1!N8,seed2!N8,seed3!N8,seed6!N8,seed8!N8),1)</f>
        <v>30.4</v>
      </c>
      <c r="O8">
        <f>ROUND(AVERAGE(seed1!O8,seed2!O8,seed3!O8,seed6!O8,seed8!O8),1)</f>
        <v>46</v>
      </c>
      <c r="P8">
        <f>ROUND(AVERAGE(seed1!P8,seed2!P8,seed3!P8,seed6!P8,seed8!P8),1)</f>
        <v>100.6</v>
      </c>
      <c r="Q8">
        <f>ROUND(AVERAGE(seed1!Q8,seed2!Q8,seed3!Q8,seed6!Q8,seed8!Q8),1)</f>
        <v>99.4</v>
      </c>
    </row>
    <row r="9" spans="2:21">
      <c r="B9" t="s">
        <v>9</v>
      </c>
      <c r="C9">
        <f>ROUND(AVERAGE(seed1!C9,seed2!C9,seed3!C9,seed6!C9,seed8!C9),1)</f>
        <v>142.19999999999999</v>
      </c>
      <c r="D9">
        <f>ROUND(AVERAGE(seed1!D9,seed2!D9,seed3!D9,seed6!D9,seed8!D9),1)</f>
        <v>160.80000000000001</v>
      </c>
      <c r="E9">
        <f>ROUND(AVERAGE(seed1!E9,seed2!E9,seed3!E9,seed6!E9,seed8!E9),1)</f>
        <v>160.80000000000001</v>
      </c>
      <c r="F9">
        <f>ROUND(AVERAGE(seed1!F9,seed2!F9,seed3!F9,seed6!F9,seed8!F9),1)</f>
        <v>160.80000000000001</v>
      </c>
      <c r="G9">
        <f>ROUND(AVERAGE(seed1!G9,seed2!G9,seed3!G9,seed6!G9,seed8!G9),1)</f>
        <v>145.4</v>
      </c>
      <c r="H9">
        <f>ROUND(AVERAGE(seed1!H9,seed2!H9,seed3!H9,seed6!H9,seed8!H9),1)</f>
        <v>155.4</v>
      </c>
      <c r="I9">
        <f>ROUND(AVERAGE(seed1!I9,seed2!I9,seed3!I9,seed6!I9,seed8!I9),1)</f>
        <v>161</v>
      </c>
      <c r="K9" t="s">
        <v>9</v>
      </c>
      <c r="L9">
        <f>ROUND(AVERAGE(seed1!L9,seed2!L9,seed3!L9,seed6!L9,seed8!L9),1)</f>
        <v>126.6</v>
      </c>
      <c r="M9">
        <f>ROUND(AVERAGE(seed1!M9,seed2!M9,seed3!M9,seed6!M9,seed8!M9),1)</f>
        <v>128.4</v>
      </c>
      <c r="N9">
        <f>ROUND(AVERAGE(seed1!N9,seed2!N9,seed3!N9,seed6!N9,seed8!N9),1)</f>
        <v>128.4</v>
      </c>
      <c r="O9">
        <f>ROUND(AVERAGE(seed1!O9,seed2!O9,seed3!O9,seed6!O9,seed8!O9),1)</f>
        <v>128.4</v>
      </c>
      <c r="P9">
        <f>ROUND(AVERAGE(seed1!P9,seed2!P9,seed3!P9,seed6!P9,seed8!P9),1)</f>
        <v>127.2</v>
      </c>
      <c r="Q9">
        <f>ROUND(AVERAGE(seed1!Q9,seed2!Q9,seed3!Q9,seed6!Q9,seed8!Q9),1)</f>
        <v>123.2</v>
      </c>
    </row>
    <row r="12" spans="2:21">
      <c r="B12" t="s">
        <v>11</v>
      </c>
      <c r="L12" t="s">
        <v>15</v>
      </c>
      <c r="M12" t="s">
        <v>16</v>
      </c>
    </row>
    <row r="13" spans="2:21"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L13" t="s">
        <v>14</v>
      </c>
      <c r="N13" t="s">
        <v>17</v>
      </c>
      <c r="O13" t="s">
        <v>18</v>
      </c>
      <c r="P13" t="s">
        <v>19</v>
      </c>
      <c r="Q13" t="s">
        <v>20</v>
      </c>
      <c r="R13" t="s">
        <v>21</v>
      </c>
    </row>
    <row r="14" spans="2:21">
      <c r="C14" t="s">
        <v>2</v>
      </c>
      <c r="D14" t="s">
        <v>3</v>
      </c>
      <c r="E14" s="1">
        <v>0.2</v>
      </c>
      <c r="F14" s="1">
        <v>0.4</v>
      </c>
      <c r="G14" t="s">
        <v>0</v>
      </c>
      <c r="H14" t="s">
        <v>1</v>
      </c>
      <c r="I14" t="s">
        <v>4</v>
      </c>
      <c r="L14">
        <v>1200</v>
      </c>
      <c r="M14">
        <v>800</v>
      </c>
      <c r="N14">
        <v>4.0606</v>
      </c>
      <c r="O14">
        <v>3.9883000000000002</v>
      </c>
      <c r="P14">
        <v>4.2267000000000001</v>
      </c>
      <c r="Q14">
        <v>4.5430000000000001</v>
      </c>
      <c r="R14">
        <v>4.4439000000000002</v>
      </c>
      <c r="U14">
        <f>(Q14-R14)*2/(R14+Q14)</f>
        <v>2.2054323515338984E-2</v>
      </c>
    </row>
    <row r="15" spans="2:21">
      <c r="B15" t="s">
        <v>5</v>
      </c>
      <c r="C15">
        <f>ROUND(AVERAGE(seed1!C15,seed2!C15,seed3!C15,seed6!C15,seed8!C15),4)</f>
        <v>4.0606</v>
      </c>
      <c r="D15">
        <f>ROUND(AVERAGE(seed1!D15,seed2!D15,seed3!D15,seed6!D15,seed8!D15),4)</f>
        <v>3.9883000000000002</v>
      </c>
      <c r="E15">
        <f>ROUND(AVERAGE(seed1!E15,seed2!E15,seed3!E15,seed6!E15,seed8!E15),4)</f>
        <v>3.9883000000000002</v>
      </c>
      <c r="F15">
        <f>ROUND(AVERAGE(seed1!F15,seed2!F15,seed3!F15,seed6!F15,seed8!F15),4)</f>
        <v>4.2267000000000001</v>
      </c>
      <c r="G15">
        <f>ROUND(AVERAGE(seed1!G15,seed2!G15,seed3!G15,seed6!G15,seed8!G15),4)</f>
        <v>4.5430000000000001</v>
      </c>
      <c r="H15">
        <f>ROUND(AVERAGE(seed1!H15,seed2!H15,seed3!H15,seed6!H15,seed8!H15),4)</f>
        <v>4.4439000000000002</v>
      </c>
      <c r="I15" t="e">
        <f>ROUND(AVERAGE(seed1!I15,seed2!I15,seed3!I15,seed6!I15,seed8!I15),4)</f>
        <v>#DIV/0!</v>
      </c>
      <c r="L15">
        <v>1000</v>
      </c>
      <c r="M15">
        <v>1000</v>
      </c>
      <c r="N15">
        <v>4.1117999999999997</v>
      </c>
      <c r="O15">
        <v>3.7198000000000002</v>
      </c>
      <c r="P15">
        <v>3.8212000000000002</v>
      </c>
      <c r="Q15">
        <v>4.3099999999999996</v>
      </c>
      <c r="R15">
        <v>4.8032000000000004</v>
      </c>
      <c r="T15">
        <f>(R15-Q15)*2/(Q15+R15)</f>
        <v>0.10823859895536163</v>
      </c>
      <c r="U15">
        <f>(Q15-R15)*2/(R15+Q15)</f>
        <v>-0.10823859895536163</v>
      </c>
    </row>
    <row r="16" spans="2:21">
      <c r="B16" t="s">
        <v>6</v>
      </c>
      <c r="C16">
        <f>ROUND(AVERAGE(seed1!C16,seed2!C16,seed3!C16,seed6!C16,seed8!C16),4)</f>
        <v>2.3256000000000001</v>
      </c>
      <c r="D16">
        <f>ROUND(AVERAGE(seed1!D16,seed2!D16,seed3!D16,seed6!D16,seed8!D16),4)</f>
        <v>0.47770000000000001</v>
      </c>
      <c r="E16">
        <f>ROUND(AVERAGE(seed1!E16,seed2!E16,seed3!E16,seed6!E16,seed8!E16),4)</f>
        <v>0.47770000000000001</v>
      </c>
      <c r="F16">
        <f>ROUND(AVERAGE(seed1!F16,seed2!F16,seed3!F16,seed6!F16,seed8!F16),4)</f>
        <v>0.71960000000000002</v>
      </c>
      <c r="G16">
        <f>ROUND(AVERAGE(seed1!G16,seed2!G16,seed3!G16,seed6!G16,seed8!G16),4)</f>
        <v>1.5489999999999999</v>
      </c>
      <c r="H16">
        <f>ROUND(AVERAGE(seed1!H16,seed2!H16,seed3!H16,seed6!H16,seed8!H16),4)</f>
        <v>2.4211999999999998</v>
      </c>
      <c r="I16" t="e">
        <f>ROUND(AVERAGE(seed1!I16,seed2!I16,seed3!I16,seed6!I16,seed8!I16),4)</f>
        <v>#DIV/0!</v>
      </c>
      <c r="L16">
        <v>800</v>
      </c>
      <c r="M16">
        <v>1200</v>
      </c>
      <c r="N16">
        <v>4.7337999999999996</v>
      </c>
      <c r="O16">
        <v>3.4712000000000001</v>
      </c>
      <c r="P16">
        <v>3.8368000000000002</v>
      </c>
      <c r="Q16">
        <v>4.7446999999999999</v>
      </c>
      <c r="R16">
        <v>4.6600999999999999</v>
      </c>
      <c r="U16">
        <f>(Q16-R16)*2/(R16+Q16)</f>
        <v>1.7990813201769311E-2</v>
      </c>
    </row>
    <row r="17" spans="2:9">
      <c r="B17" t="s">
        <v>7</v>
      </c>
      <c r="C17">
        <f>ROUND(AVERAGE(seed1!C17,seed2!C17,seed3!C17,seed6!C17,seed8!C17),4)</f>
        <v>6.0401999999999996</v>
      </c>
      <c r="D17">
        <f>ROUND(AVERAGE(seed1!D17,seed2!D17,seed3!D17,seed6!D17,seed8!D17),4)</f>
        <v>12.8217</v>
      </c>
      <c r="E17">
        <f>ROUND(AVERAGE(seed1!E17,seed2!E17,seed3!E17,seed6!E17,seed8!E17),4)</f>
        <v>12.8217</v>
      </c>
      <c r="F17">
        <f>ROUND(AVERAGE(seed1!F17,seed2!F17,seed3!F17,seed6!F17,seed8!F17),4)</f>
        <v>12.686500000000001</v>
      </c>
      <c r="G17">
        <f>ROUND(AVERAGE(seed1!G17,seed2!G17,seed3!G17,seed6!G17,seed8!G17),4)</f>
        <v>10.613099999999999</v>
      </c>
      <c r="H17">
        <f>ROUND(AVERAGE(seed1!H17,seed2!H17,seed3!H17,seed6!H17,seed8!H17),4)</f>
        <v>6.9791999999999996</v>
      </c>
      <c r="I17" t="e">
        <f>ROUND(AVERAGE(seed1!I17,seed2!I17,seed3!I17,seed6!I17,seed8!I17),4)</f>
        <v>#DIV/0!</v>
      </c>
    </row>
    <row r="18" spans="2:9">
      <c r="B18" t="s">
        <v>8</v>
      </c>
      <c r="C18">
        <f>ROUND(AVERAGE(seed1!C18,seed2!C18,seed3!C18,seed6!C18,seed8!C18),1)</f>
        <v>67.2</v>
      </c>
      <c r="D18">
        <f>ROUND(AVERAGE(seed1!D18,seed2!D18,seed3!D18,seed6!D18,seed8!D18),1)</f>
        <v>7.6</v>
      </c>
      <c r="E18">
        <f>ROUND(AVERAGE(seed1!E18,seed2!E18,seed3!E18,seed6!E18,seed8!E18),1)</f>
        <v>7.6</v>
      </c>
      <c r="F18">
        <f>ROUND(AVERAGE(seed1!F18,seed2!F18,seed3!F18,seed6!F18,seed8!F18),1)</f>
        <v>16</v>
      </c>
      <c r="G18">
        <f>ROUND(AVERAGE(seed1!G18,seed2!G18,seed3!G18,seed6!G18,seed8!G18),1)</f>
        <v>42.8</v>
      </c>
      <c r="H18">
        <f>ROUND(AVERAGE(seed1!H18,seed2!H18,seed3!H18,seed6!H18,seed8!H18),1)</f>
        <v>72.2</v>
      </c>
      <c r="I18" t="e">
        <f>ROUND(AVERAGE(seed1!I18,seed2!I18,seed3!I18,seed6!I18,seed8!I18),1)</f>
        <v>#DIV/0!</v>
      </c>
    </row>
    <row r="19" spans="2:9">
      <c r="B19" t="s">
        <v>9</v>
      </c>
      <c r="C19">
        <f>ROUND(AVERAGE(seed1!C19,seed2!C19,seed3!C19,seed6!C19,seed8!C19),1)</f>
        <v>168.8</v>
      </c>
      <c r="D19">
        <f>ROUND(AVERAGE(seed1!D19,seed2!D19,seed3!D19,seed6!D19,seed8!D19),1)</f>
        <v>192.2</v>
      </c>
      <c r="E19">
        <f>ROUND(AVERAGE(seed1!E19,seed2!E19,seed3!E19,seed6!E19,seed8!E19),1)</f>
        <v>192.2</v>
      </c>
      <c r="F19">
        <f>ROUND(AVERAGE(seed1!F19,seed2!F19,seed3!F19,seed6!F19,seed8!F19),1)</f>
        <v>192.4</v>
      </c>
      <c r="G19">
        <f>ROUND(AVERAGE(seed1!G19,seed2!G19,seed3!G19,seed6!G19,seed8!G19),1)</f>
        <v>189.6</v>
      </c>
      <c r="H19">
        <f>ROUND(AVERAGE(seed1!H19,seed2!H19,seed3!H19,seed6!H19,seed8!H19),1)</f>
        <v>181.2</v>
      </c>
      <c r="I19" t="e">
        <f>ROUND(AVERAGE(seed1!I19,seed2!I19,seed3!I19,seed6!I19,seed8!I19),1)</f>
        <v>#DIV/0!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seed6</vt:lpstr>
      <vt:lpstr>seed8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2026-02-05T06:01:47Z</dcterms:modified>
</cp:coreProperties>
</file>