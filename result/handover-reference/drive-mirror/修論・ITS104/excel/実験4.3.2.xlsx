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mashi/Documents/研究パワポ/修論評価データ/"/>
    </mc:Choice>
  </mc:AlternateContent>
  <xr:revisionPtr revIDLastSave="0" documentId="13_ncr:1_{1D8D3C75-0190-734D-9348-CA3D3C18AD5C}" xr6:coauthVersionLast="47" xr6:coauthVersionMax="47" xr10:uidLastSave="{00000000-0000-0000-0000-000000000000}"/>
  <bookViews>
    <workbookView xWindow="2100" yWindow="2440" windowWidth="26700" windowHeight="14560" activeTab="7" xr2:uid="{C5CA4C6E-6361-2F40-A2A3-1A2A3BC48401}"/>
  </bookViews>
  <sheets>
    <sheet name="seed1" sheetId="1" r:id="rId1"/>
    <sheet name="seed2" sheetId="3" r:id="rId2"/>
    <sheet name="seed3" sheetId="4" r:id="rId3"/>
    <sheet name="seed4" sheetId="5" r:id="rId4"/>
    <sheet name="seed5" sheetId="6" r:id="rId5"/>
    <sheet name="seed6" sheetId="8" r:id="rId6"/>
    <sheet name="seed7" sheetId="7" r:id="rId7"/>
    <sheet name="平均" sheetId="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2" l="1"/>
  <c r="M25" i="2" l="1"/>
  <c r="N25" i="2"/>
  <c r="O25" i="2"/>
  <c r="P25" i="2"/>
  <c r="Q25" i="2"/>
  <c r="M26" i="2"/>
  <c r="N26" i="2"/>
  <c r="O26" i="2"/>
  <c r="P26" i="2"/>
  <c r="Q26" i="2"/>
  <c r="M27" i="2"/>
  <c r="N27" i="2"/>
  <c r="O27" i="2"/>
  <c r="P27" i="2"/>
  <c r="Q27" i="2"/>
  <c r="M28" i="2"/>
  <c r="N28" i="2"/>
  <c r="O28" i="2"/>
  <c r="P28" i="2"/>
  <c r="Q28" i="2"/>
  <c r="L26" i="2"/>
  <c r="L27" i="2"/>
  <c r="L28" i="2"/>
  <c r="L25" i="2"/>
  <c r="Q30" i="2" l="1"/>
  <c r="P30" i="2"/>
  <c r="O30" i="2"/>
  <c r="N30" i="2"/>
  <c r="M30" i="2"/>
  <c r="L30" i="2"/>
  <c r="D25" i="2" l="1"/>
  <c r="E25" i="2"/>
  <c r="F25" i="2"/>
  <c r="F30" i="2" s="1"/>
  <c r="G25" i="2"/>
  <c r="H25" i="2"/>
  <c r="H30" i="2" s="1"/>
  <c r="D26" i="2"/>
  <c r="E26" i="2"/>
  <c r="E30" i="2" s="1"/>
  <c r="F26" i="2"/>
  <c r="G26" i="2"/>
  <c r="H26" i="2"/>
  <c r="D27" i="2"/>
  <c r="E27" i="2"/>
  <c r="F27" i="2"/>
  <c r="G27" i="2"/>
  <c r="G30" i="2" s="1"/>
  <c r="H27" i="2"/>
  <c r="D28" i="2"/>
  <c r="E28" i="2"/>
  <c r="F28" i="2"/>
  <c r="G28" i="2"/>
  <c r="H28" i="2"/>
  <c r="C26" i="2"/>
  <c r="C27" i="2"/>
  <c r="C28" i="2"/>
  <c r="C25" i="2"/>
  <c r="C30" i="2" s="1"/>
  <c r="I5" i="2"/>
  <c r="I10" i="2" s="1"/>
  <c r="I6" i="2"/>
  <c r="I7" i="2"/>
  <c r="I8" i="2"/>
  <c r="Q8" i="2"/>
  <c r="P8" i="2"/>
  <c r="O8" i="2"/>
  <c r="N8" i="2"/>
  <c r="M8" i="2"/>
  <c r="L8" i="2"/>
  <c r="Q7" i="2"/>
  <c r="P7" i="2"/>
  <c r="O7" i="2"/>
  <c r="N7" i="2"/>
  <c r="M7" i="2"/>
  <c r="L7" i="2"/>
  <c r="Q6" i="2"/>
  <c r="P6" i="2"/>
  <c r="O6" i="2"/>
  <c r="N6" i="2"/>
  <c r="M6" i="2"/>
  <c r="L6" i="2"/>
  <c r="Q5" i="2"/>
  <c r="P5" i="2"/>
  <c r="O5" i="2"/>
  <c r="N5" i="2"/>
  <c r="M5" i="2"/>
  <c r="L5" i="2"/>
  <c r="H18" i="2"/>
  <c r="G18" i="2"/>
  <c r="F18" i="2"/>
  <c r="E18" i="2"/>
  <c r="D18" i="2"/>
  <c r="C18" i="2"/>
  <c r="H17" i="2"/>
  <c r="G17" i="2"/>
  <c r="F17" i="2"/>
  <c r="E17" i="2"/>
  <c r="D17" i="2"/>
  <c r="C17" i="2"/>
  <c r="H16" i="2"/>
  <c r="G16" i="2"/>
  <c r="F16" i="2"/>
  <c r="E16" i="2"/>
  <c r="D16" i="2"/>
  <c r="C16" i="2"/>
  <c r="H15" i="2"/>
  <c r="G15" i="2"/>
  <c r="F15" i="2"/>
  <c r="E15" i="2"/>
  <c r="D15" i="2"/>
  <c r="C15" i="2"/>
  <c r="C6" i="2"/>
  <c r="D6" i="2"/>
  <c r="E6" i="2"/>
  <c r="F6" i="2"/>
  <c r="G6" i="2"/>
  <c r="H6" i="2"/>
  <c r="C7" i="2"/>
  <c r="D7" i="2"/>
  <c r="E7" i="2"/>
  <c r="F7" i="2"/>
  <c r="G7" i="2"/>
  <c r="H7" i="2"/>
  <c r="C8" i="2"/>
  <c r="D8" i="2"/>
  <c r="E8" i="2"/>
  <c r="F8" i="2"/>
  <c r="G8" i="2"/>
  <c r="H8" i="2"/>
  <c r="D5" i="2"/>
  <c r="E5" i="2"/>
  <c r="F5" i="2"/>
  <c r="G5" i="2"/>
  <c r="H5" i="2"/>
  <c r="C5" i="2"/>
  <c r="D30" i="2" l="1"/>
  <c r="C10" i="2"/>
  <c r="E10" i="2"/>
  <c r="G10" i="2"/>
  <c r="D10" i="2"/>
  <c r="H10" i="2"/>
  <c r="F10" i="2"/>
  <c r="Q10" i="2"/>
  <c r="P10" i="2"/>
  <c r="O10" i="2"/>
  <c r="N10" i="2"/>
  <c r="M10" i="2"/>
  <c r="L10" i="2"/>
</calcChain>
</file>

<file path=xl/sharedStrings.xml><?xml version="1.0" encoding="utf-8"?>
<sst xmlns="http://schemas.openxmlformats.org/spreadsheetml/2006/main" count="245" uniqueCount="21">
  <si>
    <t>直進</t>
    <rPh sb="0" eb="2">
      <t>チョク</t>
    </rPh>
    <phoneticPr fontId="1"/>
  </si>
  <si>
    <t>右折</t>
    <rPh sb="0" eb="2">
      <t>ウセテゥ</t>
    </rPh>
    <phoneticPr fontId="1"/>
  </si>
  <si>
    <t>左折</t>
    <rPh sb="0" eb="2">
      <t>サセテゥ</t>
    </rPh>
    <phoneticPr fontId="1"/>
  </si>
  <si>
    <t>合計</t>
    <rPh sb="0" eb="2">
      <t>ゴウケイ</t>
    </rPh>
    <phoneticPr fontId="1"/>
  </si>
  <si>
    <t>既存</t>
    <rPh sb="0" eb="2">
      <t>キゾn</t>
    </rPh>
    <phoneticPr fontId="1"/>
  </si>
  <si>
    <t>提案</t>
    <rPh sb="0" eb="2">
      <t>テイアn</t>
    </rPh>
    <phoneticPr fontId="1"/>
  </si>
  <si>
    <t>全て受け入れ</t>
    <rPh sb="0" eb="1">
      <t>スベテ</t>
    </rPh>
    <rPh sb="2" eb="3">
      <t>ウケイレ</t>
    </rPh>
    <phoneticPr fontId="1"/>
  </si>
  <si>
    <t>道交法</t>
    <rPh sb="0" eb="3">
      <t>ドウコウホウ</t>
    </rPh>
    <phoneticPr fontId="1"/>
  </si>
  <si>
    <t>600/300/600</t>
    <phoneticPr fontId="1"/>
  </si>
  <si>
    <t>交差点前_平均</t>
    <rPh sb="0" eb="4">
      <t>コウサ</t>
    </rPh>
    <rPh sb="5" eb="7">
      <t>ヘイキn</t>
    </rPh>
    <phoneticPr fontId="1"/>
  </si>
  <si>
    <t>性能込み</t>
    <rPh sb="0" eb="2">
      <t>セイノウ</t>
    </rPh>
    <rPh sb="2" eb="3">
      <t>コミ</t>
    </rPh>
    <phoneticPr fontId="1"/>
  </si>
  <si>
    <t>300/300/300/300</t>
    <phoneticPr fontId="1"/>
  </si>
  <si>
    <t>400/400/400/400</t>
    <phoneticPr fontId="1"/>
  </si>
  <si>
    <t>seed1,3,5,6,7</t>
    <phoneticPr fontId="1"/>
  </si>
  <si>
    <t>右折</t>
    <rPh sb="0" eb="1">
      <t>ウセテゥ</t>
    </rPh>
    <phoneticPr fontId="1"/>
  </si>
  <si>
    <t>seed2,3,4,5,6</t>
    <phoneticPr fontId="1"/>
  </si>
  <si>
    <t>ALW</t>
  </si>
  <si>
    <t>ACT</t>
  </si>
  <si>
    <t>SPD</t>
  </si>
  <si>
    <t>UTF</t>
  </si>
  <si>
    <t>TIV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</si>
</sst>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0" borderId="0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241357847834893"/>
          <c:y val="4.9618644067796612E-2"/>
          <c:w val="0.82998290834724708"/>
          <c:h val="0.75905744651641383"/>
        </c:manualLayout>
      </c:layout>
      <c:lineChart>
        <c:grouping val="standard"/>
        <c:varyColors val="0"/>
        <c:ser>
          <c:idx val="0"/>
          <c:order val="0"/>
          <c:tx>
            <c:strRef>
              <c:f>平均!$B$37</c:f>
              <c:strCache>
                <c:ptCount val="1"/>
                <c:pt idx="0">
                  <c:v>ALW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cat>
            <c:numRef>
              <c:f>平均!$C$36:$D$36</c:f>
              <c:numCache>
                <c:formatCode>General</c:formatCode>
                <c:ptCount val="2"/>
                <c:pt idx="0">
                  <c:v>300</c:v>
                </c:pt>
                <c:pt idx="1">
                  <c:v>400</c:v>
                </c:pt>
              </c:numCache>
            </c:numRef>
          </c:cat>
          <c:val>
            <c:numRef>
              <c:f>平均!$C$37:$D$37</c:f>
              <c:numCache>
                <c:formatCode>General</c:formatCode>
                <c:ptCount val="2"/>
                <c:pt idx="0">
                  <c:v>5.8631000000000002</c:v>
                </c:pt>
                <c:pt idx="1">
                  <c:v>3.6997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CC-654F-BCBB-648D837D24D0}"/>
            </c:ext>
          </c:extLst>
        </c:ser>
        <c:ser>
          <c:idx val="1"/>
          <c:order val="1"/>
          <c:tx>
            <c:strRef>
              <c:f>平均!$B$38</c:f>
              <c:strCache>
                <c:ptCount val="1"/>
                <c:pt idx="0">
                  <c:v>ACT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25400">
                <a:solidFill>
                  <a:schemeClr val="accent2"/>
                </a:solidFill>
              </a:ln>
              <a:effectLst/>
            </c:spPr>
          </c:marker>
          <c:cat>
            <c:numRef>
              <c:f>平均!$C$36:$D$36</c:f>
              <c:numCache>
                <c:formatCode>General</c:formatCode>
                <c:ptCount val="2"/>
                <c:pt idx="0">
                  <c:v>300</c:v>
                </c:pt>
                <c:pt idx="1">
                  <c:v>400</c:v>
                </c:pt>
              </c:numCache>
            </c:numRef>
          </c:cat>
          <c:val>
            <c:numRef>
              <c:f>平均!$C$38:$D$38</c:f>
              <c:numCache>
                <c:formatCode>General</c:formatCode>
                <c:ptCount val="2"/>
                <c:pt idx="0">
                  <c:v>6.5145</c:v>
                </c:pt>
                <c:pt idx="1">
                  <c:v>4.1849999999999996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CC-654F-BCBB-648D837D24D0}"/>
            </c:ext>
          </c:extLst>
        </c:ser>
        <c:ser>
          <c:idx val="2"/>
          <c:order val="2"/>
          <c:tx>
            <c:strRef>
              <c:f>平均!$B$39</c:f>
              <c:strCache>
                <c:ptCount val="1"/>
                <c:pt idx="0">
                  <c:v>SPD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cat>
            <c:numRef>
              <c:f>平均!$C$36:$D$36</c:f>
              <c:numCache>
                <c:formatCode>General</c:formatCode>
                <c:ptCount val="2"/>
                <c:pt idx="0">
                  <c:v>300</c:v>
                </c:pt>
                <c:pt idx="1">
                  <c:v>400</c:v>
                </c:pt>
              </c:numCache>
            </c:numRef>
          </c:cat>
          <c:val>
            <c:numRef>
              <c:f>平均!$C$39:$D$39</c:f>
              <c:numCache>
                <c:formatCode>General</c:formatCode>
                <c:ptCount val="2"/>
                <c:pt idx="0">
                  <c:v>6.8127000000000004</c:v>
                </c:pt>
                <c:pt idx="1">
                  <c:v>4.5090000000000003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CC-654F-BCBB-648D837D24D0}"/>
            </c:ext>
          </c:extLst>
        </c:ser>
        <c:ser>
          <c:idx val="3"/>
          <c:order val="3"/>
          <c:tx>
            <c:strRef>
              <c:f>平均!$B$40</c:f>
              <c:strCache>
                <c:ptCount val="1"/>
                <c:pt idx="0">
                  <c:v>UTF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5400">
                <a:solidFill>
                  <a:schemeClr val="accent4"/>
                </a:solidFill>
              </a:ln>
              <a:effectLst/>
            </c:spPr>
          </c:marker>
          <c:cat>
            <c:numRef>
              <c:f>平均!$C$36:$D$36</c:f>
              <c:numCache>
                <c:formatCode>General</c:formatCode>
                <c:ptCount val="2"/>
                <c:pt idx="0">
                  <c:v>300</c:v>
                </c:pt>
                <c:pt idx="1">
                  <c:v>400</c:v>
                </c:pt>
              </c:numCache>
            </c:numRef>
          </c:cat>
          <c:val>
            <c:numRef>
              <c:f>平均!$C$40:$D$40</c:f>
              <c:numCache>
                <c:formatCode>General</c:formatCode>
                <c:ptCount val="2"/>
                <c:pt idx="0">
                  <c:v>6.8076999999999996</c:v>
                </c:pt>
                <c:pt idx="1">
                  <c:v>4.3335999999999997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CC-654F-BCBB-648D837D24D0}"/>
            </c:ext>
          </c:extLst>
        </c:ser>
        <c:ser>
          <c:idx val="4"/>
          <c:order val="4"/>
          <c:tx>
            <c:strRef>
              <c:f>平均!$B$41</c:f>
              <c:strCache>
                <c:ptCount val="1"/>
                <c:pt idx="0">
                  <c:v>TIV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25400">
                <a:solidFill>
                  <a:srgbClr val="FF0000"/>
                </a:solidFill>
              </a:ln>
              <a:effectLst/>
            </c:spPr>
          </c:marker>
          <c:cat>
            <c:numRef>
              <c:f>平均!$C$36:$D$36</c:f>
              <c:numCache>
                <c:formatCode>General</c:formatCode>
                <c:ptCount val="2"/>
                <c:pt idx="0">
                  <c:v>300</c:v>
                </c:pt>
                <c:pt idx="1">
                  <c:v>400</c:v>
                </c:pt>
              </c:numCache>
            </c:numRef>
          </c:cat>
          <c:val>
            <c:numRef>
              <c:f>平均!$C$41:$D$41</c:f>
              <c:numCache>
                <c:formatCode>General</c:formatCode>
                <c:ptCount val="2"/>
                <c:pt idx="0">
                  <c:v>7.2484999999999999</c:v>
                </c:pt>
                <c:pt idx="1">
                  <c:v>4.556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CC-654F-BCBB-648D837D2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225296"/>
        <c:axId val="232247568"/>
      </c:lineChart>
      <c:catAx>
        <c:axId val="142225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Inflow</a:t>
                </a:r>
                <a:r>
                  <a:rPr lang="en-US" altLang="ja-JP" sz="1400" baseline="0"/>
                  <a:t> per one direction [vehicles/h]</a:t>
                </a:r>
                <a:endParaRPr lang="ja-JP" altLang="en-US" sz="1400"/>
              </a:p>
            </c:rich>
          </c:tx>
          <c:layout>
            <c:manualLayout>
              <c:xMode val="edge"/>
              <c:yMode val="edge"/>
              <c:x val="0.28995859439385968"/>
              <c:y val="0.906447050603988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32247568"/>
        <c:crosses val="autoZero"/>
        <c:auto val="1"/>
        <c:lblAlgn val="ctr"/>
        <c:lblOffset val="100"/>
        <c:noMultiLvlLbl val="0"/>
      </c:catAx>
      <c:valAx>
        <c:axId val="232247568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Total</a:t>
                </a:r>
                <a:r>
                  <a:rPr lang="en-US" altLang="ja-JP" sz="1400" baseline="0"/>
                  <a:t> average speed [m/s]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2225296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4546732730287654"/>
          <c:y val="0.60630453191752542"/>
          <c:w val="0.41283395409952678"/>
          <c:h val="0.204787134659015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704850</xdr:colOff>
      <xdr:row>33</xdr:row>
      <xdr:rowOff>101600</xdr:rowOff>
    </xdr:from>
    <xdr:to>
      <xdr:col>10</xdr:col>
      <xdr:colOff>25400</xdr:colOff>
      <xdr:row>45</xdr:row>
      <xdr:rowOff>50800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B84B038-5D55-83A0-6C52-B9EE0642F9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C0DCA-A601-9A40-AA76-DC09B9D4CE52}">
  <dimension ref="B2:Q18"/>
  <sheetViews>
    <sheetView topLeftCell="B1" workbookViewId="0">
      <selection activeCell="K5" sqref="K5:K8"/>
    </sheetView>
  </sheetViews>
  <sheetFormatPr baseColWidth="10" defaultRowHeight="20"/>
  <sheetData>
    <row r="2" spans="2:17">
      <c r="B2" t="s">
        <v>11</v>
      </c>
      <c r="C2">
        <v>5</v>
      </c>
      <c r="D2">
        <v>6</v>
      </c>
      <c r="E2">
        <v>4</v>
      </c>
      <c r="F2">
        <v>2</v>
      </c>
      <c r="G2">
        <v>3</v>
      </c>
      <c r="H2">
        <v>1</v>
      </c>
      <c r="K2" t="s">
        <v>12</v>
      </c>
    </row>
    <row r="3" spans="2:17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17">
      <c r="C4" t="s">
        <v>6</v>
      </c>
      <c r="D4" t="s">
        <v>7</v>
      </c>
      <c r="E4" s="1">
        <v>0.2</v>
      </c>
      <c r="F4" s="1">
        <v>0.4</v>
      </c>
      <c r="G4" t="s">
        <v>4</v>
      </c>
      <c r="H4" t="s">
        <v>5</v>
      </c>
      <c r="L4" t="s">
        <v>6</v>
      </c>
      <c r="M4" t="s">
        <v>7</v>
      </c>
      <c r="N4" s="1">
        <v>0.2</v>
      </c>
      <c r="O4" s="1">
        <v>0.4</v>
      </c>
      <c r="P4" t="s">
        <v>4</v>
      </c>
      <c r="Q4" t="s">
        <v>5</v>
      </c>
    </row>
    <row r="5" spans="2:17">
      <c r="B5" t="s">
        <v>14</v>
      </c>
      <c r="C5">
        <v>4.3287000000000004</v>
      </c>
      <c r="D5">
        <v>4.7053000000000003</v>
      </c>
      <c r="E5">
        <v>2.8258000000000001</v>
      </c>
      <c r="F5">
        <v>4.8680000000000003</v>
      </c>
      <c r="G5">
        <v>4.9995000000000003</v>
      </c>
      <c r="H5">
        <v>5.7877000000000001</v>
      </c>
      <c r="K5" t="s">
        <v>14</v>
      </c>
      <c r="L5">
        <v>2.2134</v>
      </c>
      <c r="M5">
        <v>2.3858999999999999</v>
      </c>
      <c r="N5">
        <v>3.0510000000000002</v>
      </c>
      <c r="O5">
        <v>2.5912000000000002</v>
      </c>
      <c r="P5">
        <v>2.1101999999999999</v>
      </c>
      <c r="Q5">
        <v>2.6419000000000001</v>
      </c>
    </row>
    <row r="6" spans="2:17">
      <c r="B6" t="s">
        <v>0</v>
      </c>
      <c r="C6">
        <v>3.4918999999999998</v>
      </c>
      <c r="D6">
        <v>4.0199999999999996</v>
      </c>
      <c r="E6">
        <v>2.9878999999999998</v>
      </c>
      <c r="F6">
        <v>4.1044999999999998</v>
      </c>
      <c r="G6">
        <v>4.2488999999999999</v>
      </c>
      <c r="H6">
        <v>5.0232999999999999</v>
      </c>
      <c r="K6" t="s">
        <v>0</v>
      </c>
      <c r="L6">
        <v>2.2524000000000002</v>
      </c>
      <c r="M6">
        <v>2.2715999999999998</v>
      </c>
      <c r="N6">
        <v>2.8102999999999998</v>
      </c>
      <c r="O6">
        <v>2.3026</v>
      </c>
      <c r="P6">
        <v>1.9497</v>
      </c>
      <c r="Q6">
        <v>2.1882000000000001</v>
      </c>
    </row>
    <row r="7" spans="2:17">
      <c r="B7" t="s">
        <v>2</v>
      </c>
      <c r="C7">
        <v>2.3384</v>
      </c>
      <c r="D7">
        <v>6.8849999999999998</v>
      </c>
      <c r="E7">
        <v>1.9279999999999999</v>
      </c>
      <c r="F7">
        <v>3.1086</v>
      </c>
      <c r="G7">
        <v>3.4437000000000002</v>
      </c>
      <c r="H7">
        <v>6.4558999999999997</v>
      </c>
      <c r="K7" t="s">
        <v>2</v>
      </c>
      <c r="L7">
        <v>1.3067</v>
      </c>
      <c r="M7">
        <v>2.8452000000000002</v>
      </c>
      <c r="N7">
        <v>1.9374</v>
      </c>
      <c r="O7">
        <v>1.4404999999999999</v>
      </c>
      <c r="P7">
        <v>1.4607000000000001</v>
      </c>
      <c r="Q7">
        <v>1.6027</v>
      </c>
    </row>
    <row r="8" spans="2:17">
      <c r="B8" t="s">
        <v>3</v>
      </c>
      <c r="C8">
        <v>5.2112999999999996</v>
      </c>
      <c r="D8">
        <v>6.5011999999999999</v>
      </c>
      <c r="E8">
        <v>4.3476999999999997</v>
      </c>
      <c r="F8">
        <v>6.0407000000000002</v>
      </c>
      <c r="G8">
        <v>6.1821000000000002</v>
      </c>
      <c r="H8">
        <v>7.4062000000000001</v>
      </c>
      <c r="K8" t="s">
        <v>3</v>
      </c>
      <c r="L8">
        <v>3.3418999999999999</v>
      </c>
      <c r="M8">
        <v>3.9218999999999999</v>
      </c>
      <c r="N8">
        <v>4.3250000000000002</v>
      </c>
      <c r="O8">
        <v>3.6246</v>
      </c>
      <c r="P8">
        <v>3.1206</v>
      </c>
      <c r="Q8">
        <v>3.6206999999999998</v>
      </c>
    </row>
    <row r="13" spans="2:17"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</row>
    <row r="14" spans="2:17">
      <c r="C14" t="s">
        <v>6</v>
      </c>
      <c r="D14" t="s">
        <v>7</v>
      </c>
      <c r="E14" s="1">
        <v>0.2</v>
      </c>
      <c r="F14" s="1">
        <v>0.4</v>
      </c>
      <c r="G14" t="s">
        <v>4</v>
      </c>
      <c r="H14" t="s">
        <v>5</v>
      </c>
    </row>
    <row r="15" spans="2:17">
      <c r="B15" t="s">
        <v>0</v>
      </c>
    </row>
    <row r="16" spans="2:17">
      <c r="B16" t="s">
        <v>1</v>
      </c>
    </row>
    <row r="17" spans="2:2">
      <c r="B17" t="s">
        <v>2</v>
      </c>
    </row>
    <row r="18" spans="2:2">
      <c r="B18" t="s">
        <v>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E1FA-5A64-FC49-89D7-8A2926DD93D2}">
  <dimension ref="B2:Q18"/>
  <sheetViews>
    <sheetView workbookViewId="0">
      <selection activeCell="M11" sqref="M11"/>
    </sheetView>
  </sheetViews>
  <sheetFormatPr baseColWidth="10" defaultRowHeight="20"/>
  <sheetData>
    <row r="2" spans="2:17">
      <c r="B2" t="s">
        <v>11</v>
      </c>
      <c r="C2">
        <v>5</v>
      </c>
      <c r="D2">
        <v>6</v>
      </c>
      <c r="E2">
        <v>1</v>
      </c>
      <c r="F2">
        <v>3</v>
      </c>
      <c r="G2">
        <v>2</v>
      </c>
      <c r="H2">
        <v>4</v>
      </c>
      <c r="K2" t="s">
        <v>12</v>
      </c>
    </row>
    <row r="3" spans="2:17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17">
      <c r="C4" t="s">
        <v>6</v>
      </c>
      <c r="D4" t="s">
        <v>7</v>
      </c>
      <c r="E4" s="1">
        <v>0.2</v>
      </c>
      <c r="F4" s="1">
        <v>0.4</v>
      </c>
      <c r="G4" t="s">
        <v>4</v>
      </c>
      <c r="H4" t="s">
        <v>5</v>
      </c>
      <c r="L4" t="s">
        <v>6</v>
      </c>
      <c r="M4" t="s">
        <v>7</v>
      </c>
      <c r="N4" s="1">
        <v>0.2</v>
      </c>
      <c r="O4" s="1">
        <v>0.4</v>
      </c>
      <c r="P4" t="s">
        <v>4</v>
      </c>
      <c r="Q4" t="s">
        <v>5</v>
      </c>
    </row>
    <row r="5" spans="2:17">
      <c r="B5" t="s">
        <v>14</v>
      </c>
      <c r="C5">
        <v>4.8338000000000001</v>
      </c>
      <c r="D5">
        <v>3.4272999999999998</v>
      </c>
      <c r="E5">
        <v>5.7152000000000003</v>
      </c>
      <c r="F5">
        <v>4.7864000000000004</v>
      </c>
      <c r="G5">
        <v>5.8819999999999997</v>
      </c>
      <c r="H5">
        <v>4.1825999999999999</v>
      </c>
      <c r="K5" t="s">
        <v>14</v>
      </c>
      <c r="L5">
        <v>3.952</v>
      </c>
      <c r="M5">
        <v>3.3868</v>
      </c>
      <c r="N5">
        <v>3.4963000000000002</v>
      </c>
      <c r="O5">
        <v>3.4961000000000002</v>
      </c>
      <c r="P5">
        <v>2.1257000000000001</v>
      </c>
      <c r="Q5">
        <v>3.4289999999999998</v>
      </c>
    </row>
    <row r="6" spans="2:17">
      <c r="B6" t="s">
        <v>0</v>
      </c>
      <c r="C6">
        <v>4.157</v>
      </c>
      <c r="D6">
        <v>2.3462999999999998</v>
      </c>
      <c r="E6">
        <v>4.7252999999999998</v>
      </c>
      <c r="F6">
        <v>4.1798000000000002</v>
      </c>
      <c r="G6">
        <v>5.0292000000000003</v>
      </c>
      <c r="H6">
        <v>3.3319000000000001</v>
      </c>
      <c r="K6" t="s">
        <v>0</v>
      </c>
      <c r="L6">
        <v>2.9321000000000002</v>
      </c>
      <c r="M6">
        <v>2.6263000000000001</v>
      </c>
      <c r="N6">
        <v>2.74</v>
      </c>
      <c r="O6">
        <v>2.8313999999999999</v>
      </c>
      <c r="P6">
        <v>2.3018000000000001</v>
      </c>
      <c r="Q6">
        <v>2.5272999999999999</v>
      </c>
    </row>
    <row r="7" spans="2:17">
      <c r="B7" t="s">
        <v>2</v>
      </c>
      <c r="C7">
        <v>3.9571000000000001</v>
      </c>
      <c r="D7">
        <v>3.6619000000000002</v>
      </c>
      <c r="E7">
        <v>6.6490999999999998</v>
      </c>
      <c r="F7">
        <v>4.8921999999999999</v>
      </c>
      <c r="G7">
        <v>5.5567000000000002</v>
      </c>
      <c r="H7">
        <v>3.4782999999999999</v>
      </c>
      <c r="K7" t="s">
        <v>2</v>
      </c>
      <c r="L7">
        <v>2.2509000000000001</v>
      </c>
      <c r="M7">
        <v>2.4098000000000002</v>
      </c>
      <c r="N7">
        <v>2.2513000000000001</v>
      </c>
      <c r="O7">
        <v>2.3403999999999998</v>
      </c>
      <c r="P7">
        <v>2.4283999999999999</v>
      </c>
      <c r="Q7">
        <v>2.2147999999999999</v>
      </c>
    </row>
    <row r="8" spans="2:17">
      <c r="B8" t="s">
        <v>3</v>
      </c>
      <c r="C8">
        <v>6.2336</v>
      </c>
      <c r="D8" s="2">
        <v>4.5144000000000002</v>
      </c>
      <c r="E8">
        <v>7.2889999999999997</v>
      </c>
      <c r="F8">
        <v>6.4095000000000004</v>
      </c>
      <c r="G8">
        <v>7.2969999999999997</v>
      </c>
      <c r="H8">
        <v>5.3860999999999999</v>
      </c>
      <c r="K8" t="s">
        <v>3</v>
      </c>
      <c r="L8">
        <v>4.8392999999999997</v>
      </c>
      <c r="M8">
        <v>4.4955999999999996</v>
      </c>
      <c r="N8">
        <v>4.5930999999999997</v>
      </c>
      <c r="O8">
        <v>4.6685999999999996</v>
      </c>
      <c r="P8">
        <v>3.6259999999999999</v>
      </c>
      <c r="Q8">
        <v>4.4013999999999998</v>
      </c>
    </row>
    <row r="12" spans="2:17">
      <c r="B12" t="s">
        <v>8</v>
      </c>
    </row>
    <row r="13" spans="2:17"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</row>
    <row r="14" spans="2:17">
      <c r="C14" t="s">
        <v>6</v>
      </c>
      <c r="D14" t="s">
        <v>7</v>
      </c>
      <c r="E14" s="1">
        <v>0.2</v>
      </c>
      <c r="F14" s="1">
        <v>0.4</v>
      </c>
      <c r="G14" t="s">
        <v>4</v>
      </c>
      <c r="H14" t="s">
        <v>5</v>
      </c>
    </row>
    <row r="15" spans="2:17">
      <c r="B15" t="s">
        <v>0</v>
      </c>
    </row>
    <row r="16" spans="2:17">
      <c r="B16" t="s">
        <v>1</v>
      </c>
    </row>
    <row r="17" spans="2:2">
      <c r="B17" t="s">
        <v>2</v>
      </c>
    </row>
    <row r="18" spans="2:2">
      <c r="B18" t="s">
        <v>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853A-4F30-0142-AB97-3D14C1A4C950}">
  <dimension ref="B2:Q18"/>
  <sheetViews>
    <sheetView topLeftCell="C1" workbookViewId="0">
      <selection activeCell="L16" sqref="L15:L16"/>
    </sheetView>
  </sheetViews>
  <sheetFormatPr baseColWidth="10" defaultRowHeight="20"/>
  <sheetData>
    <row r="2" spans="2:17">
      <c r="B2" t="s">
        <v>11</v>
      </c>
      <c r="C2">
        <v>6</v>
      </c>
      <c r="D2">
        <v>5</v>
      </c>
      <c r="E2">
        <v>4</v>
      </c>
      <c r="F2">
        <v>2</v>
      </c>
      <c r="G2">
        <v>3</v>
      </c>
      <c r="H2">
        <v>1</v>
      </c>
      <c r="K2" t="s">
        <v>12</v>
      </c>
    </row>
    <row r="3" spans="2:17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17">
      <c r="C4" t="s">
        <v>6</v>
      </c>
      <c r="D4" t="s">
        <v>7</v>
      </c>
      <c r="E4" s="1">
        <v>0.2</v>
      </c>
      <c r="F4" s="1">
        <v>0.4</v>
      </c>
      <c r="G4" t="s">
        <v>4</v>
      </c>
      <c r="H4" t="s">
        <v>5</v>
      </c>
      <c r="L4" t="s">
        <v>6</v>
      </c>
      <c r="M4" t="s">
        <v>7</v>
      </c>
      <c r="N4" s="1">
        <v>0.2</v>
      </c>
      <c r="O4" s="1">
        <v>0.4</v>
      </c>
      <c r="P4" t="s">
        <v>4</v>
      </c>
      <c r="Q4" t="s">
        <v>5</v>
      </c>
    </row>
    <row r="5" spans="2:17">
      <c r="B5" t="s">
        <v>14</v>
      </c>
      <c r="C5">
        <v>3.1941000000000002</v>
      </c>
      <c r="D5">
        <v>4.8010000000000002</v>
      </c>
      <c r="E5">
        <v>5.1486999999999998</v>
      </c>
      <c r="F5">
        <v>5.3639999999999999</v>
      </c>
      <c r="G5">
        <v>6.0388999999999999</v>
      </c>
      <c r="H5">
        <v>6.2237999999999998</v>
      </c>
      <c r="K5" t="s">
        <v>14</v>
      </c>
      <c r="L5">
        <v>2.4594999999999998</v>
      </c>
      <c r="M5">
        <v>2.7942</v>
      </c>
      <c r="N5">
        <v>3.3877000000000002</v>
      </c>
      <c r="O5">
        <v>3.4426999999999999</v>
      </c>
      <c r="P5">
        <v>3.5859999999999999</v>
      </c>
      <c r="Q5">
        <v>3.3828999999999998</v>
      </c>
    </row>
    <row r="6" spans="2:17">
      <c r="B6" t="s">
        <v>0</v>
      </c>
      <c r="C6">
        <v>3.1795</v>
      </c>
      <c r="D6">
        <v>4.4169999999999998</v>
      </c>
      <c r="E6">
        <v>4.8596000000000004</v>
      </c>
      <c r="F6">
        <v>4.9549000000000003</v>
      </c>
      <c r="G6">
        <v>5.6921999999999997</v>
      </c>
      <c r="H6">
        <v>5.5876000000000001</v>
      </c>
      <c r="K6" t="s">
        <v>0</v>
      </c>
      <c r="L6">
        <v>2.0988000000000002</v>
      </c>
      <c r="M6">
        <v>2.0781000000000001</v>
      </c>
      <c r="N6">
        <v>2.6337000000000002</v>
      </c>
      <c r="O6">
        <v>2.5583</v>
      </c>
      <c r="P6">
        <v>3.0695000000000001</v>
      </c>
      <c r="Q6">
        <v>2.7902</v>
      </c>
    </row>
    <row r="7" spans="2:17">
      <c r="B7" t="s">
        <v>2</v>
      </c>
      <c r="C7">
        <v>1.9416</v>
      </c>
      <c r="D7">
        <v>4.8888999999999996</v>
      </c>
      <c r="E7">
        <v>6.6162999999999998</v>
      </c>
      <c r="F7">
        <v>4.5865</v>
      </c>
      <c r="G7">
        <v>5.6776</v>
      </c>
      <c r="H7">
        <v>6.6303000000000001</v>
      </c>
      <c r="K7" t="s">
        <v>2</v>
      </c>
      <c r="L7">
        <v>1.0811999999999999</v>
      </c>
      <c r="M7">
        <v>1.8078000000000001</v>
      </c>
      <c r="N7">
        <v>2.3544999999999998</v>
      </c>
      <c r="O7">
        <v>2.1766999999999999</v>
      </c>
      <c r="P7">
        <v>2.4447000000000001</v>
      </c>
      <c r="Q7">
        <v>1.9054</v>
      </c>
    </row>
    <row r="8" spans="2:17">
      <c r="B8" t="s">
        <v>3</v>
      </c>
      <c r="C8" s="2">
        <v>4.4783999999999997</v>
      </c>
      <c r="D8">
        <v>6.5858999999999996</v>
      </c>
      <c r="E8">
        <v>7.1165000000000003</v>
      </c>
      <c r="F8">
        <v>6.9893999999999998</v>
      </c>
      <c r="G8">
        <v>7.6765999999999996</v>
      </c>
      <c r="H8">
        <v>7.8402000000000003</v>
      </c>
      <c r="K8" t="s">
        <v>3</v>
      </c>
      <c r="L8">
        <v>3.2061999999999999</v>
      </c>
      <c r="M8">
        <v>3.7383999999999999</v>
      </c>
      <c r="N8">
        <v>4.5296000000000003</v>
      </c>
      <c r="O8">
        <v>4.4212999999999996</v>
      </c>
      <c r="P8">
        <v>4.7845000000000004</v>
      </c>
      <c r="Q8">
        <v>4.4207999999999998</v>
      </c>
    </row>
    <row r="12" spans="2:17">
      <c r="B12" t="s">
        <v>8</v>
      </c>
    </row>
    <row r="13" spans="2:17"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</row>
    <row r="14" spans="2:17">
      <c r="C14" t="s">
        <v>6</v>
      </c>
      <c r="D14" t="s">
        <v>7</v>
      </c>
      <c r="E14" s="1">
        <v>0.2</v>
      </c>
      <c r="F14" s="1">
        <v>0.4</v>
      </c>
      <c r="G14" t="s">
        <v>4</v>
      </c>
      <c r="H14" t="s">
        <v>5</v>
      </c>
    </row>
    <row r="15" spans="2:17">
      <c r="B15" t="s">
        <v>0</v>
      </c>
    </row>
    <row r="16" spans="2:17">
      <c r="B16" t="s">
        <v>1</v>
      </c>
    </row>
    <row r="17" spans="2:2">
      <c r="B17" t="s">
        <v>2</v>
      </c>
    </row>
    <row r="18" spans="2:2">
      <c r="B18" t="s">
        <v>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017C4-1E43-E849-AB0D-366E9D84A596}">
  <dimension ref="B2:Q18"/>
  <sheetViews>
    <sheetView topLeftCell="D1" workbookViewId="0">
      <selection activeCell="L9" sqref="L9"/>
    </sheetView>
  </sheetViews>
  <sheetFormatPr baseColWidth="10" defaultRowHeight="20"/>
  <sheetData>
    <row r="2" spans="2:17">
      <c r="B2" t="s">
        <v>11</v>
      </c>
      <c r="C2">
        <v>4</v>
      </c>
      <c r="D2">
        <v>6</v>
      </c>
      <c r="E2">
        <v>2</v>
      </c>
      <c r="F2">
        <v>1</v>
      </c>
      <c r="G2">
        <v>3</v>
      </c>
      <c r="H2">
        <v>5</v>
      </c>
      <c r="K2" t="s">
        <v>12</v>
      </c>
    </row>
    <row r="3" spans="2:17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17">
      <c r="C4" t="s">
        <v>6</v>
      </c>
      <c r="D4" t="s">
        <v>7</v>
      </c>
      <c r="E4" s="1">
        <v>0.2</v>
      </c>
      <c r="F4" s="1">
        <v>0.4</v>
      </c>
      <c r="G4" t="s">
        <v>4</v>
      </c>
      <c r="H4" t="s">
        <v>5</v>
      </c>
      <c r="L4" t="s">
        <v>6</v>
      </c>
      <c r="M4" t="s">
        <v>7</v>
      </c>
      <c r="N4" s="1">
        <v>0.2</v>
      </c>
      <c r="O4" s="1">
        <v>0.4</v>
      </c>
      <c r="P4" t="s">
        <v>4</v>
      </c>
      <c r="Q4" t="s">
        <v>5</v>
      </c>
    </row>
    <row r="5" spans="2:17">
      <c r="B5" t="s">
        <v>14</v>
      </c>
      <c r="C5">
        <v>5.6120000000000001</v>
      </c>
      <c r="D5">
        <v>5.3710000000000004</v>
      </c>
      <c r="E5">
        <v>5.3762999999999996</v>
      </c>
      <c r="F5">
        <v>6.0557999999999996</v>
      </c>
      <c r="G5">
        <v>5.7343999999999999</v>
      </c>
      <c r="H5">
        <v>4.4409999999999998</v>
      </c>
      <c r="K5" t="s">
        <v>14</v>
      </c>
      <c r="L5">
        <v>2.8403</v>
      </c>
      <c r="M5">
        <v>3.5712000000000002</v>
      </c>
      <c r="N5">
        <v>3.9910999999999999</v>
      </c>
      <c r="O5">
        <v>4.0374999999999996</v>
      </c>
      <c r="P5">
        <v>3.9662999999999999</v>
      </c>
      <c r="Q5">
        <v>4.1626000000000003</v>
      </c>
    </row>
    <row r="6" spans="2:17">
      <c r="B6" t="s">
        <v>0</v>
      </c>
      <c r="C6">
        <v>5.266</v>
      </c>
      <c r="D6">
        <v>4.3689999999999998</v>
      </c>
      <c r="E6">
        <v>4.8234000000000004</v>
      </c>
      <c r="F6">
        <v>5.5164</v>
      </c>
      <c r="G6">
        <v>5.3003999999999998</v>
      </c>
      <c r="H6">
        <v>3.9723000000000002</v>
      </c>
      <c r="K6" t="s">
        <v>0</v>
      </c>
      <c r="L6">
        <v>2.2488999999999999</v>
      </c>
      <c r="M6">
        <v>2.6690999999999998</v>
      </c>
      <c r="N6">
        <v>2.9348000000000001</v>
      </c>
      <c r="O6">
        <v>2.7852000000000001</v>
      </c>
      <c r="P6">
        <v>3.1387</v>
      </c>
      <c r="Q6">
        <v>3.2854000000000001</v>
      </c>
    </row>
    <row r="7" spans="2:17">
      <c r="B7" t="s">
        <v>2</v>
      </c>
      <c r="C7">
        <v>5.0259</v>
      </c>
      <c r="D7">
        <v>8.0463000000000005</v>
      </c>
      <c r="E7">
        <v>6.3491999999999997</v>
      </c>
      <c r="F7">
        <v>7.9034000000000004</v>
      </c>
      <c r="G7">
        <v>5.7131999999999996</v>
      </c>
      <c r="H7">
        <v>4.7363999999999997</v>
      </c>
      <c r="K7" t="s">
        <v>2</v>
      </c>
      <c r="L7">
        <v>1.248</v>
      </c>
      <c r="M7">
        <v>3.4786000000000001</v>
      </c>
      <c r="N7">
        <v>1.7638</v>
      </c>
      <c r="O7">
        <v>1.7768999999999999</v>
      </c>
      <c r="P7">
        <v>1.9495</v>
      </c>
      <c r="Q7">
        <v>2.1349999999999998</v>
      </c>
    </row>
    <row r="8" spans="2:17">
      <c r="B8" t="s">
        <v>3</v>
      </c>
      <c r="C8">
        <v>7.2404000000000002</v>
      </c>
      <c r="D8">
        <v>7.0956000000000001</v>
      </c>
      <c r="E8">
        <v>7.1851000000000003</v>
      </c>
      <c r="F8">
        <v>7.9484000000000004</v>
      </c>
      <c r="G8">
        <v>7.3912000000000004</v>
      </c>
      <c r="H8">
        <v>6.1897000000000002</v>
      </c>
      <c r="K8" t="s">
        <v>3</v>
      </c>
      <c r="L8">
        <v>3.5545</v>
      </c>
      <c r="M8">
        <v>4.8638000000000003</v>
      </c>
      <c r="N8">
        <v>4.7072000000000003</v>
      </c>
      <c r="O8">
        <v>4.6694000000000004</v>
      </c>
      <c r="P8">
        <v>4.8151000000000002</v>
      </c>
      <c r="Q8">
        <v>5.1119000000000003</v>
      </c>
    </row>
    <row r="12" spans="2:17">
      <c r="B12" t="s">
        <v>8</v>
      </c>
    </row>
    <row r="13" spans="2:17"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</row>
    <row r="14" spans="2:17">
      <c r="C14" t="s">
        <v>6</v>
      </c>
      <c r="D14" t="s">
        <v>7</v>
      </c>
      <c r="E14" s="1">
        <v>0.2</v>
      </c>
      <c r="F14" s="1">
        <v>0.4</v>
      </c>
      <c r="G14" t="s">
        <v>4</v>
      </c>
      <c r="H14" t="s">
        <v>5</v>
      </c>
    </row>
    <row r="15" spans="2:17">
      <c r="B15" t="s">
        <v>0</v>
      </c>
    </row>
    <row r="16" spans="2:17">
      <c r="B16" t="s">
        <v>1</v>
      </c>
    </row>
    <row r="17" spans="2:2">
      <c r="B17" t="s">
        <v>2</v>
      </c>
    </row>
    <row r="18" spans="2:2">
      <c r="B18" t="s">
        <v>3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0E2A-87C7-4A40-AC74-2599F7C10E83}">
  <dimension ref="B2:Q18"/>
  <sheetViews>
    <sheetView topLeftCell="E1" workbookViewId="0">
      <selection activeCell="L9" sqref="L9"/>
    </sheetView>
  </sheetViews>
  <sheetFormatPr baseColWidth="10" defaultRowHeight="20"/>
  <sheetData>
    <row r="2" spans="2:17">
      <c r="B2" t="s">
        <v>11</v>
      </c>
      <c r="C2">
        <v>5</v>
      </c>
      <c r="D2">
        <v>6</v>
      </c>
      <c r="E2">
        <v>2</v>
      </c>
      <c r="F2">
        <v>1</v>
      </c>
      <c r="G2">
        <v>4</v>
      </c>
      <c r="H2">
        <v>3</v>
      </c>
      <c r="K2" t="s">
        <v>12</v>
      </c>
    </row>
    <row r="3" spans="2:17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17">
      <c r="C4" t="s">
        <v>6</v>
      </c>
      <c r="D4" t="s">
        <v>7</v>
      </c>
      <c r="E4" s="1">
        <v>0.2</v>
      </c>
      <c r="F4" s="1">
        <v>0.4</v>
      </c>
      <c r="G4" t="s">
        <v>4</v>
      </c>
      <c r="H4" t="s">
        <v>5</v>
      </c>
      <c r="L4" t="s">
        <v>6</v>
      </c>
      <c r="M4" t="s">
        <v>7</v>
      </c>
      <c r="N4" s="1">
        <v>0.2</v>
      </c>
      <c r="O4" s="1">
        <v>0.4</v>
      </c>
      <c r="P4" t="s">
        <v>4</v>
      </c>
      <c r="Q4" t="s">
        <v>5</v>
      </c>
    </row>
    <row r="5" spans="2:17">
      <c r="B5" t="s">
        <v>14</v>
      </c>
      <c r="C5">
        <v>5.1859000000000002</v>
      </c>
      <c r="D5">
        <v>5.3944000000000001</v>
      </c>
      <c r="E5">
        <v>5.4638999999999998</v>
      </c>
      <c r="F5">
        <v>5.9497999999999998</v>
      </c>
      <c r="G5">
        <v>5.8019999999999996</v>
      </c>
      <c r="H5">
        <v>5.9146999999999998</v>
      </c>
      <c r="K5" t="s">
        <v>14</v>
      </c>
      <c r="L5">
        <v>2.7469999999999999</v>
      </c>
      <c r="M5">
        <v>3.0571999999999999</v>
      </c>
      <c r="N5">
        <v>3.0878999999999999</v>
      </c>
      <c r="O5">
        <v>3.3403999999999998</v>
      </c>
      <c r="P5">
        <v>3.1116000000000001</v>
      </c>
      <c r="Q5">
        <v>3.2879</v>
      </c>
    </row>
    <row r="6" spans="2:17">
      <c r="B6" t="s">
        <v>0</v>
      </c>
      <c r="C6">
        <v>5.1536999999999997</v>
      </c>
      <c r="D6">
        <v>4.5624000000000002</v>
      </c>
      <c r="E6">
        <v>5.0476999999999999</v>
      </c>
      <c r="F6">
        <v>4.9257999999999997</v>
      </c>
      <c r="G6">
        <v>5.2972000000000001</v>
      </c>
      <c r="H6">
        <v>5.2999000000000001</v>
      </c>
      <c r="K6" t="s">
        <v>0</v>
      </c>
      <c r="L6">
        <v>2.2584</v>
      </c>
      <c r="M6">
        <v>2.4198</v>
      </c>
      <c r="N6">
        <v>2.3551000000000002</v>
      </c>
      <c r="O6">
        <v>2.5615000000000001</v>
      </c>
      <c r="P6">
        <v>2.3815</v>
      </c>
      <c r="Q6">
        <v>2.4891000000000001</v>
      </c>
    </row>
    <row r="7" spans="2:17">
      <c r="B7" t="s">
        <v>2</v>
      </c>
      <c r="C7">
        <v>5.0575000000000001</v>
      </c>
      <c r="D7">
        <v>7.1045999999999996</v>
      </c>
      <c r="E7">
        <v>7.9771000000000001</v>
      </c>
      <c r="F7">
        <v>7.8997000000000002</v>
      </c>
      <c r="G7">
        <v>6.6059999999999999</v>
      </c>
      <c r="H7">
        <v>7.2320000000000002</v>
      </c>
      <c r="K7" t="s">
        <v>2</v>
      </c>
      <c r="L7">
        <v>2.4807000000000001</v>
      </c>
      <c r="M7">
        <v>2.9721000000000002</v>
      </c>
      <c r="N7">
        <v>2.6520000000000001</v>
      </c>
      <c r="O7">
        <v>2.5752999999999999</v>
      </c>
      <c r="P7">
        <v>2.5827</v>
      </c>
      <c r="Q7">
        <v>2.6427999999999998</v>
      </c>
    </row>
    <row r="8" spans="2:17">
      <c r="B8" t="s">
        <v>3</v>
      </c>
      <c r="C8">
        <v>7.0069999999999997</v>
      </c>
      <c r="D8">
        <v>7.0723000000000003</v>
      </c>
      <c r="E8">
        <v>7.3925999999999998</v>
      </c>
      <c r="F8">
        <v>7.5502000000000002</v>
      </c>
      <c r="G8">
        <v>7.5182000000000002</v>
      </c>
      <c r="H8">
        <v>7.6135999999999999</v>
      </c>
      <c r="K8" t="s">
        <v>3</v>
      </c>
      <c r="L8">
        <v>3.9032</v>
      </c>
      <c r="M8">
        <v>4.2488999999999999</v>
      </c>
      <c r="N8">
        <v>4.1909999999999998</v>
      </c>
      <c r="O8">
        <v>4.4791999999999996</v>
      </c>
      <c r="P8">
        <v>4.2087000000000003</v>
      </c>
      <c r="Q8">
        <v>4.3987999999999996</v>
      </c>
    </row>
    <row r="12" spans="2:17">
      <c r="B12" t="s">
        <v>8</v>
      </c>
    </row>
    <row r="13" spans="2:17"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</row>
    <row r="14" spans="2:17">
      <c r="C14" t="s">
        <v>6</v>
      </c>
      <c r="D14" t="s">
        <v>7</v>
      </c>
      <c r="E14" s="1">
        <v>0.2</v>
      </c>
      <c r="F14" s="1">
        <v>0.4</v>
      </c>
      <c r="G14" t="s">
        <v>4</v>
      </c>
      <c r="H14" t="s">
        <v>5</v>
      </c>
    </row>
    <row r="15" spans="2:17">
      <c r="B15" t="s">
        <v>0</v>
      </c>
    </row>
    <row r="16" spans="2:17">
      <c r="B16" t="s">
        <v>1</v>
      </c>
    </row>
    <row r="17" spans="2:2">
      <c r="B17" t="s">
        <v>2</v>
      </c>
    </row>
    <row r="18" spans="2:2">
      <c r="B18" t="s">
        <v>3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6E250-832A-5B45-9822-D4FCFFC35052}">
  <dimension ref="B2:Q18"/>
  <sheetViews>
    <sheetView workbookViewId="0">
      <selection activeCell="Q9" sqref="Q9"/>
    </sheetView>
  </sheetViews>
  <sheetFormatPr baseColWidth="10" defaultRowHeight="20"/>
  <sheetData>
    <row r="2" spans="2:17">
      <c r="B2" t="s">
        <v>11</v>
      </c>
      <c r="C2">
        <v>6</v>
      </c>
      <c r="D2">
        <v>5</v>
      </c>
      <c r="E2">
        <v>1</v>
      </c>
      <c r="F2">
        <v>3</v>
      </c>
      <c r="G2">
        <v>4</v>
      </c>
      <c r="H2">
        <v>2</v>
      </c>
      <c r="K2" t="s">
        <v>12</v>
      </c>
    </row>
    <row r="3" spans="2:17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17">
      <c r="C4" t="s">
        <v>6</v>
      </c>
      <c r="D4" t="s">
        <v>7</v>
      </c>
      <c r="E4" s="1">
        <v>0.2</v>
      </c>
      <c r="F4" s="1">
        <v>0.4</v>
      </c>
      <c r="G4" t="s">
        <v>4</v>
      </c>
      <c r="H4" t="s">
        <v>5</v>
      </c>
      <c r="L4" t="s">
        <v>6</v>
      </c>
      <c r="M4" t="s">
        <v>7</v>
      </c>
      <c r="N4" s="1">
        <v>0.2</v>
      </c>
      <c r="O4" s="1">
        <v>0.4</v>
      </c>
      <c r="P4" t="s">
        <v>4</v>
      </c>
      <c r="Q4" t="s">
        <v>5</v>
      </c>
    </row>
    <row r="5" spans="2:17">
      <c r="B5" t="s">
        <v>14</v>
      </c>
      <c r="C5">
        <v>4.5434000000000001</v>
      </c>
      <c r="D5">
        <v>3.8765000000000001</v>
      </c>
      <c r="E5">
        <v>4.9961000000000002</v>
      </c>
      <c r="F5">
        <v>4.7766000000000002</v>
      </c>
      <c r="G5">
        <v>4.5460000000000003</v>
      </c>
      <c r="H5">
        <v>5.2366000000000001</v>
      </c>
      <c r="K5" t="s">
        <v>14</v>
      </c>
      <c r="L5">
        <v>2.0158999999999998</v>
      </c>
      <c r="M5">
        <v>2.6568999999999998</v>
      </c>
      <c r="N5">
        <v>3.0234000000000001</v>
      </c>
      <c r="O5">
        <v>2.9527000000000001</v>
      </c>
      <c r="P5">
        <v>2.8327</v>
      </c>
      <c r="Q5">
        <v>3.0851999999999999</v>
      </c>
    </row>
    <row r="6" spans="2:17">
      <c r="B6" t="s">
        <v>0</v>
      </c>
      <c r="C6">
        <v>3.7633000000000001</v>
      </c>
      <c r="D6">
        <v>2.9719000000000002</v>
      </c>
      <c r="E6">
        <v>4.6052</v>
      </c>
      <c r="F6">
        <v>3.5931999999999999</v>
      </c>
      <c r="G6">
        <v>3.7816000000000001</v>
      </c>
      <c r="H6">
        <v>4.4946999999999999</v>
      </c>
      <c r="K6" t="s">
        <v>0</v>
      </c>
      <c r="L6">
        <v>1.8489</v>
      </c>
      <c r="M6">
        <v>2.1316000000000002</v>
      </c>
      <c r="N6">
        <v>2.8111999999999999</v>
      </c>
      <c r="O6">
        <v>3.1158000000000001</v>
      </c>
      <c r="P6">
        <v>2.9379</v>
      </c>
      <c r="Q6">
        <v>3.0987</v>
      </c>
    </row>
    <row r="7" spans="2:17">
      <c r="B7" t="s">
        <v>2</v>
      </c>
      <c r="C7">
        <v>3.5638000000000001</v>
      </c>
      <c r="D7">
        <v>6.1755000000000004</v>
      </c>
      <c r="E7">
        <v>5.9063999999999997</v>
      </c>
      <c r="F7">
        <v>4.2569999999999997</v>
      </c>
      <c r="G7">
        <v>4.9832000000000001</v>
      </c>
      <c r="H7">
        <v>6.3507999999999996</v>
      </c>
      <c r="K7" t="s">
        <v>2</v>
      </c>
      <c r="L7">
        <v>1.2943</v>
      </c>
      <c r="M7">
        <v>1.5052000000000001</v>
      </c>
      <c r="N7">
        <v>1.5941000000000001</v>
      </c>
      <c r="O7">
        <v>1.6074999999999999</v>
      </c>
      <c r="P7">
        <v>1.7991999999999999</v>
      </c>
      <c r="Q7">
        <v>1.9939</v>
      </c>
    </row>
    <row r="8" spans="2:17">
      <c r="B8" t="s">
        <v>3</v>
      </c>
      <c r="C8">
        <v>5.7900999999999998</v>
      </c>
      <c r="D8">
        <v>5.5172999999999996</v>
      </c>
      <c r="E8">
        <v>6.9196</v>
      </c>
      <c r="F8">
        <v>6.0533000000000001</v>
      </c>
      <c r="G8">
        <v>6.0750999999999999</v>
      </c>
      <c r="H8">
        <v>6.9202000000000004</v>
      </c>
      <c r="K8" t="s">
        <v>3</v>
      </c>
      <c r="L8">
        <v>2.9952999999999999</v>
      </c>
      <c r="M8">
        <v>3.5785</v>
      </c>
      <c r="N8">
        <v>4.1862000000000004</v>
      </c>
      <c r="O8">
        <v>4.3064999999999998</v>
      </c>
      <c r="P8">
        <v>4.2337999999999996</v>
      </c>
      <c r="Q8">
        <v>4.4470999999999998</v>
      </c>
    </row>
    <row r="12" spans="2:17">
      <c r="B12" t="s">
        <v>8</v>
      </c>
    </row>
    <row r="13" spans="2:17"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</row>
    <row r="14" spans="2:17">
      <c r="C14" t="s">
        <v>6</v>
      </c>
      <c r="D14" t="s">
        <v>7</v>
      </c>
      <c r="E14" s="1">
        <v>0.2</v>
      </c>
      <c r="F14" s="1">
        <v>0.4</v>
      </c>
      <c r="G14" t="s">
        <v>4</v>
      </c>
      <c r="H14" t="s">
        <v>5</v>
      </c>
    </row>
    <row r="15" spans="2:17">
      <c r="B15" t="s">
        <v>0</v>
      </c>
    </row>
    <row r="16" spans="2:17">
      <c r="B16" t="s">
        <v>1</v>
      </c>
    </row>
    <row r="17" spans="2:2">
      <c r="B17" t="s">
        <v>2</v>
      </c>
    </row>
    <row r="18" spans="2:2">
      <c r="B18" t="s">
        <v>3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97305-51C6-E848-A5D4-F64F05D54775}">
  <dimension ref="B2:Q18"/>
  <sheetViews>
    <sheetView workbookViewId="0">
      <selection activeCell="K13" sqref="K13"/>
    </sheetView>
  </sheetViews>
  <sheetFormatPr baseColWidth="10" defaultRowHeight="20"/>
  <sheetData>
    <row r="2" spans="2:17">
      <c r="B2" t="s">
        <v>11</v>
      </c>
      <c r="C2">
        <v>5</v>
      </c>
      <c r="D2">
        <v>6</v>
      </c>
      <c r="E2">
        <v>2</v>
      </c>
      <c r="F2">
        <v>1</v>
      </c>
      <c r="G2">
        <v>4</v>
      </c>
      <c r="H2">
        <v>3</v>
      </c>
      <c r="K2" t="s">
        <v>12</v>
      </c>
    </row>
    <row r="3" spans="2:17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17">
      <c r="C4" t="s">
        <v>6</v>
      </c>
      <c r="D4" t="s">
        <v>7</v>
      </c>
      <c r="E4" s="1">
        <v>0.2</v>
      </c>
      <c r="F4" s="1">
        <v>0.4</v>
      </c>
      <c r="G4" t="s">
        <v>4</v>
      </c>
      <c r="H4" t="s">
        <v>5</v>
      </c>
      <c r="L4" t="s">
        <v>6</v>
      </c>
      <c r="M4" t="s">
        <v>7</v>
      </c>
      <c r="N4" s="1">
        <v>0.2</v>
      </c>
      <c r="O4" s="1">
        <v>0.4</v>
      </c>
      <c r="P4" t="s">
        <v>4</v>
      </c>
      <c r="Q4" t="s">
        <v>5</v>
      </c>
    </row>
    <row r="5" spans="2:17">
      <c r="B5" t="s">
        <v>14</v>
      </c>
      <c r="C5">
        <v>5.3550000000000004</v>
      </c>
      <c r="D5">
        <v>5.0846999999999998</v>
      </c>
      <c r="E5">
        <v>5.0263</v>
      </c>
      <c r="F5">
        <v>5.53</v>
      </c>
      <c r="G5">
        <v>5.0850999999999997</v>
      </c>
      <c r="H5">
        <v>4.8606999999999996</v>
      </c>
      <c r="K5" t="s">
        <v>14</v>
      </c>
    </row>
    <row r="6" spans="2:17">
      <c r="B6" t="s">
        <v>0</v>
      </c>
      <c r="C6">
        <v>4.5309999999999997</v>
      </c>
      <c r="D6">
        <v>4.3684000000000003</v>
      </c>
      <c r="E6">
        <v>4.1299000000000001</v>
      </c>
      <c r="F6">
        <v>4.9950000000000001</v>
      </c>
      <c r="G6">
        <v>4.1631</v>
      </c>
      <c r="H6">
        <v>4.0846</v>
      </c>
      <c r="K6" t="s">
        <v>0</v>
      </c>
    </row>
    <row r="7" spans="2:17">
      <c r="B7" t="s">
        <v>2</v>
      </c>
      <c r="C7">
        <v>5.2864000000000004</v>
      </c>
      <c r="D7">
        <v>6.8436000000000003</v>
      </c>
      <c r="E7">
        <v>5.1280000000000001</v>
      </c>
      <c r="F7">
        <v>7.8601000000000001</v>
      </c>
      <c r="G7">
        <v>5.1881000000000004</v>
      </c>
      <c r="H7">
        <v>5.859</v>
      </c>
      <c r="K7" t="s">
        <v>2</v>
      </c>
    </row>
    <row r="8" spans="2:17">
      <c r="B8" t="s">
        <v>3</v>
      </c>
      <c r="C8">
        <v>6.8285999999999998</v>
      </c>
      <c r="D8">
        <v>6.8958000000000004</v>
      </c>
      <c r="E8">
        <v>6.5705</v>
      </c>
      <c r="F8">
        <v>7.4298999999999999</v>
      </c>
      <c r="G8">
        <v>6.5865</v>
      </c>
      <c r="H8">
        <v>6.4625000000000004</v>
      </c>
      <c r="K8" t="s">
        <v>3</v>
      </c>
    </row>
    <row r="12" spans="2:17">
      <c r="B12" t="s">
        <v>8</v>
      </c>
    </row>
    <row r="13" spans="2:17"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</row>
    <row r="14" spans="2:17">
      <c r="C14" t="s">
        <v>6</v>
      </c>
      <c r="D14" t="s">
        <v>7</v>
      </c>
      <c r="E14" s="1">
        <v>0.2</v>
      </c>
      <c r="F14" s="1">
        <v>0.4</v>
      </c>
      <c r="G14" t="s">
        <v>4</v>
      </c>
      <c r="H14" t="s">
        <v>5</v>
      </c>
    </row>
    <row r="15" spans="2:17">
      <c r="B15" t="s">
        <v>0</v>
      </c>
    </row>
    <row r="16" spans="2:17">
      <c r="B16" t="s">
        <v>1</v>
      </c>
    </row>
    <row r="17" spans="2:2">
      <c r="B17" t="s">
        <v>2</v>
      </c>
    </row>
    <row r="18" spans="2:2">
      <c r="B18" t="s">
        <v>3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4BF1-0ED9-B647-A6CB-E84837A96431}">
  <dimension ref="B2:Q47"/>
  <sheetViews>
    <sheetView tabSelected="1" topLeftCell="A35" zoomScale="112" workbookViewId="0">
      <selection activeCell="C48" sqref="C48"/>
    </sheetView>
  </sheetViews>
  <sheetFormatPr baseColWidth="10" defaultRowHeight="20"/>
  <sheetData>
    <row r="2" spans="2:17">
      <c r="B2" t="s">
        <v>11</v>
      </c>
      <c r="K2" t="s">
        <v>12</v>
      </c>
    </row>
    <row r="3" spans="2:17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17">
      <c r="C4" t="s">
        <v>6</v>
      </c>
      <c r="D4" t="s">
        <v>7</v>
      </c>
      <c r="E4" s="1">
        <v>0.2</v>
      </c>
      <c r="F4" s="1">
        <v>0.4</v>
      </c>
      <c r="G4" t="s">
        <v>4</v>
      </c>
      <c r="H4" t="s">
        <v>5</v>
      </c>
      <c r="I4" t="s">
        <v>10</v>
      </c>
      <c r="L4" t="s">
        <v>6</v>
      </c>
      <c r="M4" t="s">
        <v>7</v>
      </c>
      <c r="N4" s="1">
        <v>0.2</v>
      </c>
      <c r="O4" s="1">
        <v>0.4</v>
      </c>
      <c r="P4" t="s">
        <v>4</v>
      </c>
      <c r="Q4" t="s">
        <v>5</v>
      </c>
    </row>
    <row r="5" spans="2:17">
      <c r="B5" t="s">
        <v>14</v>
      </c>
      <c r="C5">
        <f>AVERAGE(seed1!C5,seed2!C5,seed3!C5,seed4!C5,seed5!C5)</f>
        <v>4.6309000000000005</v>
      </c>
      <c r="D5">
        <f>AVERAGE(seed1!D5,seed2!D5,seed3!D5,seed4!D5,seed5!D5)</f>
        <v>4.7398000000000007</v>
      </c>
      <c r="E5">
        <f>AVERAGE(seed1!E5,seed2!E5,seed3!E5,seed4!E5,seed5!E5)</f>
        <v>4.9059799999999996</v>
      </c>
      <c r="F5">
        <f>AVERAGE(seed1!F5,seed2!F5,seed3!F5,seed4!F5,seed5!F5)</f>
        <v>5.4047999999999998</v>
      </c>
      <c r="G5">
        <f>AVERAGE(seed1!G5,seed2!G5,seed3!G5,seed4!G5,seed5!G5)</f>
        <v>5.6913600000000004</v>
      </c>
      <c r="H5">
        <f>AVERAGE(seed1!H5,seed2!H5,seed3!H5,seed4!H5,seed5!H5)</f>
        <v>5.3099599999999993</v>
      </c>
      <c r="I5" t="e">
        <f>AVERAGE(seed1!I5,seed2!I5,seed3!I5,seed4!I5,seed5!I5)</f>
        <v>#DIV/0!</v>
      </c>
      <c r="K5" t="s">
        <v>14</v>
      </c>
      <c r="L5">
        <f>AVERAGE(seed1!L5,seed2!L5,seed3!L5,seed4!L5,seed5!L5)</f>
        <v>2.8424399999999999</v>
      </c>
      <c r="M5">
        <f>AVERAGE(seed1!M5,seed2!M5,seed3!M5,seed4!M5,seed5!M5)</f>
        <v>3.0390600000000001</v>
      </c>
      <c r="N5">
        <f>AVERAGE(seed1!N5,seed2!N5,seed3!N5,seed4!N5,seed5!N5)</f>
        <v>3.4028</v>
      </c>
      <c r="O5">
        <f>AVERAGE(seed1!O5,seed2!O5,seed3!O5,seed4!O5,seed5!O5)</f>
        <v>3.3815800000000005</v>
      </c>
      <c r="P5">
        <f>AVERAGE(seed1!P5,seed2!P5,seed3!P5,seed4!P5,seed5!P5)</f>
        <v>2.9799599999999997</v>
      </c>
      <c r="Q5">
        <f>AVERAGE(seed1!Q5,seed2!Q5,seed3!Q5,seed4!Q5,seed5!Q5)</f>
        <v>3.3808599999999998</v>
      </c>
    </row>
    <row r="6" spans="2:17">
      <c r="B6" t="s">
        <v>0</v>
      </c>
      <c r="C6">
        <f>AVERAGE(seed1!C6,seed2!C6,seed3!C6,seed4!C6,seed5!C6)</f>
        <v>4.2496200000000002</v>
      </c>
      <c r="D6">
        <f>AVERAGE(seed1!D6,seed2!D6,seed3!D6,seed4!D6,seed5!D6)</f>
        <v>3.9429400000000001</v>
      </c>
      <c r="E6">
        <f>AVERAGE(seed1!E6,seed2!E6,seed3!E6,seed4!E6,seed5!E6)</f>
        <v>4.4887800000000002</v>
      </c>
      <c r="F6">
        <f>AVERAGE(seed1!F6,seed2!F6,seed3!F6,seed4!F6,seed5!F6)</f>
        <v>4.7362799999999998</v>
      </c>
      <c r="G6">
        <f>AVERAGE(seed1!G6,seed2!G6,seed3!G6,seed4!G6,seed5!G6)</f>
        <v>5.1135799999999998</v>
      </c>
      <c r="H6">
        <f>AVERAGE(seed1!H6,seed2!H6,seed3!H6,seed4!H6,seed5!H6)</f>
        <v>4.6429999999999998</v>
      </c>
      <c r="I6" t="e">
        <f>AVERAGE(seed1!I6,seed2!I6,seed3!I6,seed4!I6,seed5!I6)</f>
        <v>#DIV/0!</v>
      </c>
      <c r="K6" t="s">
        <v>0</v>
      </c>
      <c r="L6">
        <f>AVERAGE(seed1!L6,seed2!L6,seed3!L6,seed4!L6,seed5!L6)</f>
        <v>2.35812</v>
      </c>
      <c r="M6">
        <f>AVERAGE(seed1!M6,seed2!M6,seed3!M6,seed4!M6,seed5!M6)</f>
        <v>2.4129800000000001</v>
      </c>
      <c r="N6">
        <f>AVERAGE(seed1!N6,seed2!N6,seed3!N6,seed4!N6,seed5!N6)</f>
        <v>2.6947800000000002</v>
      </c>
      <c r="O6">
        <f>AVERAGE(seed1!O6,seed2!O6,seed3!O6,seed4!O6,seed5!O6)</f>
        <v>2.6078000000000001</v>
      </c>
      <c r="P6">
        <f>AVERAGE(seed1!P6,seed2!P6,seed3!P6,seed4!P6,seed5!P6)</f>
        <v>2.5682400000000003</v>
      </c>
      <c r="Q6">
        <f>AVERAGE(seed1!Q6,seed2!Q6,seed3!Q6,seed4!Q6,seed5!Q6)</f>
        <v>2.65604</v>
      </c>
    </row>
    <row r="7" spans="2:17">
      <c r="B7" t="s">
        <v>2</v>
      </c>
      <c r="C7">
        <f>AVERAGE(seed1!C7,seed2!C7,seed3!C7,seed4!C7,seed5!C7)</f>
        <v>3.6640999999999999</v>
      </c>
      <c r="D7">
        <f>AVERAGE(seed1!D7,seed2!D7,seed3!D7,seed4!D7,seed5!D7)</f>
        <v>6.1173400000000004</v>
      </c>
      <c r="E7">
        <f>AVERAGE(seed1!E7,seed2!E7,seed3!E7,seed4!E7,seed5!E7)</f>
        <v>5.9039400000000004</v>
      </c>
      <c r="F7">
        <f>AVERAGE(seed1!F7,seed2!F7,seed3!F7,seed4!F7,seed5!F7)</f>
        <v>5.6780799999999996</v>
      </c>
      <c r="G7">
        <f>AVERAGE(seed1!G7,seed2!G7,seed3!G7,seed4!G7,seed5!G7)</f>
        <v>5.3994400000000002</v>
      </c>
      <c r="H7">
        <f>AVERAGE(seed1!H7,seed2!H7,seed3!H7,seed4!H7,seed5!H7)</f>
        <v>5.7065800000000007</v>
      </c>
      <c r="I7" t="e">
        <f>AVERAGE(seed1!I7,seed2!I7,seed3!I7,seed4!I7,seed5!I7)</f>
        <v>#DIV/0!</v>
      </c>
      <c r="K7" t="s">
        <v>2</v>
      </c>
      <c r="L7">
        <f>AVERAGE(seed1!L7,seed2!L7,seed3!L7,seed4!L7,seed5!L7)</f>
        <v>1.6735</v>
      </c>
      <c r="M7">
        <f>AVERAGE(seed1!M7,seed2!M7,seed3!M7,seed4!M7,seed5!M7)</f>
        <v>2.7027000000000001</v>
      </c>
      <c r="N7">
        <f>AVERAGE(seed1!N7,seed2!N7,seed3!N7,seed4!N7,seed5!N7)</f>
        <v>2.1917999999999997</v>
      </c>
      <c r="O7">
        <f>AVERAGE(seed1!O7,seed2!O7,seed3!O7,seed4!O7,seed5!O7)</f>
        <v>2.06196</v>
      </c>
      <c r="P7">
        <f>AVERAGE(seed1!P7,seed2!P7,seed3!P7,seed4!P7,seed5!P7)</f>
        <v>2.1732</v>
      </c>
      <c r="Q7">
        <f>AVERAGE(seed1!Q7,seed2!Q7,seed3!Q7,seed4!Q7,seed5!Q7)</f>
        <v>2.1001400000000001</v>
      </c>
    </row>
    <row r="8" spans="2:17">
      <c r="B8" t="s">
        <v>3</v>
      </c>
      <c r="C8">
        <f>AVERAGE(seed1!C8,seed2!C8,seed3!C8,seed4!C8,seed5!C8)</f>
        <v>6.0341400000000007</v>
      </c>
      <c r="D8">
        <f>AVERAGE(seed1!D8,seed2!D8,seed3!D8,seed4!D8,seed5!D8)</f>
        <v>6.3538799999999993</v>
      </c>
      <c r="E8">
        <f>AVERAGE(seed1!E8,seed2!E8,seed3!E8,seed4!E8,seed5!E8)</f>
        <v>6.6661799999999998</v>
      </c>
      <c r="F8">
        <f>AVERAGE(seed1!F8,seed2!F8,seed3!F8,seed4!F8,seed5!F8)</f>
        <v>6.987639999999999</v>
      </c>
      <c r="G8">
        <f>AVERAGE(seed1!G8,seed2!G8,seed3!G8,seed4!G8,seed5!G8)</f>
        <v>7.2130200000000002</v>
      </c>
      <c r="H8">
        <f>AVERAGE(seed1!H8,seed2!H8,seed3!H8,seed4!H8,seed5!H8)</f>
        <v>6.8871599999999997</v>
      </c>
      <c r="I8" t="e">
        <f>AVERAGE(seed1!I8,seed2!I8,seed3!I8,seed4!I8,seed5!I8)</f>
        <v>#DIV/0!</v>
      </c>
      <c r="K8" t="s">
        <v>3</v>
      </c>
      <c r="L8">
        <f>AVERAGE(seed1!L8,seed2!L8,seed3!L8,seed4!L8,seed5!L8)</f>
        <v>3.7690200000000003</v>
      </c>
      <c r="M8">
        <f>AVERAGE(seed1!M8,seed2!M8,seed3!M8,seed4!M8,seed5!M8)</f>
        <v>4.2537199999999995</v>
      </c>
      <c r="N8">
        <f>AVERAGE(seed1!N8,seed2!N8,seed3!N8,seed4!N8,seed5!N8)</f>
        <v>4.4691799999999997</v>
      </c>
      <c r="O8">
        <f>AVERAGE(seed1!O8,seed2!O8,seed3!O8,seed4!O8,seed5!O8)</f>
        <v>4.3726199999999995</v>
      </c>
      <c r="P8">
        <f>AVERAGE(seed1!P8,seed2!P8,seed3!P8,seed4!P8,seed5!P8)</f>
        <v>4.1109799999999996</v>
      </c>
      <c r="Q8">
        <f>AVERAGE(seed1!Q8,seed2!Q8,seed3!Q8,seed4!Q8,seed5!Q8)</f>
        <v>4.39072</v>
      </c>
    </row>
    <row r="10" spans="2:17">
      <c r="B10" t="s">
        <v>9</v>
      </c>
      <c r="C10">
        <f>AVERAGE(C5:C7)</f>
        <v>4.18154</v>
      </c>
      <c r="D10">
        <f t="shared" ref="D10:H10" si="0">AVERAGE(D5:D7)</f>
        <v>4.9333600000000004</v>
      </c>
      <c r="E10">
        <f t="shared" si="0"/>
        <v>5.099566666666667</v>
      </c>
      <c r="F10">
        <f t="shared" si="0"/>
        <v>5.2730533333333325</v>
      </c>
      <c r="G10">
        <f t="shared" si="0"/>
        <v>5.4014600000000002</v>
      </c>
      <c r="H10">
        <f t="shared" si="0"/>
        <v>5.2198466666666663</v>
      </c>
      <c r="I10" t="e">
        <f t="shared" ref="I10" si="1">AVERAGE(I5:I7)</f>
        <v>#DIV/0!</v>
      </c>
      <c r="K10" t="s">
        <v>9</v>
      </c>
      <c r="L10">
        <f>AVERAGE(L5:L7)</f>
        <v>2.2913533333333329</v>
      </c>
      <c r="M10">
        <f t="shared" ref="M10:Q10" si="2">AVERAGE(M5:M7)</f>
        <v>2.7182466666666669</v>
      </c>
      <c r="N10">
        <f t="shared" si="2"/>
        <v>2.763126666666667</v>
      </c>
      <c r="O10">
        <f t="shared" si="2"/>
        <v>2.6837800000000001</v>
      </c>
      <c r="P10">
        <f t="shared" si="2"/>
        <v>2.5737999999999999</v>
      </c>
      <c r="Q10">
        <f t="shared" si="2"/>
        <v>2.7123466666666665</v>
      </c>
    </row>
    <row r="12" spans="2:17">
      <c r="B12" t="s">
        <v>8</v>
      </c>
    </row>
    <row r="13" spans="2:17"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</row>
    <row r="14" spans="2:17">
      <c r="C14" t="s">
        <v>6</v>
      </c>
      <c r="D14" t="s">
        <v>7</v>
      </c>
      <c r="E14" s="1">
        <v>0.2</v>
      </c>
      <c r="F14" s="1">
        <v>0.4</v>
      </c>
      <c r="G14" t="s">
        <v>4</v>
      </c>
      <c r="H14" t="s">
        <v>5</v>
      </c>
    </row>
    <row r="15" spans="2:17">
      <c r="B15" t="s">
        <v>0</v>
      </c>
      <c r="C15" t="e">
        <f>AVERAGE(seed1!C15,seed2!C15,seed3!C15,seed4!C15,seed5!C15)</f>
        <v>#DIV/0!</v>
      </c>
      <c r="D15" t="e">
        <f>AVERAGE(seed1!D15,seed2!D15,seed3!D15,seed4!D15,seed5!D15)</f>
        <v>#DIV/0!</v>
      </c>
      <c r="E15" t="e">
        <f>AVERAGE(seed1!E15,seed2!E15,seed3!E15,seed4!E15,seed5!E15)</f>
        <v>#DIV/0!</v>
      </c>
      <c r="F15" t="e">
        <f>AVERAGE(seed1!F15,seed2!F15,seed3!F15,seed4!F15,seed5!F15)</f>
        <v>#DIV/0!</v>
      </c>
      <c r="G15" t="e">
        <f>AVERAGE(seed1!G15,seed2!G15,seed3!G15,seed4!G15,seed5!G15)</f>
        <v>#DIV/0!</v>
      </c>
      <c r="H15" t="e">
        <f>AVERAGE(seed1!H15,seed2!H15,seed3!H15,seed4!H15,seed5!H15)</f>
        <v>#DIV/0!</v>
      </c>
    </row>
    <row r="16" spans="2:17">
      <c r="B16" t="s">
        <v>1</v>
      </c>
      <c r="C16" t="e">
        <f>AVERAGE(seed1!C16,seed2!C16,seed3!C16,seed4!C16,seed5!C16)</f>
        <v>#DIV/0!</v>
      </c>
      <c r="D16" t="e">
        <f>AVERAGE(seed1!D16,seed2!D16,seed3!D16,seed4!D16,seed5!D16)</f>
        <v>#DIV/0!</v>
      </c>
      <c r="E16" t="e">
        <f>AVERAGE(seed1!E16,seed2!E16,seed3!E16,seed4!E16,seed5!E16)</f>
        <v>#DIV/0!</v>
      </c>
      <c r="F16" t="e">
        <f>AVERAGE(seed1!F16,seed2!F16,seed3!F16,seed4!F16,seed5!F16)</f>
        <v>#DIV/0!</v>
      </c>
      <c r="G16" t="e">
        <f>AVERAGE(seed1!G16,seed2!G16,seed3!G16,seed4!G16,seed5!G16)</f>
        <v>#DIV/0!</v>
      </c>
      <c r="H16" t="e">
        <f>AVERAGE(seed1!H16,seed2!H16,seed3!H16,seed4!H16,seed5!H16)</f>
        <v>#DIV/0!</v>
      </c>
    </row>
    <row r="17" spans="2:17">
      <c r="B17" t="s">
        <v>2</v>
      </c>
      <c r="C17" t="e">
        <f>AVERAGE(seed1!C17,seed2!C17,seed3!C17,seed4!C17,seed5!C17)</f>
        <v>#DIV/0!</v>
      </c>
      <c r="D17" t="e">
        <f>AVERAGE(seed1!D17,seed2!D17,seed3!D17,seed4!D17,seed5!D17)</f>
        <v>#DIV/0!</v>
      </c>
      <c r="E17" t="e">
        <f>AVERAGE(seed1!E17,seed2!E17,seed3!E17,seed4!E17,seed5!E17)</f>
        <v>#DIV/0!</v>
      </c>
      <c r="F17" t="e">
        <f>AVERAGE(seed1!F17,seed2!F17,seed3!F17,seed4!F17,seed5!F17)</f>
        <v>#DIV/0!</v>
      </c>
      <c r="G17" t="e">
        <f>AVERAGE(seed1!G17,seed2!G17,seed3!G17,seed4!G17,seed5!G17)</f>
        <v>#DIV/0!</v>
      </c>
      <c r="H17" t="e">
        <f>AVERAGE(seed1!H17,seed2!H17,seed3!H17,seed4!H17,seed5!H17)</f>
        <v>#DIV/0!</v>
      </c>
    </row>
    <row r="18" spans="2:17">
      <c r="B18" t="s">
        <v>3</v>
      </c>
      <c r="C18" t="e">
        <f>AVERAGE(seed1!C18,seed2!C18,seed3!C18,seed4!C18,seed5!C18)</f>
        <v>#DIV/0!</v>
      </c>
      <c r="D18" t="e">
        <f>AVERAGE(seed1!D18,seed2!D18,seed3!D18,seed4!D18,seed5!D18)</f>
        <v>#DIV/0!</v>
      </c>
      <c r="E18" t="e">
        <f>AVERAGE(seed1!E18,seed2!E18,seed3!E18,seed4!E18,seed5!E18)</f>
        <v>#DIV/0!</v>
      </c>
      <c r="F18" t="e">
        <f>AVERAGE(seed1!F18,seed2!F18,seed3!F18,seed4!F18,seed5!F18)</f>
        <v>#DIV/0!</v>
      </c>
      <c r="G18" t="e">
        <f>AVERAGE(seed1!G18,seed2!G18,seed3!G18,seed4!G18,seed5!G18)</f>
        <v>#DIV/0!</v>
      </c>
      <c r="H18" t="e">
        <f>AVERAGE(seed1!H18,seed2!H18,seed3!H18,seed4!H18,seed5!H18)</f>
        <v>#DIV/0!</v>
      </c>
    </row>
    <row r="20" spans="2:17" s="3" customFormat="1"/>
    <row r="21" spans="2:17">
      <c r="B21" s="4" t="s">
        <v>13</v>
      </c>
      <c r="K21" t="s">
        <v>15</v>
      </c>
    </row>
    <row r="22" spans="2:17">
      <c r="B22" s="4" t="s">
        <v>11</v>
      </c>
      <c r="K22" t="s">
        <v>12</v>
      </c>
    </row>
    <row r="23" spans="2:17">
      <c r="C23">
        <v>1</v>
      </c>
      <c r="D23">
        <v>2</v>
      </c>
      <c r="E23">
        <v>3</v>
      </c>
      <c r="F23">
        <v>4</v>
      </c>
      <c r="G23">
        <v>5</v>
      </c>
      <c r="H23">
        <v>6</v>
      </c>
      <c r="L23">
        <v>1</v>
      </c>
      <c r="M23">
        <v>2</v>
      </c>
      <c r="N23">
        <v>3</v>
      </c>
      <c r="O23">
        <v>4</v>
      </c>
      <c r="P23">
        <v>5</v>
      </c>
      <c r="Q23">
        <v>6</v>
      </c>
    </row>
    <row r="24" spans="2:17">
      <c r="C24" t="s">
        <v>6</v>
      </c>
      <c r="D24" t="s">
        <v>7</v>
      </c>
      <c r="E24" s="1">
        <v>0.2</v>
      </c>
      <c r="F24" s="1">
        <v>0.4</v>
      </c>
      <c r="G24" t="s">
        <v>4</v>
      </c>
      <c r="H24" t="s">
        <v>5</v>
      </c>
      <c r="L24" t="s">
        <v>6</v>
      </c>
      <c r="M24" t="s">
        <v>7</v>
      </c>
      <c r="N24" s="1">
        <v>0.2</v>
      </c>
      <c r="O24" s="1">
        <v>0.4</v>
      </c>
      <c r="P24" t="s">
        <v>4</v>
      </c>
      <c r="Q24" t="s">
        <v>5</v>
      </c>
    </row>
    <row r="25" spans="2:17">
      <c r="B25" t="s">
        <v>14</v>
      </c>
      <c r="C25">
        <f>ROUND(AVERAGE(seed1!C5,seed3!C5,seed5!C5,seed6!C5,seed7!C5),4)</f>
        <v>4.5213999999999999</v>
      </c>
      <c r="D25">
        <f>ROUND(AVERAGE(seed1!D5,seed3!D5,seed5!D5,seed6!D5,seed7!D5),4)</f>
        <v>4.7724000000000002</v>
      </c>
      <c r="E25">
        <f>ROUND(AVERAGE(seed1!E5,seed3!E5,seed5!E5,seed6!E5,seed7!E5),4)</f>
        <v>4.6921999999999997</v>
      </c>
      <c r="F25">
        <f>ROUND(AVERAGE(seed1!F5,seed3!F5,seed5!F5,seed6!F5,seed7!F5),4)</f>
        <v>5.2976999999999999</v>
      </c>
      <c r="G25">
        <f>ROUND(AVERAGE(seed1!G5,seed3!G5,seed5!G5,seed6!G5,seed7!G5),4)</f>
        <v>5.2942999999999998</v>
      </c>
      <c r="H25">
        <f>ROUND(AVERAGE(seed1!H5,seed3!H5,seed5!H5,seed6!H5,seed7!H5),4)</f>
        <v>5.6047000000000002</v>
      </c>
      <c r="K25" t="s">
        <v>14</v>
      </c>
      <c r="L25">
        <f>ROUND(AVERAGE(seed6!L5,seed2!L5,seed3!L5,seed4!L5,seed5!L5),4)</f>
        <v>2.8029000000000002</v>
      </c>
      <c r="M25">
        <f>ROUND(AVERAGE(seed6!M5,seed2!M5,seed3!M5,seed4!M5,seed5!M5),4)</f>
        <v>3.0933000000000002</v>
      </c>
      <c r="N25">
        <f>ROUND(AVERAGE(seed6!N5,seed2!N5,seed3!N5,seed4!N5,seed5!N5),4)</f>
        <v>3.3973</v>
      </c>
      <c r="O25">
        <f>ROUND(AVERAGE(seed6!O5,seed2!O5,seed3!O5,seed4!O5,seed5!O5),4)</f>
        <v>3.4539</v>
      </c>
      <c r="P25">
        <f>ROUND(AVERAGE(seed6!P5,seed2!P5,seed3!P5,seed4!P5,seed5!P5),4)</f>
        <v>3.1244999999999998</v>
      </c>
      <c r="Q25">
        <f>ROUND(AVERAGE(seed6!Q5,seed2!Q5,seed3!Q5,seed4!Q5,seed5!Q5),4)</f>
        <v>3.4695</v>
      </c>
    </row>
    <row r="26" spans="2:17">
      <c r="B26" t="s">
        <v>0</v>
      </c>
      <c r="C26">
        <f>ROUND(AVERAGE(seed1!C6,seed3!C6,seed5!C6,seed6!C6,seed7!C6),4)</f>
        <v>4.0239000000000003</v>
      </c>
      <c r="D26">
        <f>ROUND(AVERAGE(seed1!D6,seed3!D6,seed5!D6,seed6!D6,seed7!D6),4)</f>
        <v>4.0678999999999998</v>
      </c>
      <c r="E26">
        <f>ROUND(AVERAGE(seed1!E6,seed3!E6,seed5!E6,seed6!E6,seed7!E6),4)</f>
        <v>4.3261000000000003</v>
      </c>
      <c r="F26">
        <f>ROUND(AVERAGE(seed1!F6,seed3!F6,seed5!F6,seed6!F6,seed7!F6),4)</f>
        <v>4.5147000000000004</v>
      </c>
      <c r="G26">
        <f>ROUND(AVERAGE(seed1!G6,seed3!G6,seed5!G6,seed6!G6,seed7!G6),4)</f>
        <v>4.6365999999999996</v>
      </c>
      <c r="H26">
        <f>ROUND(AVERAGE(seed1!H6,seed3!H6,seed5!H6,seed6!H6,seed7!H6),4)</f>
        <v>4.8979999999999997</v>
      </c>
      <c r="K26" t="s">
        <v>0</v>
      </c>
      <c r="L26">
        <f>ROUND(AVERAGE(seed6!L6,seed2!L6,seed3!L6,seed4!L6,seed5!L6),4)</f>
        <v>2.2774000000000001</v>
      </c>
      <c r="M26">
        <f>ROUND(AVERAGE(seed6!M6,seed2!M6,seed3!M6,seed4!M6,seed5!M6),4)</f>
        <v>2.3849999999999998</v>
      </c>
      <c r="N26">
        <f>ROUND(AVERAGE(seed6!N6,seed2!N6,seed3!N6,seed4!N6,seed5!N6),4)</f>
        <v>2.6949999999999998</v>
      </c>
      <c r="O26">
        <f>ROUND(AVERAGE(seed6!O6,seed2!O6,seed3!O6,seed4!O6,seed5!O6),4)</f>
        <v>2.7704</v>
      </c>
      <c r="P26">
        <f>ROUND(AVERAGE(seed6!P6,seed2!P6,seed3!P6,seed4!P6,seed5!P6),4)</f>
        <v>2.7658999999999998</v>
      </c>
      <c r="Q26">
        <f>ROUND(AVERAGE(seed6!Q6,seed2!Q6,seed3!Q6,seed4!Q6,seed5!Q6),4)</f>
        <v>2.8380999999999998</v>
      </c>
    </row>
    <row r="27" spans="2:17">
      <c r="B27" t="s">
        <v>2</v>
      </c>
      <c r="C27">
        <f>ROUND(AVERAGE(seed1!C7,seed3!C7,seed5!C7,seed6!C7,seed7!C7),4)</f>
        <v>3.6375000000000002</v>
      </c>
      <c r="D27">
        <f>ROUND(AVERAGE(seed1!D7,seed3!D7,seed5!D7,seed6!D7,seed7!D7),4)</f>
        <v>6.3795000000000002</v>
      </c>
      <c r="E27">
        <f>ROUND(AVERAGE(seed1!E7,seed3!E7,seed5!E7,seed6!E7,seed7!E7),4)</f>
        <v>5.5111999999999997</v>
      </c>
      <c r="F27">
        <f>ROUND(AVERAGE(seed1!F7,seed3!F7,seed5!F7,seed6!F7,seed7!F7),4)</f>
        <v>5.5423999999999998</v>
      </c>
      <c r="G27">
        <f>ROUND(AVERAGE(seed1!G7,seed3!G7,seed5!G7,seed6!G7,seed7!G7),4)</f>
        <v>5.1797000000000004</v>
      </c>
      <c r="H27">
        <f>ROUND(AVERAGE(seed1!H7,seed3!H7,seed5!H7,seed6!H7,seed7!H7),4)</f>
        <v>6.5056000000000003</v>
      </c>
      <c r="K27" t="s">
        <v>2</v>
      </c>
      <c r="L27">
        <f>ROUND(AVERAGE(seed6!L7,seed2!L7,seed3!L7,seed4!L7,seed5!L7),4)</f>
        <v>1.671</v>
      </c>
      <c r="M27">
        <f>ROUND(AVERAGE(seed6!M7,seed2!M7,seed3!M7,seed4!M7,seed5!M7),4)</f>
        <v>2.4346999999999999</v>
      </c>
      <c r="N27">
        <f>ROUND(AVERAGE(seed6!N7,seed2!N7,seed3!N7,seed4!N7,seed5!N7),4)</f>
        <v>2.1231</v>
      </c>
      <c r="O27">
        <f>ROUND(AVERAGE(seed6!O7,seed2!O7,seed3!O7,seed4!O7,seed5!O7),4)</f>
        <v>2.0954000000000002</v>
      </c>
      <c r="P27">
        <f>ROUND(AVERAGE(seed6!P7,seed2!P7,seed3!P7,seed4!P7,seed5!P7),4)</f>
        <v>2.2408999999999999</v>
      </c>
      <c r="Q27">
        <f>ROUND(AVERAGE(seed6!Q7,seed2!Q7,seed3!Q7,seed4!Q7,seed5!Q7),4)</f>
        <v>2.1783999999999999</v>
      </c>
    </row>
    <row r="28" spans="2:17">
      <c r="B28" t="s">
        <v>3</v>
      </c>
      <c r="C28">
        <f>ROUND(AVERAGE(seed1!C8,seed3!C8,seed5!C8,seed6!C8,seed7!C8),4)</f>
        <v>5.8631000000000002</v>
      </c>
      <c r="D28">
        <f>ROUND(AVERAGE(seed1!D8,seed3!D8,seed5!D8,seed6!D8,seed7!D8),4)</f>
        <v>6.5145</v>
      </c>
      <c r="E28">
        <f>ROUND(AVERAGE(seed1!E8,seed3!E8,seed5!E8,seed6!E8,seed7!E8),4)</f>
        <v>6.4694000000000003</v>
      </c>
      <c r="F28">
        <f>ROUND(AVERAGE(seed1!F8,seed3!F8,seed5!F8,seed6!F8,seed7!F8),4)</f>
        <v>6.8127000000000004</v>
      </c>
      <c r="G28">
        <f>ROUND(AVERAGE(seed1!G8,seed3!G8,seed5!G8,seed6!G8,seed7!G8),4)</f>
        <v>6.8076999999999996</v>
      </c>
      <c r="H28">
        <f>ROUND(AVERAGE(seed1!H8,seed3!H8,seed5!H8,seed6!H8,seed7!H8),4)</f>
        <v>7.2484999999999999</v>
      </c>
      <c r="K28" t="s">
        <v>3</v>
      </c>
      <c r="L28">
        <f>ROUND(AVERAGE(seed6!L8,seed2!L8,seed3!L8,seed4!L8,seed5!L8),4)</f>
        <v>3.6997</v>
      </c>
      <c r="M28">
        <f>ROUND(AVERAGE(seed6!M8,seed2!M8,seed3!M8,seed4!M8,seed5!M8),4)</f>
        <v>4.1849999999999996</v>
      </c>
      <c r="N28">
        <f>ROUND(AVERAGE(seed6!N8,seed2!N8,seed3!N8,seed4!N8,seed5!N8),4)</f>
        <v>4.4413999999999998</v>
      </c>
      <c r="O28">
        <f>ROUND(AVERAGE(seed6!O8,seed2!O8,seed3!O8,seed4!O8,seed5!O8),4)</f>
        <v>4.5090000000000003</v>
      </c>
      <c r="P28">
        <f>ROUND(AVERAGE(seed6!P8,seed2!P8,seed3!P8,seed4!P8,seed5!P8),4)</f>
        <v>4.3335999999999997</v>
      </c>
      <c r="Q28">
        <f>ROUND(AVERAGE(seed6!Q8,seed2!Q8,seed3!Q8,seed4!Q8,seed5!Q8),4)</f>
        <v>4.556</v>
      </c>
    </row>
    <row r="30" spans="2:17">
      <c r="B30" t="s">
        <v>9</v>
      </c>
      <c r="C30">
        <f>AVERAGE(C25:C27)</f>
        <v>4.0609333333333337</v>
      </c>
      <c r="D30">
        <f t="shared" ref="D30:H30" si="3">AVERAGE(D25:D27)</f>
        <v>5.0732666666666661</v>
      </c>
      <c r="E30">
        <f t="shared" si="3"/>
        <v>4.843166666666666</v>
      </c>
      <c r="F30">
        <f t="shared" si="3"/>
        <v>5.118266666666667</v>
      </c>
      <c r="G30">
        <f t="shared" si="3"/>
        <v>5.0368666666666666</v>
      </c>
      <c r="H30">
        <f t="shared" si="3"/>
        <v>5.669433333333334</v>
      </c>
      <c r="K30" t="s">
        <v>9</v>
      </c>
      <c r="L30">
        <f>AVERAGE(L25:L27)</f>
        <v>2.2504333333333335</v>
      </c>
      <c r="M30">
        <f t="shared" ref="M30:Q30" si="4">AVERAGE(M25:M27)</f>
        <v>2.6376666666666666</v>
      </c>
      <c r="N30">
        <f t="shared" si="4"/>
        <v>2.7384666666666662</v>
      </c>
      <c r="O30">
        <f t="shared" si="4"/>
        <v>2.7732333333333332</v>
      </c>
      <c r="P30">
        <f t="shared" si="4"/>
        <v>2.710433333333333</v>
      </c>
      <c r="Q30">
        <f t="shared" si="4"/>
        <v>2.8286666666666669</v>
      </c>
    </row>
    <row r="36" spans="2:4">
      <c r="C36">
        <v>300</v>
      </c>
      <c r="D36">
        <v>400</v>
      </c>
    </row>
    <row r="37" spans="2:4">
      <c r="B37" t="s">
        <v>16</v>
      </c>
      <c r="C37">
        <v>5.8631000000000002</v>
      </c>
      <c r="D37">
        <v>3.6997</v>
      </c>
    </row>
    <row r="38" spans="2:4">
      <c r="B38" t="s">
        <v>17</v>
      </c>
      <c r="C38">
        <v>6.5145</v>
      </c>
      <c r="D38">
        <v>4.1849999999999996</v>
      </c>
    </row>
    <row r="39" spans="2:4">
      <c r="B39" t="s">
        <v>18</v>
      </c>
      <c r="C39">
        <v>6.8127000000000004</v>
      </c>
      <c r="D39">
        <v>4.5090000000000003</v>
      </c>
    </row>
    <row r="40" spans="2:4">
      <c r="B40" t="s">
        <v>19</v>
      </c>
      <c r="C40">
        <v>6.8076999999999996</v>
      </c>
      <c r="D40">
        <v>4.3335999999999997</v>
      </c>
    </row>
    <row r="41" spans="2:4">
      <c r="B41" t="s">
        <v>20</v>
      </c>
      <c r="C41">
        <v>7.2484999999999999</v>
      </c>
      <c r="D41">
        <v>4.556</v>
      </c>
    </row>
    <row r="47" spans="2:4">
      <c r="C47">
        <f>(C41-C39)*2/(C39+C41)</f>
        <v>6.1986174721929785E-2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seed1</vt:lpstr>
      <vt:lpstr>seed2</vt:lpstr>
      <vt:lpstr>seed3</vt:lpstr>
      <vt:lpstr>seed4</vt:lpstr>
      <vt:lpstr>seed5</vt:lpstr>
      <vt:lpstr>seed6</vt:lpstr>
      <vt:lpstr>seed7</vt:lpstr>
      <vt:lpstr>平均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yamashi.y@keio.jp</dc:creator>
  <cp:lastModifiedBy>yamashi.y@keio.jp</cp:lastModifiedBy>
  <dcterms:created xsi:type="dcterms:W3CDTF">2025-11-29T15:02:01Z</dcterms:created>
  <dcterms:modified xsi:type="dcterms:W3CDTF">2026-02-05T06:01:42Z</dcterms:modified>
</cp:coreProperties>
</file>