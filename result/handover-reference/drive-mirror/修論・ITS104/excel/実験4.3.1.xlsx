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74EAF4D3-1AD3-1443-8002-4AF797A0BCF6}" xr6:coauthVersionLast="47" xr6:coauthVersionMax="47" xr10:uidLastSave="{00000000-0000-0000-0000-000000000000}"/>
  <bookViews>
    <workbookView xWindow="880" yWindow="1440" windowWidth="26700" windowHeight="14560" activeTab="5" xr2:uid="{C5CA4C6E-6361-2F40-A2A3-1A2A3BC48401}"/>
  </bookViews>
  <sheets>
    <sheet name="seed1" sheetId="1" r:id="rId1"/>
    <sheet name="seed2" sheetId="3" r:id="rId2"/>
    <sheet name="seed3" sheetId="4" r:id="rId3"/>
    <sheet name="seed4" sheetId="5" r:id="rId4"/>
    <sheet name="seed5" sheetId="6" r:id="rId5"/>
    <sheet name="平均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2" l="1"/>
  <c r="T15" i="2"/>
  <c r="AF33" i="2"/>
  <c r="AG33" i="2"/>
  <c r="AH33" i="2"/>
  <c r="AF34" i="2"/>
  <c r="AG34" i="2"/>
  <c r="AH34" i="2"/>
  <c r="AF35" i="2"/>
  <c r="AG35" i="2"/>
  <c r="AH35" i="2"/>
  <c r="AF36" i="2"/>
  <c r="AG36" i="2"/>
  <c r="AH36" i="2"/>
  <c r="AF37" i="2"/>
  <c r="AG37" i="2"/>
  <c r="AH37" i="2"/>
  <c r="AF38" i="2"/>
  <c r="AG38" i="2"/>
  <c r="AH38" i="2"/>
  <c r="AF39" i="2"/>
  <c r="AG39" i="2"/>
  <c r="AH39" i="2"/>
  <c r="AE39" i="2"/>
  <c r="AE38" i="2"/>
  <c r="AE37" i="2"/>
  <c r="AE36" i="2"/>
  <c r="AE35" i="2"/>
  <c r="AE34" i="2"/>
  <c r="AE33" i="2"/>
  <c r="AB45" i="2"/>
  <c r="AB42" i="2"/>
  <c r="AB39" i="2"/>
  <c r="AB36" i="2"/>
  <c r="AB33" i="2"/>
  <c r="AB30" i="2"/>
  <c r="AB27" i="2"/>
  <c r="W44" i="2"/>
  <c r="V44" i="2"/>
  <c r="U44" i="2"/>
  <c r="T44" i="2"/>
  <c r="S44" i="2"/>
  <c r="R44" i="2"/>
  <c r="Q44" i="2"/>
  <c r="P44" i="2"/>
  <c r="O44" i="2"/>
  <c r="N44" i="2"/>
  <c r="M44" i="2"/>
  <c r="L44" i="2"/>
  <c r="W43" i="2"/>
  <c r="V43" i="2"/>
  <c r="U43" i="2"/>
  <c r="T43" i="2"/>
  <c r="S43" i="2"/>
  <c r="R43" i="2"/>
  <c r="Q43" i="2"/>
  <c r="P43" i="2"/>
  <c r="O43" i="2"/>
  <c r="N43" i="2"/>
  <c r="M43" i="2"/>
  <c r="L43" i="2"/>
  <c r="W41" i="2"/>
  <c r="V41" i="2"/>
  <c r="U41" i="2"/>
  <c r="T41" i="2"/>
  <c r="S41" i="2"/>
  <c r="R41" i="2"/>
  <c r="Q41" i="2"/>
  <c r="P41" i="2"/>
  <c r="O41" i="2"/>
  <c r="N41" i="2"/>
  <c r="M41" i="2"/>
  <c r="AA41" i="2" s="1"/>
  <c r="L41" i="2"/>
  <c r="W40" i="2"/>
  <c r="V40" i="2"/>
  <c r="U40" i="2"/>
  <c r="T40" i="2"/>
  <c r="S40" i="2"/>
  <c r="R40" i="2"/>
  <c r="Q40" i="2"/>
  <c r="P40" i="2"/>
  <c r="O40" i="2"/>
  <c r="N40" i="2"/>
  <c r="M40" i="2"/>
  <c r="L40" i="2"/>
  <c r="W38" i="2"/>
  <c r="V38" i="2"/>
  <c r="U38" i="2"/>
  <c r="T38" i="2"/>
  <c r="S38" i="2"/>
  <c r="R38" i="2"/>
  <c r="Q38" i="2"/>
  <c r="P38" i="2"/>
  <c r="O38" i="2"/>
  <c r="N38" i="2"/>
  <c r="M38" i="2"/>
  <c r="L38" i="2"/>
  <c r="W37" i="2"/>
  <c r="V37" i="2"/>
  <c r="U37" i="2"/>
  <c r="T37" i="2"/>
  <c r="S37" i="2"/>
  <c r="R37" i="2"/>
  <c r="Q37" i="2"/>
  <c r="P37" i="2"/>
  <c r="O37" i="2"/>
  <c r="N37" i="2"/>
  <c r="M37" i="2"/>
  <c r="L37" i="2"/>
  <c r="W35" i="2"/>
  <c r="V35" i="2"/>
  <c r="U35" i="2"/>
  <c r="T35" i="2"/>
  <c r="S35" i="2"/>
  <c r="R35" i="2"/>
  <c r="Q35" i="2"/>
  <c r="P35" i="2"/>
  <c r="O35" i="2"/>
  <c r="N35" i="2"/>
  <c r="M35" i="2"/>
  <c r="L35" i="2"/>
  <c r="W34" i="2"/>
  <c r="V34" i="2"/>
  <c r="U34" i="2"/>
  <c r="T34" i="2"/>
  <c r="S34" i="2"/>
  <c r="R34" i="2"/>
  <c r="Q34" i="2"/>
  <c r="P34" i="2"/>
  <c r="O34" i="2"/>
  <c r="N34" i="2"/>
  <c r="M34" i="2"/>
  <c r="L34" i="2"/>
  <c r="W32" i="2"/>
  <c r="V32" i="2"/>
  <c r="U32" i="2"/>
  <c r="T32" i="2"/>
  <c r="S32" i="2"/>
  <c r="R32" i="2"/>
  <c r="Q32" i="2"/>
  <c r="P32" i="2"/>
  <c r="O32" i="2"/>
  <c r="N32" i="2"/>
  <c r="M32" i="2"/>
  <c r="L32" i="2"/>
  <c r="W31" i="2"/>
  <c r="V31" i="2"/>
  <c r="U31" i="2"/>
  <c r="T31" i="2"/>
  <c r="S31" i="2"/>
  <c r="R31" i="2"/>
  <c r="Q31" i="2"/>
  <c r="P31" i="2"/>
  <c r="O31" i="2"/>
  <c r="N31" i="2"/>
  <c r="M31" i="2"/>
  <c r="L31" i="2"/>
  <c r="W29" i="2"/>
  <c r="V29" i="2"/>
  <c r="U29" i="2"/>
  <c r="T29" i="2"/>
  <c r="S29" i="2"/>
  <c r="R29" i="2"/>
  <c r="Q29" i="2"/>
  <c r="P29" i="2"/>
  <c r="O29" i="2"/>
  <c r="N29" i="2"/>
  <c r="M29" i="2"/>
  <c r="L29" i="2"/>
  <c r="W28" i="2"/>
  <c r="V28" i="2"/>
  <c r="U28" i="2"/>
  <c r="T28" i="2"/>
  <c r="S28" i="2"/>
  <c r="R28" i="2"/>
  <c r="Q28" i="2"/>
  <c r="P28" i="2"/>
  <c r="O28" i="2"/>
  <c r="N28" i="2"/>
  <c r="M28" i="2"/>
  <c r="L28" i="2"/>
  <c r="W26" i="2"/>
  <c r="V26" i="2"/>
  <c r="U26" i="2"/>
  <c r="T26" i="2"/>
  <c r="S26" i="2"/>
  <c r="R26" i="2"/>
  <c r="W25" i="2"/>
  <c r="V25" i="2"/>
  <c r="U25" i="2"/>
  <c r="T25" i="2"/>
  <c r="S25" i="2"/>
  <c r="R25" i="2"/>
  <c r="M25" i="2"/>
  <c r="AA25" i="2" s="1"/>
  <c r="N25" i="2"/>
  <c r="O25" i="2"/>
  <c r="P25" i="2"/>
  <c r="Q25" i="2"/>
  <c r="M26" i="2"/>
  <c r="N26" i="2"/>
  <c r="O26" i="2"/>
  <c r="P26" i="2"/>
  <c r="Q26" i="2"/>
  <c r="L26" i="2"/>
  <c r="L25" i="2"/>
  <c r="AA40" i="2" l="1"/>
  <c r="AA42" i="2" s="1"/>
  <c r="Y38" i="2"/>
  <c r="AA38" i="2"/>
  <c r="Z34" i="2"/>
  <c r="Y25" i="2"/>
  <c r="Z26" i="2"/>
  <c r="Z25" i="2"/>
  <c r="AA26" i="2"/>
  <c r="AA27" i="2" s="1"/>
  <c r="Y44" i="2"/>
  <c r="AA44" i="2"/>
  <c r="Z43" i="2"/>
  <c r="Y40" i="2"/>
  <c r="Y34" i="2"/>
  <c r="Z28" i="2"/>
  <c r="AA28" i="2"/>
  <c r="Z27" i="2"/>
  <c r="Y26" i="2"/>
  <c r="AA43" i="2"/>
  <c r="AA45" i="2" s="1"/>
  <c r="Y43" i="2"/>
  <c r="Z44" i="2"/>
  <c r="Z45" i="2" s="1"/>
  <c r="Z40" i="2"/>
  <c r="Y41" i="2"/>
  <c r="Z41" i="2"/>
  <c r="Z38" i="2"/>
  <c r="Y37" i="2"/>
  <c r="AA37" i="2"/>
  <c r="Z37" i="2"/>
  <c r="AA35" i="2"/>
  <c r="Z35" i="2"/>
  <c r="Z36" i="2"/>
  <c r="Y35" i="2"/>
  <c r="AA34" i="2"/>
  <c r="AA32" i="2"/>
  <c r="Z32" i="2"/>
  <c r="Y31" i="2"/>
  <c r="Y32" i="2"/>
  <c r="AA31" i="2"/>
  <c r="Z31" i="2"/>
  <c r="Y28" i="2"/>
  <c r="AA29" i="2"/>
  <c r="Z29" i="2"/>
  <c r="Y29" i="2"/>
  <c r="Y42" i="2" l="1"/>
  <c r="Y39" i="2"/>
  <c r="AA33" i="2"/>
  <c r="Y30" i="2"/>
  <c r="Z30" i="2"/>
  <c r="Y45" i="2"/>
  <c r="AA39" i="2"/>
  <c r="Z39" i="2"/>
  <c r="Y36" i="2"/>
  <c r="AA30" i="2"/>
  <c r="Y27" i="2"/>
  <c r="Z33" i="2"/>
  <c r="Z42" i="2"/>
  <c r="AA36" i="2"/>
  <c r="Y33" i="2"/>
  <c r="H39" i="2" l="1"/>
  <c r="I39" i="2"/>
  <c r="G41" i="2"/>
  <c r="G40" i="2"/>
  <c r="F41" i="2"/>
  <c r="G39" i="2"/>
  <c r="E39" i="2"/>
  <c r="G19" i="2"/>
  <c r="F20" i="2"/>
  <c r="F18" i="2"/>
  <c r="E19" i="2"/>
  <c r="I19" i="2"/>
  <c r="I18" i="2"/>
  <c r="G18" i="2"/>
  <c r="D19" i="2"/>
  <c r="I41" i="2"/>
  <c r="H41" i="2"/>
  <c r="E41" i="2"/>
  <c r="D41" i="2"/>
  <c r="C41" i="2"/>
  <c r="I40" i="2"/>
  <c r="H40" i="2"/>
  <c r="F40" i="2"/>
  <c r="E40" i="2"/>
  <c r="D40" i="2"/>
  <c r="C40" i="2"/>
  <c r="F39" i="2"/>
  <c r="D39" i="2"/>
  <c r="C39" i="2"/>
  <c r="Q21" i="2"/>
  <c r="O21" i="2"/>
  <c r="N21" i="2"/>
  <c r="R20" i="2"/>
  <c r="Q20" i="2"/>
  <c r="P20" i="2"/>
  <c r="O20" i="2"/>
  <c r="N20" i="2"/>
  <c r="M20" i="2"/>
  <c r="L20" i="2"/>
  <c r="R19" i="2"/>
  <c r="Q19" i="2"/>
  <c r="P19" i="2"/>
  <c r="O19" i="2"/>
  <c r="N19" i="2"/>
  <c r="M19" i="2"/>
  <c r="L19" i="2"/>
  <c r="R18" i="2"/>
  <c r="R21" i="2" s="1"/>
  <c r="Q18" i="2"/>
  <c r="P18" i="2"/>
  <c r="P21" i="2" s="1"/>
  <c r="O18" i="2"/>
  <c r="N18" i="2"/>
  <c r="M18" i="2"/>
  <c r="M21" i="2" s="1"/>
  <c r="L18" i="2"/>
  <c r="L21" i="2" s="1"/>
  <c r="C19" i="2"/>
  <c r="F19" i="2"/>
  <c r="H19" i="2"/>
  <c r="C20" i="2"/>
  <c r="D20" i="2"/>
  <c r="E20" i="2"/>
  <c r="G20" i="2"/>
  <c r="D18" i="2"/>
  <c r="E18" i="2"/>
  <c r="H18" i="2"/>
  <c r="C18" i="2"/>
  <c r="R16" i="2"/>
  <c r="Q16" i="2"/>
  <c r="P16" i="2"/>
  <c r="O16" i="2"/>
  <c r="N16" i="2"/>
  <c r="M16" i="2"/>
  <c r="L16" i="2"/>
  <c r="R15" i="2"/>
  <c r="Q15" i="2"/>
  <c r="P15" i="2"/>
  <c r="O15" i="2"/>
  <c r="N15" i="2"/>
  <c r="M15" i="2"/>
  <c r="L15" i="2"/>
  <c r="R14" i="2"/>
  <c r="Q14" i="2"/>
  <c r="P14" i="2"/>
  <c r="O14" i="2"/>
  <c r="N14" i="2"/>
  <c r="M14" i="2"/>
  <c r="L14" i="2"/>
  <c r="R13" i="2"/>
  <c r="Q13" i="2"/>
  <c r="P13" i="2"/>
  <c r="O13" i="2"/>
  <c r="N13" i="2"/>
  <c r="M13" i="2"/>
  <c r="L13" i="2"/>
  <c r="R12" i="2"/>
  <c r="Q12" i="2"/>
  <c r="P12" i="2"/>
  <c r="O12" i="2"/>
  <c r="N12" i="2"/>
  <c r="M12" i="2"/>
  <c r="L12" i="2"/>
  <c r="R11" i="2"/>
  <c r="Q11" i="2"/>
  <c r="P11" i="2"/>
  <c r="O11" i="2"/>
  <c r="N11" i="2"/>
  <c r="M11" i="2"/>
  <c r="L11" i="2"/>
  <c r="R10" i="2"/>
  <c r="Q10" i="2"/>
  <c r="P10" i="2"/>
  <c r="O10" i="2"/>
  <c r="N10" i="2"/>
  <c r="M10" i="2"/>
  <c r="L10" i="2"/>
  <c r="R9" i="2"/>
  <c r="Q9" i="2"/>
  <c r="P9" i="2"/>
  <c r="O9" i="2"/>
  <c r="N9" i="2"/>
  <c r="M9" i="2"/>
  <c r="L9" i="2"/>
  <c r="R8" i="2"/>
  <c r="Q8" i="2"/>
  <c r="P8" i="2"/>
  <c r="O8" i="2"/>
  <c r="N8" i="2"/>
  <c r="M8" i="2"/>
  <c r="L8" i="2"/>
  <c r="R7" i="2"/>
  <c r="R17" i="2" s="1"/>
  <c r="Q7" i="2"/>
  <c r="Q17" i="2" s="1"/>
  <c r="P7" i="2"/>
  <c r="P17" i="2" s="1"/>
  <c r="O7" i="2"/>
  <c r="O17" i="2" s="1"/>
  <c r="N7" i="2"/>
  <c r="N17" i="2" s="1"/>
  <c r="M7" i="2"/>
  <c r="M17" i="2" s="1"/>
  <c r="L7" i="2"/>
  <c r="L17" i="2" s="1"/>
  <c r="R6" i="2"/>
  <c r="Q6" i="2"/>
  <c r="P6" i="2"/>
  <c r="O6" i="2"/>
  <c r="N6" i="2"/>
  <c r="M6" i="2"/>
  <c r="L6" i="2"/>
  <c r="R5" i="2"/>
  <c r="Q5" i="2"/>
  <c r="P5" i="2"/>
  <c r="O5" i="2"/>
  <c r="N5" i="2"/>
  <c r="M5" i="2"/>
  <c r="L5" i="2"/>
  <c r="I37" i="2"/>
  <c r="H37" i="2"/>
  <c r="G37" i="2"/>
  <c r="F37" i="2"/>
  <c r="E37" i="2"/>
  <c r="D37" i="2"/>
  <c r="C37" i="2"/>
  <c r="I36" i="2"/>
  <c r="H36" i="2"/>
  <c r="G36" i="2"/>
  <c r="F36" i="2"/>
  <c r="E36" i="2"/>
  <c r="D36" i="2"/>
  <c r="C36" i="2"/>
  <c r="I35" i="2"/>
  <c r="H35" i="2"/>
  <c r="G35" i="2"/>
  <c r="F35" i="2"/>
  <c r="E35" i="2"/>
  <c r="D35" i="2"/>
  <c r="C35" i="2"/>
  <c r="I34" i="2"/>
  <c r="H34" i="2"/>
  <c r="G34" i="2"/>
  <c r="F34" i="2"/>
  <c r="E34" i="2"/>
  <c r="D34" i="2"/>
  <c r="C34" i="2"/>
  <c r="I33" i="2"/>
  <c r="H33" i="2"/>
  <c r="G33" i="2"/>
  <c r="F33" i="2"/>
  <c r="E33" i="2"/>
  <c r="D33" i="2"/>
  <c r="C33" i="2"/>
  <c r="I32" i="2"/>
  <c r="H32" i="2"/>
  <c r="G32" i="2"/>
  <c r="F32" i="2"/>
  <c r="E32" i="2"/>
  <c r="D32" i="2"/>
  <c r="C32" i="2"/>
  <c r="I31" i="2"/>
  <c r="H31" i="2"/>
  <c r="G31" i="2"/>
  <c r="F31" i="2"/>
  <c r="E31" i="2"/>
  <c r="D31" i="2"/>
  <c r="C31" i="2"/>
  <c r="I30" i="2"/>
  <c r="H30" i="2"/>
  <c r="G30" i="2"/>
  <c r="F30" i="2"/>
  <c r="E30" i="2"/>
  <c r="D30" i="2"/>
  <c r="C30" i="2"/>
  <c r="I29" i="2"/>
  <c r="H29" i="2"/>
  <c r="G29" i="2"/>
  <c r="F29" i="2"/>
  <c r="E29" i="2"/>
  <c r="D29" i="2"/>
  <c r="C29" i="2"/>
  <c r="I28" i="2"/>
  <c r="H28" i="2"/>
  <c r="G28" i="2"/>
  <c r="F28" i="2"/>
  <c r="E28" i="2"/>
  <c r="D28" i="2"/>
  <c r="C28" i="2"/>
  <c r="I27" i="2"/>
  <c r="H27" i="2"/>
  <c r="G27" i="2"/>
  <c r="F27" i="2"/>
  <c r="E27" i="2"/>
  <c r="D27" i="2"/>
  <c r="C27" i="2"/>
  <c r="I26" i="2"/>
  <c r="H26" i="2"/>
  <c r="G26" i="2"/>
  <c r="F26" i="2"/>
  <c r="E26" i="2"/>
  <c r="D26" i="2"/>
  <c r="C26" i="2"/>
  <c r="D5" i="2"/>
  <c r="E5" i="2"/>
  <c r="F5" i="2"/>
  <c r="G5" i="2"/>
  <c r="H5" i="2"/>
  <c r="I5" i="2"/>
  <c r="D6" i="2"/>
  <c r="E6" i="2"/>
  <c r="F6" i="2"/>
  <c r="G6" i="2"/>
  <c r="H6" i="2"/>
  <c r="I6" i="2"/>
  <c r="D7" i="2"/>
  <c r="E7" i="2"/>
  <c r="F7" i="2"/>
  <c r="G7" i="2"/>
  <c r="H7" i="2"/>
  <c r="I7" i="2"/>
  <c r="D8" i="2"/>
  <c r="E8" i="2"/>
  <c r="F8" i="2"/>
  <c r="G8" i="2"/>
  <c r="H8" i="2"/>
  <c r="I8" i="2"/>
  <c r="D9" i="2"/>
  <c r="E9" i="2"/>
  <c r="F9" i="2"/>
  <c r="G9" i="2"/>
  <c r="H9" i="2"/>
  <c r="I9" i="2"/>
  <c r="D10" i="2"/>
  <c r="E10" i="2"/>
  <c r="F10" i="2"/>
  <c r="G10" i="2"/>
  <c r="H10" i="2"/>
  <c r="I10" i="2"/>
  <c r="D11" i="2"/>
  <c r="E11" i="2"/>
  <c r="F11" i="2"/>
  <c r="G11" i="2"/>
  <c r="H11" i="2"/>
  <c r="I11" i="2"/>
  <c r="D12" i="2"/>
  <c r="E12" i="2"/>
  <c r="F12" i="2"/>
  <c r="G12" i="2"/>
  <c r="H12" i="2"/>
  <c r="I12" i="2"/>
  <c r="D13" i="2"/>
  <c r="E13" i="2"/>
  <c r="F13" i="2"/>
  <c r="G13" i="2"/>
  <c r="H13" i="2"/>
  <c r="I13" i="2"/>
  <c r="D14" i="2"/>
  <c r="E14" i="2"/>
  <c r="F14" i="2"/>
  <c r="G14" i="2"/>
  <c r="H14" i="2"/>
  <c r="I14" i="2"/>
  <c r="D15" i="2"/>
  <c r="E15" i="2"/>
  <c r="F15" i="2"/>
  <c r="G15" i="2"/>
  <c r="H15" i="2"/>
  <c r="I15" i="2"/>
  <c r="D16" i="2"/>
  <c r="E16" i="2"/>
  <c r="F16" i="2"/>
  <c r="G16" i="2"/>
  <c r="H16" i="2"/>
  <c r="I16" i="2"/>
  <c r="C6" i="2"/>
  <c r="C7" i="2"/>
  <c r="C8" i="2"/>
  <c r="C9" i="2"/>
  <c r="C10" i="2"/>
  <c r="C11" i="2"/>
  <c r="C12" i="2"/>
  <c r="C13" i="2"/>
  <c r="C14" i="2"/>
  <c r="C15" i="2"/>
  <c r="C16" i="2"/>
  <c r="C5" i="2"/>
  <c r="I42" i="2" l="1"/>
  <c r="H42" i="2"/>
  <c r="G42" i="2"/>
  <c r="F42" i="2"/>
  <c r="E42" i="2"/>
  <c r="D42" i="2"/>
  <c r="C42" i="2"/>
  <c r="H20" i="2"/>
  <c r="H21" i="2" s="1"/>
  <c r="I20" i="2"/>
  <c r="I21" i="2" s="1"/>
  <c r="I38" i="2"/>
  <c r="H38" i="2"/>
  <c r="G38" i="2"/>
  <c r="F38" i="2"/>
  <c r="E38" i="2"/>
  <c r="D38" i="2"/>
  <c r="C38" i="2"/>
  <c r="F21" i="2"/>
  <c r="C21" i="2"/>
  <c r="G21" i="2"/>
  <c r="E21" i="2"/>
  <c r="D21" i="2"/>
  <c r="H17" i="2"/>
  <c r="D17" i="2"/>
  <c r="F17" i="2"/>
  <c r="E17" i="2"/>
  <c r="I17" i="2"/>
  <c r="C17" i="2"/>
  <c r="G17" i="2"/>
</calcChain>
</file>

<file path=xl/sharedStrings.xml><?xml version="1.0" encoding="utf-8"?>
<sst xmlns="http://schemas.openxmlformats.org/spreadsheetml/2006/main" count="855" uniqueCount="38">
  <si>
    <t>直進</t>
    <rPh sb="0" eb="2">
      <t>チョク</t>
    </rPh>
    <phoneticPr fontId="1"/>
  </si>
  <si>
    <t>右折</t>
    <rPh sb="0" eb="2">
      <t>ウセテゥ</t>
    </rPh>
    <phoneticPr fontId="1"/>
  </si>
  <si>
    <t>左折</t>
    <rPh sb="0" eb="2">
      <t>サセテゥ</t>
    </rPh>
    <phoneticPr fontId="1"/>
  </si>
  <si>
    <t>合計</t>
    <rPh sb="0" eb="2">
      <t>ゴウケイ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</si>
  <si>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</si>
  <si>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</si>
  <si>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</si>
  <si>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</si>
  <si>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600/600/600</t>
    <phoneticPr fontId="1"/>
  </si>
  <si>
    <t>性能込み</t>
    <rPh sb="0" eb="2">
      <t>セイノウ</t>
    </rPh>
    <rPh sb="2" eb="3">
      <t>コミ</t>
    </rPh>
    <phoneticPr fontId="1"/>
  </si>
  <si>
    <t>（Bus）</t>
    <phoneticPr fontId="1"/>
  </si>
  <si>
    <t>（Car）</t>
    <phoneticPr fontId="1"/>
  </si>
  <si>
    <t>500/500/500</t>
    <phoneticPr fontId="1"/>
  </si>
  <si>
    <t>交差点前_平均</t>
    <rPh sb="0" eb="4">
      <t>コウサ</t>
    </rPh>
    <rPh sb="5" eb="7">
      <t>ヘイキn</t>
    </rPh>
    <phoneticPr fontId="1"/>
  </si>
  <si>
    <t>通過台数_L</t>
    <rPh sb="0" eb="2">
      <t>ツウカ</t>
    </rPh>
    <rPh sb="2" eb="4">
      <t>ダイスウ</t>
    </rPh>
    <phoneticPr fontId="1"/>
  </si>
  <si>
    <t>通過台数_R</t>
    <rPh sb="0" eb="1">
      <t>ツウカ</t>
    </rPh>
    <phoneticPr fontId="1"/>
  </si>
  <si>
    <t>通過台数_B</t>
    <rPh sb="0" eb="4">
      <t>ツウカ</t>
    </rPh>
    <phoneticPr fontId="1"/>
  </si>
  <si>
    <t>通過台数_合計</t>
    <rPh sb="0" eb="4">
      <t>ツウカ</t>
    </rPh>
    <rPh sb="5" eb="7">
      <t>ゴウケイ</t>
    </rPh>
    <phoneticPr fontId="1"/>
  </si>
  <si>
    <t>RB+BL</t>
    <phoneticPr fontId="1"/>
  </si>
  <si>
    <t>LB+BR</t>
    <phoneticPr fontId="1"/>
  </si>
  <si>
    <t>LR+RL</t>
    <phoneticPr fontId="1"/>
  </si>
  <si>
    <t>300/300/300/300</t>
    <phoneticPr fontId="1"/>
  </si>
  <si>
    <t>直進</t>
    <rPh sb="0" eb="1">
      <t>チョク</t>
    </rPh>
    <phoneticPr fontId="1"/>
  </si>
  <si>
    <t>pass_LT</t>
  </si>
  <si>
    <t>pass_LR</t>
  </si>
  <si>
    <t>pass_LB</t>
  </si>
  <si>
    <t>pass_TR</t>
  </si>
  <si>
    <t>pass_TB</t>
  </si>
  <si>
    <t>pass_TL</t>
  </si>
  <si>
    <t>pass_RB</t>
  </si>
  <si>
    <t>pass_RL</t>
  </si>
  <si>
    <t>pass_RT</t>
  </si>
  <si>
    <t>pass_BL</t>
  </si>
  <si>
    <t>pass_BT</t>
  </si>
  <si>
    <t>pass_BR</t>
  </si>
  <si>
    <r>
      <rPr>
        <sz val="10"/>
        <color rgb="FF000000"/>
        <rFont val="游ゴシック"/>
        <family val="2"/>
        <charset val="128"/>
      </rPr>
      <t>左折</t>
    </r>
    <rPh sb="0" eb="2">
      <t>サセテゥ</t>
    </rPh>
    <phoneticPr fontId="1"/>
  </si>
  <si>
    <r>
      <rPr>
        <sz val="10"/>
        <color rgb="FF000000"/>
        <rFont val="游ゴシック"/>
        <family val="2"/>
        <charset val="128"/>
      </rPr>
      <t>右折</t>
    </r>
    <rPh sb="0" eb="2">
      <t>ウセテゥ</t>
    </rPh>
    <phoneticPr fontId="1"/>
  </si>
  <si>
    <r>
      <rPr>
        <sz val="10"/>
        <color rgb="FF000000"/>
        <rFont val="游ゴシック"/>
        <family val="2"/>
        <charset val="128"/>
      </rPr>
      <t>直進</t>
    </r>
    <rPh sb="0" eb="2">
      <t>チョク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</si>
</sst>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  <font>
      <sz val="10"/>
      <color rgb="FF000000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A2:W44"/>
  <sheetViews>
    <sheetView topLeftCell="A5" workbookViewId="0">
      <selection activeCell="L24" sqref="L24:W24"/>
    </sheetView>
  </sheetViews>
  <sheetFormatPr baseColWidth="10" defaultRowHeight="20"/>
  <sheetData>
    <row r="2" spans="2:18">
      <c r="B2" t="s">
        <v>21</v>
      </c>
      <c r="K2" t="s">
        <v>8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I4" t="s">
        <v>9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  <c r="R4" t="s">
        <v>9</v>
      </c>
    </row>
    <row r="5" spans="2:18">
      <c r="B5" s="2" t="s">
        <v>10</v>
      </c>
      <c r="C5">
        <v>4.0327999999999999</v>
      </c>
      <c r="D5">
        <v>5.3293999999999997</v>
      </c>
      <c r="E5">
        <v>4.3159999999999998</v>
      </c>
      <c r="F5">
        <v>3.7446000000000002</v>
      </c>
      <c r="G5">
        <v>4.1349</v>
      </c>
      <c r="H5">
        <v>5.5178000000000003</v>
      </c>
      <c r="I5">
        <v>5.4451999999999998</v>
      </c>
      <c r="K5" s="2" t="s">
        <v>10</v>
      </c>
    </row>
    <row r="6" spans="2:18">
      <c r="B6" s="2" t="s">
        <v>11</v>
      </c>
      <c r="C6">
        <v>4.5335000000000001</v>
      </c>
      <c r="D6">
        <v>4.9116</v>
      </c>
      <c r="E6">
        <v>4.782</v>
      </c>
      <c r="F6">
        <v>3.9220000000000002</v>
      </c>
      <c r="G6">
        <v>4.3352000000000004</v>
      </c>
      <c r="H6">
        <v>5.4725000000000001</v>
      </c>
      <c r="I6">
        <v>5.7144000000000004</v>
      </c>
      <c r="K6" s="2" t="s">
        <v>11</v>
      </c>
    </row>
    <row r="7" spans="2:18">
      <c r="B7" t="s">
        <v>1</v>
      </c>
      <c r="C7">
        <v>4.3743999999999996</v>
      </c>
      <c r="D7">
        <v>5.0274000000000001</v>
      </c>
      <c r="E7">
        <v>4.6352000000000002</v>
      </c>
      <c r="F7">
        <v>3.8681999999999999</v>
      </c>
      <c r="G7">
        <v>4.2744</v>
      </c>
      <c r="H7">
        <v>5.4856999999999996</v>
      </c>
      <c r="I7">
        <v>5.6325000000000003</v>
      </c>
      <c r="K7" t="s">
        <v>1</v>
      </c>
    </row>
    <row r="8" spans="2:18">
      <c r="B8" s="2" t="s">
        <v>10</v>
      </c>
      <c r="C8">
        <v>3.2307000000000001</v>
      </c>
      <c r="D8">
        <v>4.1826999999999996</v>
      </c>
      <c r="E8">
        <v>3.9698000000000002</v>
      </c>
      <c r="F8">
        <v>2.8913000000000002</v>
      </c>
      <c r="G8">
        <v>3.1093999999999999</v>
      </c>
      <c r="H8">
        <v>4.7605000000000004</v>
      </c>
      <c r="I8">
        <v>4.6241000000000003</v>
      </c>
      <c r="K8" s="2" t="s">
        <v>10</v>
      </c>
    </row>
    <row r="9" spans="2:18">
      <c r="B9" s="2" t="s">
        <v>11</v>
      </c>
      <c r="C9">
        <v>4.0186999999999999</v>
      </c>
      <c r="D9">
        <v>4.383</v>
      </c>
      <c r="E9">
        <v>4.3506</v>
      </c>
      <c r="F9">
        <v>3.3765000000000001</v>
      </c>
      <c r="G9">
        <v>3.9220999999999999</v>
      </c>
      <c r="H9">
        <v>4.4958</v>
      </c>
      <c r="I9">
        <v>4.9859</v>
      </c>
      <c r="K9" s="2" t="s">
        <v>11</v>
      </c>
    </row>
    <row r="10" spans="2:18">
      <c r="B10" t="s">
        <v>22</v>
      </c>
      <c r="C10">
        <v>3.7696000000000001</v>
      </c>
      <c r="D10">
        <v>4.3262</v>
      </c>
      <c r="E10">
        <v>4.2396000000000003</v>
      </c>
      <c r="F10">
        <v>3.2284999999999999</v>
      </c>
      <c r="G10">
        <v>3.6606999999999998</v>
      </c>
      <c r="H10">
        <v>4.5651000000000002</v>
      </c>
      <c r="I10">
        <v>4.8813000000000004</v>
      </c>
      <c r="K10" t="s">
        <v>22</v>
      </c>
    </row>
    <row r="11" spans="2:18">
      <c r="B11" s="2" t="s">
        <v>10</v>
      </c>
      <c r="C11">
        <v>2.9079999999999999</v>
      </c>
      <c r="D11">
        <v>8.0045999999999999</v>
      </c>
      <c r="E11">
        <v>4.9305000000000003</v>
      </c>
      <c r="F11">
        <v>1.7257</v>
      </c>
      <c r="G11">
        <v>3.2871000000000001</v>
      </c>
      <c r="H11">
        <v>4.3033000000000001</v>
      </c>
      <c r="I11">
        <v>6.6717000000000004</v>
      </c>
      <c r="K11" s="2" t="s">
        <v>10</v>
      </c>
    </row>
    <row r="12" spans="2:18">
      <c r="B12" s="2" t="s">
        <v>11</v>
      </c>
      <c r="C12">
        <v>3.0630999999999999</v>
      </c>
      <c r="D12">
        <v>7.3738999999999999</v>
      </c>
      <c r="E12">
        <v>3.8344</v>
      </c>
      <c r="F12">
        <v>2.298</v>
      </c>
      <c r="G12">
        <v>3.7128000000000001</v>
      </c>
      <c r="H12">
        <v>5.5885999999999996</v>
      </c>
      <c r="I12">
        <v>6.6147</v>
      </c>
      <c r="K12" s="2" t="s">
        <v>11</v>
      </c>
    </row>
    <row r="13" spans="2:18">
      <c r="B13" t="s">
        <v>2</v>
      </c>
      <c r="C13">
        <v>3.0354000000000001</v>
      </c>
      <c r="D13">
        <v>7.4748999999999999</v>
      </c>
      <c r="E13">
        <v>3.9868000000000001</v>
      </c>
      <c r="F13">
        <v>2.1739999999999999</v>
      </c>
      <c r="G13">
        <v>3.6316999999999999</v>
      </c>
      <c r="H13">
        <v>5.3146000000000004</v>
      </c>
      <c r="I13">
        <v>6.6245000000000003</v>
      </c>
      <c r="K13" t="s">
        <v>2</v>
      </c>
    </row>
    <row r="14" spans="2:18">
      <c r="B14" s="2" t="s">
        <v>10</v>
      </c>
      <c r="C14">
        <v>5.1421000000000001</v>
      </c>
      <c r="D14">
        <v>6.5251999999999999</v>
      </c>
      <c r="E14">
        <v>5.8902000000000001</v>
      </c>
      <c r="F14">
        <v>4.6025999999999998</v>
      </c>
      <c r="G14">
        <v>5.1871999999999998</v>
      </c>
      <c r="H14">
        <v>6.5899000000000001</v>
      </c>
      <c r="I14">
        <v>6.7217000000000002</v>
      </c>
      <c r="K14" s="2" t="s">
        <v>10</v>
      </c>
    </row>
    <row r="15" spans="2:18">
      <c r="B15" s="2" t="s">
        <v>11</v>
      </c>
      <c r="C15">
        <v>5.8474000000000004</v>
      </c>
      <c r="D15">
        <v>6.9352999999999998</v>
      </c>
      <c r="E15">
        <v>6.4036</v>
      </c>
      <c r="F15">
        <v>5.1375999999999999</v>
      </c>
      <c r="G15">
        <v>5.9531000000000001</v>
      </c>
      <c r="H15">
        <v>7.0351999999999997</v>
      </c>
      <c r="I15">
        <v>7.4522000000000004</v>
      </c>
      <c r="K15" s="2" t="s">
        <v>11</v>
      </c>
    </row>
    <row r="16" spans="2:18">
      <c r="B16" t="s">
        <v>3</v>
      </c>
      <c r="C16">
        <v>5.6432000000000002</v>
      </c>
      <c r="D16">
        <v>6.8224</v>
      </c>
      <c r="E16">
        <v>6.2603</v>
      </c>
      <c r="F16">
        <v>4.9844999999999997</v>
      </c>
      <c r="G16">
        <v>5.7298</v>
      </c>
      <c r="H16">
        <v>6.9119999999999999</v>
      </c>
      <c r="I16">
        <v>7.2457000000000003</v>
      </c>
      <c r="K16" t="s">
        <v>3</v>
      </c>
    </row>
    <row r="18" spans="1:23">
      <c r="A18" t="s">
        <v>18</v>
      </c>
      <c r="B18" t="s">
        <v>14</v>
      </c>
      <c r="J18" t="s">
        <v>18</v>
      </c>
      <c r="K18" t="s">
        <v>14</v>
      </c>
    </row>
    <row r="19" spans="1:23">
      <c r="A19" t="s">
        <v>19</v>
      </c>
      <c r="B19" t="s">
        <v>15</v>
      </c>
      <c r="J19" t="s">
        <v>19</v>
      </c>
      <c r="K19" t="s">
        <v>15</v>
      </c>
    </row>
    <row r="20" spans="1:23">
      <c r="A20" t="s">
        <v>20</v>
      </c>
      <c r="B20" t="s">
        <v>16</v>
      </c>
      <c r="J20" t="s">
        <v>20</v>
      </c>
      <c r="K20" t="s">
        <v>16</v>
      </c>
    </row>
    <row r="23" spans="1:23">
      <c r="B23" t="s">
        <v>12</v>
      </c>
    </row>
    <row r="24" spans="1:23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L24" s="4" t="s">
        <v>23</v>
      </c>
      <c r="M24" s="4" t="s">
        <v>24</v>
      </c>
      <c r="N24" s="4" t="s">
        <v>25</v>
      </c>
      <c r="O24" s="4" t="s">
        <v>26</v>
      </c>
      <c r="P24" s="4" t="s">
        <v>27</v>
      </c>
      <c r="Q24" s="4" t="s">
        <v>28</v>
      </c>
      <c r="R24" s="4" t="s">
        <v>29</v>
      </c>
      <c r="S24" s="4" t="s">
        <v>30</v>
      </c>
      <c r="T24" s="4" t="s">
        <v>31</v>
      </c>
      <c r="U24" s="4" t="s">
        <v>32</v>
      </c>
      <c r="V24" s="4" t="s">
        <v>33</v>
      </c>
      <c r="W24" s="4" t="s">
        <v>34</v>
      </c>
    </row>
    <row r="25" spans="1:23">
      <c r="C25" t="s">
        <v>6</v>
      </c>
      <c r="D25" t="s">
        <v>7</v>
      </c>
      <c r="E25" s="1">
        <v>0.2</v>
      </c>
      <c r="F25" s="1">
        <v>0.4</v>
      </c>
      <c r="G25" t="s">
        <v>4</v>
      </c>
      <c r="H25" t="s">
        <v>5</v>
      </c>
      <c r="I25" t="s">
        <v>9</v>
      </c>
      <c r="L25" s="4">
        <v>4</v>
      </c>
      <c r="M25" s="4">
        <v>2</v>
      </c>
      <c r="N25" s="4">
        <v>6</v>
      </c>
      <c r="O25" s="4">
        <v>7</v>
      </c>
      <c r="P25" s="4">
        <v>0</v>
      </c>
      <c r="Q25" s="4">
        <v>8</v>
      </c>
      <c r="R25" s="4">
        <v>2</v>
      </c>
      <c r="S25" s="4">
        <v>3</v>
      </c>
      <c r="T25" s="4">
        <v>6</v>
      </c>
      <c r="U25" s="4">
        <v>8</v>
      </c>
      <c r="V25" s="4">
        <v>0</v>
      </c>
      <c r="W25" s="4">
        <v>5</v>
      </c>
    </row>
    <row r="26" spans="1:23">
      <c r="B26" s="2" t="s">
        <v>10</v>
      </c>
      <c r="L26" s="4">
        <v>8</v>
      </c>
      <c r="M26" s="4">
        <v>15</v>
      </c>
      <c r="N26" s="4">
        <v>11</v>
      </c>
      <c r="O26" s="4">
        <v>18</v>
      </c>
      <c r="P26" s="4">
        <v>0</v>
      </c>
      <c r="Q26" s="4">
        <v>16</v>
      </c>
      <c r="R26" s="4">
        <v>15</v>
      </c>
      <c r="S26" s="4">
        <v>12</v>
      </c>
      <c r="T26" s="4">
        <v>11</v>
      </c>
      <c r="U26" s="4">
        <v>13</v>
      </c>
      <c r="V26" s="4">
        <v>0</v>
      </c>
      <c r="W26" s="4">
        <v>22</v>
      </c>
    </row>
    <row r="27" spans="1:23">
      <c r="B27" s="2" t="s">
        <v>11</v>
      </c>
      <c r="L27" s="4" t="s">
        <v>23</v>
      </c>
      <c r="M27" s="4" t="s">
        <v>24</v>
      </c>
      <c r="N27" s="4" t="s">
        <v>25</v>
      </c>
      <c r="O27" s="4" t="s">
        <v>26</v>
      </c>
      <c r="P27" s="4" t="s">
        <v>27</v>
      </c>
      <c r="Q27" s="4" t="s">
        <v>28</v>
      </c>
      <c r="R27" s="4" t="s">
        <v>29</v>
      </c>
      <c r="S27" s="4" t="s">
        <v>30</v>
      </c>
      <c r="T27" s="4" t="s">
        <v>31</v>
      </c>
      <c r="U27" s="4" t="s">
        <v>32</v>
      </c>
      <c r="V27" s="4" t="s">
        <v>33</v>
      </c>
      <c r="W27" s="4" t="s">
        <v>34</v>
      </c>
    </row>
    <row r="28" spans="1:23">
      <c r="B28" t="s">
        <v>1</v>
      </c>
      <c r="L28" s="4">
        <v>4</v>
      </c>
      <c r="M28" s="4">
        <v>2</v>
      </c>
      <c r="N28" s="4">
        <v>6</v>
      </c>
      <c r="O28" s="4">
        <v>7</v>
      </c>
      <c r="P28" s="4">
        <v>0</v>
      </c>
      <c r="Q28" s="4">
        <v>8</v>
      </c>
      <c r="R28" s="4">
        <v>2</v>
      </c>
      <c r="S28" s="4">
        <v>3</v>
      </c>
      <c r="T28" s="4">
        <v>6</v>
      </c>
      <c r="U28" s="4">
        <v>8</v>
      </c>
      <c r="V28" s="4">
        <v>0</v>
      </c>
      <c r="W28" s="4">
        <v>5</v>
      </c>
    </row>
    <row r="29" spans="1:23">
      <c r="B29" s="2" t="s">
        <v>10</v>
      </c>
      <c r="L29" s="4">
        <v>8</v>
      </c>
      <c r="M29" s="4">
        <v>15</v>
      </c>
      <c r="N29" s="4">
        <v>11</v>
      </c>
      <c r="O29" s="4">
        <v>18</v>
      </c>
      <c r="P29" s="4">
        <v>0</v>
      </c>
      <c r="Q29" s="4">
        <v>16</v>
      </c>
      <c r="R29" s="4">
        <v>15</v>
      </c>
      <c r="S29" s="4">
        <v>12</v>
      </c>
      <c r="T29" s="4">
        <v>11</v>
      </c>
      <c r="U29" s="4">
        <v>13</v>
      </c>
      <c r="V29" s="4">
        <v>0</v>
      </c>
      <c r="W29" s="4">
        <v>22</v>
      </c>
    </row>
    <row r="30" spans="1:23">
      <c r="B30" s="2" t="s">
        <v>11</v>
      </c>
      <c r="L30" s="4" t="s">
        <v>23</v>
      </c>
      <c r="M30" s="4" t="s">
        <v>24</v>
      </c>
      <c r="N30" s="4" t="s">
        <v>25</v>
      </c>
      <c r="O30" s="4" t="s">
        <v>26</v>
      </c>
      <c r="P30" s="4" t="s">
        <v>27</v>
      </c>
      <c r="Q30" s="4" t="s">
        <v>28</v>
      </c>
      <c r="R30" s="4" t="s">
        <v>29</v>
      </c>
      <c r="S30" s="4" t="s">
        <v>30</v>
      </c>
      <c r="T30" s="4" t="s">
        <v>31</v>
      </c>
      <c r="U30" s="4" t="s">
        <v>32</v>
      </c>
      <c r="V30" s="4" t="s">
        <v>33</v>
      </c>
      <c r="W30" s="4" t="s">
        <v>34</v>
      </c>
    </row>
    <row r="31" spans="1:23">
      <c r="B31" t="s">
        <v>2</v>
      </c>
      <c r="L31" s="4">
        <v>4</v>
      </c>
      <c r="M31" s="4">
        <v>2</v>
      </c>
      <c r="N31" s="4">
        <v>6</v>
      </c>
      <c r="O31" s="4">
        <v>7</v>
      </c>
      <c r="P31" s="4">
        <v>0</v>
      </c>
      <c r="Q31" s="4">
        <v>8</v>
      </c>
      <c r="R31" s="4">
        <v>2</v>
      </c>
      <c r="S31" s="4">
        <v>3</v>
      </c>
      <c r="T31" s="4">
        <v>6</v>
      </c>
      <c r="U31" s="4">
        <v>8</v>
      </c>
      <c r="V31" s="4">
        <v>0</v>
      </c>
      <c r="W31" s="4">
        <v>5</v>
      </c>
    </row>
    <row r="32" spans="1:23">
      <c r="B32" s="2" t="s">
        <v>10</v>
      </c>
      <c r="L32" s="4">
        <v>8</v>
      </c>
      <c r="M32" s="4">
        <v>15</v>
      </c>
      <c r="N32" s="4">
        <v>11</v>
      </c>
      <c r="O32" s="4">
        <v>18</v>
      </c>
      <c r="P32" s="4">
        <v>0</v>
      </c>
      <c r="Q32" s="4">
        <v>16</v>
      </c>
      <c r="R32" s="4">
        <v>15</v>
      </c>
      <c r="S32" s="4">
        <v>12</v>
      </c>
      <c r="T32" s="4">
        <v>11</v>
      </c>
      <c r="U32" s="4">
        <v>13</v>
      </c>
      <c r="V32" s="4">
        <v>0</v>
      </c>
      <c r="W32" s="4">
        <v>22</v>
      </c>
    </row>
    <row r="33" spans="1:23">
      <c r="B33" s="2" t="s">
        <v>11</v>
      </c>
      <c r="L33" s="4" t="s">
        <v>23</v>
      </c>
      <c r="M33" s="4" t="s">
        <v>24</v>
      </c>
      <c r="N33" s="4" t="s">
        <v>25</v>
      </c>
      <c r="O33" s="4" t="s">
        <v>26</v>
      </c>
      <c r="P33" s="4" t="s">
        <v>27</v>
      </c>
      <c r="Q33" s="4" t="s">
        <v>28</v>
      </c>
      <c r="R33" s="4" t="s">
        <v>29</v>
      </c>
      <c r="S33" s="4" t="s">
        <v>30</v>
      </c>
      <c r="T33" s="4" t="s">
        <v>31</v>
      </c>
      <c r="U33" s="4" t="s">
        <v>32</v>
      </c>
      <c r="V33" s="4" t="s">
        <v>33</v>
      </c>
      <c r="W33" s="4" t="s">
        <v>34</v>
      </c>
    </row>
    <row r="34" spans="1:23">
      <c r="B34" t="s">
        <v>0</v>
      </c>
      <c r="L34" s="4">
        <v>4</v>
      </c>
      <c r="M34" s="4">
        <v>2</v>
      </c>
      <c r="N34" s="4">
        <v>6</v>
      </c>
      <c r="O34" s="4">
        <v>7</v>
      </c>
      <c r="P34" s="4">
        <v>0</v>
      </c>
      <c r="Q34" s="4">
        <v>8</v>
      </c>
      <c r="R34" s="4">
        <v>2</v>
      </c>
      <c r="S34" s="4">
        <v>3</v>
      </c>
      <c r="T34" s="4">
        <v>6</v>
      </c>
      <c r="U34" s="4">
        <v>8</v>
      </c>
      <c r="V34" s="4">
        <v>0</v>
      </c>
      <c r="W34" s="4">
        <v>5</v>
      </c>
    </row>
    <row r="35" spans="1:23">
      <c r="B35" s="2" t="s">
        <v>10</v>
      </c>
      <c r="L35" s="4">
        <v>8</v>
      </c>
      <c r="M35" s="4">
        <v>15</v>
      </c>
      <c r="N35" s="4">
        <v>11</v>
      </c>
      <c r="O35" s="4">
        <v>18</v>
      </c>
      <c r="P35" s="4">
        <v>0</v>
      </c>
      <c r="Q35" s="4">
        <v>16</v>
      </c>
      <c r="R35" s="4">
        <v>15</v>
      </c>
      <c r="S35" s="4">
        <v>12</v>
      </c>
      <c r="T35" s="4">
        <v>11</v>
      </c>
      <c r="U35" s="4">
        <v>13</v>
      </c>
      <c r="V35" s="4">
        <v>0</v>
      </c>
      <c r="W35" s="4">
        <v>22</v>
      </c>
    </row>
    <row r="36" spans="1:23">
      <c r="B36" s="2" t="s">
        <v>11</v>
      </c>
      <c r="L36" s="4" t="s">
        <v>23</v>
      </c>
      <c r="M36" s="4" t="s">
        <v>24</v>
      </c>
      <c r="N36" s="4" t="s">
        <v>25</v>
      </c>
      <c r="O36" s="4" t="s">
        <v>26</v>
      </c>
      <c r="P36" s="4" t="s">
        <v>27</v>
      </c>
      <c r="Q36" s="4" t="s">
        <v>28</v>
      </c>
      <c r="R36" s="4" t="s">
        <v>29</v>
      </c>
      <c r="S36" s="4" t="s">
        <v>30</v>
      </c>
      <c r="T36" s="4" t="s">
        <v>31</v>
      </c>
      <c r="U36" s="4" t="s">
        <v>32</v>
      </c>
      <c r="V36" s="4" t="s">
        <v>33</v>
      </c>
      <c r="W36" s="4" t="s">
        <v>34</v>
      </c>
    </row>
    <row r="37" spans="1:23">
      <c r="B37" t="s">
        <v>3</v>
      </c>
      <c r="I37" s="3"/>
      <c r="L37" s="4">
        <v>4</v>
      </c>
      <c r="M37" s="4">
        <v>2</v>
      </c>
      <c r="N37" s="4">
        <v>6</v>
      </c>
      <c r="O37" s="4">
        <v>7</v>
      </c>
      <c r="P37" s="4">
        <v>0</v>
      </c>
      <c r="Q37" s="4">
        <v>8</v>
      </c>
      <c r="R37" s="4">
        <v>2</v>
      </c>
      <c r="S37" s="4">
        <v>3</v>
      </c>
      <c r="T37" s="4">
        <v>6</v>
      </c>
      <c r="U37" s="4">
        <v>8</v>
      </c>
      <c r="V37" s="4">
        <v>0</v>
      </c>
      <c r="W37" s="4">
        <v>5</v>
      </c>
    </row>
    <row r="38" spans="1:23">
      <c r="L38" s="4">
        <v>8</v>
      </c>
      <c r="M38" s="4">
        <v>15</v>
      </c>
      <c r="N38" s="4">
        <v>11</v>
      </c>
      <c r="O38" s="4">
        <v>18</v>
      </c>
      <c r="P38" s="4">
        <v>0</v>
      </c>
      <c r="Q38" s="4">
        <v>16</v>
      </c>
      <c r="R38" s="4">
        <v>15</v>
      </c>
      <c r="S38" s="4">
        <v>12</v>
      </c>
      <c r="T38" s="4">
        <v>11</v>
      </c>
      <c r="U38" s="4">
        <v>13</v>
      </c>
      <c r="V38" s="4">
        <v>0</v>
      </c>
      <c r="W38" s="4">
        <v>22</v>
      </c>
    </row>
    <row r="39" spans="1:23">
      <c r="A39" t="s">
        <v>18</v>
      </c>
      <c r="B39" t="s">
        <v>14</v>
      </c>
      <c r="L39" s="4" t="s">
        <v>23</v>
      </c>
      <c r="M39" s="4" t="s">
        <v>24</v>
      </c>
      <c r="N39" s="4" t="s">
        <v>25</v>
      </c>
      <c r="O39" s="4" t="s">
        <v>26</v>
      </c>
      <c r="P39" s="4" t="s">
        <v>27</v>
      </c>
      <c r="Q39" s="4" t="s">
        <v>28</v>
      </c>
      <c r="R39" s="4" t="s">
        <v>29</v>
      </c>
      <c r="S39" s="4" t="s">
        <v>30</v>
      </c>
      <c r="T39" s="4" t="s">
        <v>31</v>
      </c>
      <c r="U39" s="4" t="s">
        <v>32</v>
      </c>
      <c r="V39" s="4" t="s">
        <v>33</v>
      </c>
      <c r="W39" s="4" t="s">
        <v>34</v>
      </c>
    </row>
    <row r="40" spans="1:23">
      <c r="A40" t="s">
        <v>19</v>
      </c>
      <c r="B40" t="s">
        <v>15</v>
      </c>
      <c r="L40" s="4">
        <v>4</v>
      </c>
      <c r="M40" s="4">
        <v>2</v>
      </c>
      <c r="N40" s="4">
        <v>6</v>
      </c>
      <c r="O40" s="4">
        <v>7</v>
      </c>
      <c r="P40" s="4">
        <v>0</v>
      </c>
      <c r="Q40" s="4">
        <v>8</v>
      </c>
      <c r="R40" s="4">
        <v>2</v>
      </c>
      <c r="S40" s="4">
        <v>3</v>
      </c>
      <c r="T40" s="4">
        <v>6</v>
      </c>
      <c r="U40" s="4">
        <v>8</v>
      </c>
      <c r="V40" s="4">
        <v>0</v>
      </c>
      <c r="W40" s="4">
        <v>5</v>
      </c>
    </row>
    <row r="41" spans="1:23">
      <c r="A41" t="s">
        <v>20</v>
      </c>
      <c r="B41" t="s">
        <v>16</v>
      </c>
      <c r="L41" s="4">
        <v>8</v>
      </c>
      <c r="M41" s="4">
        <v>15</v>
      </c>
      <c r="N41" s="4">
        <v>11</v>
      </c>
      <c r="O41" s="4">
        <v>18</v>
      </c>
      <c r="P41" s="4">
        <v>0</v>
      </c>
      <c r="Q41" s="4">
        <v>16</v>
      </c>
      <c r="R41" s="4">
        <v>15</v>
      </c>
      <c r="S41" s="4">
        <v>12</v>
      </c>
      <c r="T41" s="4">
        <v>11</v>
      </c>
      <c r="U41" s="4">
        <v>13</v>
      </c>
      <c r="V41" s="4">
        <v>0</v>
      </c>
      <c r="W41" s="4">
        <v>22</v>
      </c>
    </row>
    <row r="42" spans="1:23">
      <c r="L42" s="4" t="s">
        <v>23</v>
      </c>
      <c r="M42" s="4" t="s">
        <v>24</v>
      </c>
      <c r="N42" s="4" t="s">
        <v>25</v>
      </c>
      <c r="O42" s="4" t="s">
        <v>26</v>
      </c>
      <c r="P42" s="4" t="s">
        <v>27</v>
      </c>
      <c r="Q42" s="4" t="s">
        <v>28</v>
      </c>
      <c r="R42" s="4" t="s">
        <v>29</v>
      </c>
      <c r="S42" s="4" t="s">
        <v>30</v>
      </c>
      <c r="T42" s="4" t="s">
        <v>31</v>
      </c>
      <c r="U42" s="4" t="s">
        <v>32</v>
      </c>
      <c r="V42" s="4" t="s">
        <v>33</v>
      </c>
      <c r="W42" s="4" t="s">
        <v>34</v>
      </c>
    </row>
    <row r="43" spans="1:23">
      <c r="L43" s="4">
        <v>4</v>
      </c>
      <c r="M43" s="4">
        <v>2</v>
      </c>
      <c r="N43" s="4">
        <v>6</v>
      </c>
      <c r="O43" s="4">
        <v>7</v>
      </c>
      <c r="P43" s="4">
        <v>0</v>
      </c>
      <c r="Q43" s="4">
        <v>8</v>
      </c>
      <c r="R43" s="4">
        <v>2</v>
      </c>
      <c r="S43" s="4">
        <v>3</v>
      </c>
      <c r="T43" s="4">
        <v>6</v>
      </c>
      <c r="U43" s="4">
        <v>8</v>
      </c>
      <c r="V43" s="4">
        <v>0</v>
      </c>
      <c r="W43" s="4">
        <v>5</v>
      </c>
    </row>
    <row r="44" spans="1:23">
      <c r="L44" s="4">
        <v>8</v>
      </c>
      <c r="M44" s="4">
        <v>15</v>
      </c>
      <c r="N44" s="4">
        <v>11</v>
      </c>
      <c r="O44" s="4">
        <v>18</v>
      </c>
      <c r="P44" s="4">
        <v>0</v>
      </c>
      <c r="Q44" s="4">
        <v>16</v>
      </c>
      <c r="R44" s="4">
        <v>15</v>
      </c>
      <c r="S44" s="4">
        <v>12</v>
      </c>
      <c r="T44" s="4">
        <v>11</v>
      </c>
      <c r="U44" s="4">
        <v>13</v>
      </c>
      <c r="V44" s="4">
        <v>0</v>
      </c>
      <c r="W44" s="4">
        <v>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A2:W44"/>
  <sheetViews>
    <sheetView topLeftCell="I16" workbookViewId="0">
      <selection activeCell="L42" sqref="L42:W44"/>
    </sheetView>
  </sheetViews>
  <sheetFormatPr baseColWidth="10" defaultRowHeight="20"/>
  <sheetData>
    <row r="2" spans="2:18">
      <c r="B2" t="s">
        <v>21</v>
      </c>
      <c r="K2" t="s">
        <v>8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I4" t="s">
        <v>9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  <c r="R4" t="s">
        <v>9</v>
      </c>
    </row>
    <row r="5" spans="2:18">
      <c r="B5" s="2" t="s">
        <v>10</v>
      </c>
      <c r="C5">
        <v>4.5720000000000001</v>
      </c>
      <c r="D5">
        <v>4.2427000000000001</v>
      </c>
      <c r="E5">
        <v>5.3827999999999996</v>
      </c>
      <c r="F5">
        <v>5.2541000000000002</v>
      </c>
      <c r="G5">
        <v>4.8951000000000002</v>
      </c>
      <c r="H5">
        <v>5.1444000000000001</v>
      </c>
      <c r="I5">
        <v>5.5858999999999996</v>
      </c>
      <c r="K5" s="2" t="s">
        <v>10</v>
      </c>
    </row>
    <row r="6" spans="2:18">
      <c r="B6" s="2" t="s">
        <v>11</v>
      </c>
      <c r="C6">
        <v>5.1021999999999998</v>
      </c>
      <c r="D6">
        <v>5.1277999999999997</v>
      </c>
      <c r="E6">
        <v>5.5414000000000003</v>
      </c>
      <c r="F6">
        <v>5.3917000000000002</v>
      </c>
      <c r="G6">
        <v>5.165</v>
      </c>
      <c r="H6">
        <v>5.5772000000000004</v>
      </c>
      <c r="I6">
        <v>5.7493999999999996</v>
      </c>
      <c r="K6" s="2" t="s">
        <v>11</v>
      </c>
    </row>
    <row r="7" spans="2:18">
      <c r="B7" t="s">
        <v>1</v>
      </c>
      <c r="C7">
        <v>4.9843999999999999</v>
      </c>
      <c r="D7">
        <v>4.9181999999999997</v>
      </c>
      <c r="E7">
        <v>5.5084999999999997</v>
      </c>
      <c r="F7">
        <v>5.3632</v>
      </c>
      <c r="G7">
        <v>5.1074000000000002</v>
      </c>
      <c r="H7">
        <v>5.4832999999999998</v>
      </c>
      <c r="I7">
        <v>5.7153</v>
      </c>
      <c r="K7" t="s">
        <v>1</v>
      </c>
    </row>
    <row r="8" spans="2:18">
      <c r="B8" s="2" t="s">
        <v>10</v>
      </c>
      <c r="C8">
        <v>2.8319000000000001</v>
      </c>
      <c r="D8">
        <v>3.3260000000000001</v>
      </c>
      <c r="E8">
        <v>3.2902</v>
      </c>
      <c r="F8">
        <v>3.2225000000000001</v>
      </c>
      <c r="G8">
        <v>3.6078000000000001</v>
      </c>
      <c r="H8">
        <v>4.0536000000000003</v>
      </c>
      <c r="I8">
        <v>4.1436999999999999</v>
      </c>
      <c r="K8" s="2" t="s">
        <v>10</v>
      </c>
    </row>
    <row r="9" spans="2:18">
      <c r="B9" s="2" t="s">
        <v>11</v>
      </c>
      <c r="C9">
        <v>4.0101000000000004</v>
      </c>
      <c r="D9">
        <v>3.8355999999999999</v>
      </c>
      <c r="E9">
        <v>4.0434000000000001</v>
      </c>
      <c r="F9">
        <v>3.9470000000000001</v>
      </c>
      <c r="G9">
        <v>3.8896999999999999</v>
      </c>
      <c r="H9">
        <v>4.2657999999999996</v>
      </c>
      <c r="I9">
        <v>4.6349999999999998</v>
      </c>
      <c r="K9" s="2" t="s">
        <v>11</v>
      </c>
    </row>
    <row r="10" spans="2:18">
      <c r="B10" t="s">
        <v>22</v>
      </c>
      <c r="C10">
        <v>3.5289000000000001</v>
      </c>
      <c r="D10">
        <v>3.6530999999999998</v>
      </c>
      <c r="E10">
        <v>3.7618</v>
      </c>
      <c r="F10">
        <v>3.6772999999999998</v>
      </c>
      <c r="G10">
        <v>3.7921</v>
      </c>
      <c r="H10">
        <v>4.1938000000000004</v>
      </c>
      <c r="I10">
        <v>4.4619</v>
      </c>
      <c r="K10" t="s">
        <v>22</v>
      </c>
    </row>
    <row r="11" spans="2:18">
      <c r="B11" s="2" t="s">
        <v>10</v>
      </c>
      <c r="C11">
        <v>1.8085</v>
      </c>
      <c r="D11">
        <v>2.4868999999999999</v>
      </c>
      <c r="E11">
        <v>2.3401999999999998</v>
      </c>
      <c r="F11">
        <v>2.1974999999999998</v>
      </c>
      <c r="G11">
        <v>2.4239000000000002</v>
      </c>
      <c r="H11">
        <v>3.5207000000000002</v>
      </c>
      <c r="I11">
        <v>4.6935000000000002</v>
      </c>
      <c r="K11" s="2" t="s">
        <v>10</v>
      </c>
    </row>
    <row r="12" spans="2:18">
      <c r="B12" s="2" t="s">
        <v>11</v>
      </c>
      <c r="C12">
        <v>2.2902</v>
      </c>
      <c r="D12">
        <v>3.5769000000000002</v>
      </c>
      <c r="E12">
        <v>3.0428999999999999</v>
      </c>
      <c r="F12">
        <v>2.8921999999999999</v>
      </c>
      <c r="G12">
        <v>3.3206000000000002</v>
      </c>
      <c r="H12">
        <v>5.0483000000000002</v>
      </c>
      <c r="I12">
        <v>5.5744999999999996</v>
      </c>
      <c r="K12" s="2" t="s">
        <v>11</v>
      </c>
    </row>
    <row r="13" spans="2:18">
      <c r="B13" t="s">
        <v>2</v>
      </c>
      <c r="C13">
        <v>2.1762000000000001</v>
      </c>
      <c r="D13">
        <v>3.2961</v>
      </c>
      <c r="E13">
        <v>2.8734000000000002</v>
      </c>
      <c r="F13">
        <v>2.7229999999999999</v>
      </c>
      <c r="G13">
        <v>3.0945</v>
      </c>
      <c r="H13">
        <v>4.6534000000000004</v>
      </c>
      <c r="I13">
        <v>5.3772000000000002</v>
      </c>
      <c r="K13" t="s">
        <v>2</v>
      </c>
    </row>
    <row r="14" spans="2:18">
      <c r="B14" s="2" t="s">
        <v>10</v>
      </c>
      <c r="C14">
        <v>4.5647000000000002</v>
      </c>
      <c r="D14">
        <v>5.0378999999999996</v>
      </c>
      <c r="E14">
        <v>5.2142999999999997</v>
      </c>
      <c r="F14">
        <v>5.1351000000000004</v>
      </c>
      <c r="G14">
        <v>5.3118999999999996</v>
      </c>
      <c r="H14">
        <v>5.8776999999999999</v>
      </c>
      <c r="I14">
        <v>6.2218999999999998</v>
      </c>
      <c r="K14" s="2" t="s">
        <v>10</v>
      </c>
    </row>
    <row r="15" spans="2:18">
      <c r="B15" s="2" t="s">
        <v>11</v>
      </c>
      <c r="C15">
        <v>5.8277999999999999</v>
      </c>
      <c r="D15">
        <v>6.2285000000000004</v>
      </c>
      <c r="E15">
        <v>6.2962999999999996</v>
      </c>
      <c r="F15">
        <v>6.1426999999999996</v>
      </c>
      <c r="G15">
        <v>6.1475999999999997</v>
      </c>
      <c r="H15">
        <v>6.8620000000000001</v>
      </c>
      <c r="I15">
        <v>7.1394000000000002</v>
      </c>
      <c r="K15" s="2" t="s">
        <v>11</v>
      </c>
    </row>
    <row r="16" spans="2:18">
      <c r="B16" t="s">
        <v>3</v>
      </c>
      <c r="C16">
        <v>5.4518000000000004</v>
      </c>
      <c r="D16">
        <v>5.8829000000000002</v>
      </c>
      <c r="E16">
        <v>5.9874000000000001</v>
      </c>
      <c r="F16">
        <v>5.8560999999999996</v>
      </c>
      <c r="G16">
        <v>5.9149000000000003</v>
      </c>
      <c r="H16">
        <v>6.5891000000000002</v>
      </c>
      <c r="I16">
        <v>6.8859000000000004</v>
      </c>
      <c r="K16" t="s">
        <v>3</v>
      </c>
    </row>
    <row r="18" spans="1:23">
      <c r="A18" t="s">
        <v>18</v>
      </c>
      <c r="B18" t="s">
        <v>14</v>
      </c>
      <c r="J18" t="s">
        <v>18</v>
      </c>
      <c r="K18" t="s">
        <v>14</v>
      </c>
    </row>
    <row r="19" spans="1:23">
      <c r="A19" t="s">
        <v>19</v>
      </c>
      <c r="B19" t="s">
        <v>15</v>
      </c>
      <c r="J19" t="s">
        <v>19</v>
      </c>
      <c r="K19" t="s">
        <v>15</v>
      </c>
    </row>
    <row r="20" spans="1:23">
      <c r="A20" t="s">
        <v>20</v>
      </c>
      <c r="B20" t="s">
        <v>16</v>
      </c>
      <c r="J20" t="s">
        <v>20</v>
      </c>
      <c r="K20" t="s">
        <v>16</v>
      </c>
    </row>
    <row r="23" spans="1:23">
      <c r="B23" t="s">
        <v>12</v>
      </c>
    </row>
    <row r="24" spans="1:23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L24" s="4" t="s">
        <v>23</v>
      </c>
      <c r="M24" s="4" t="s">
        <v>24</v>
      </c>
      <c r="N24" s="4" t="s">
        <v>25</v>
      </c>
      <c r="O24" s="4" t="s">
        <v>26</v>
      </c>
      <c r="P24" s="4" t="s">
        <v>27</v>
      </c>
      <c r="Q24" s="4" t="s">
        <v>28</v>
      </c>
      <c r="R24" s="4" t="s">
        <v>29</v>
      </c>
      <c r="S24" s="4" t="s">
        <v>30</v>
      </c>
      <c r="T24" s="4" t="s">
        <v>31</v>
      </c>
      <c r="U24" s="4" t="s">
        <v>32</v>
      </c>
      <c r="V24" s="4" t="s">
        <v>33</v>
      </c>
      <c r="W24" s="4" t="s">
        <v>34</v>
      </c>
    </row>
    <row r="25" spans="1:23">
      <c r="C25" t="s">
        <v>6</v>
      </c>
      <c r="D25" t="s">
        <v>7</v>
      </c>
      <c r="E25" s="1">
        <v>0.2</v>
      </c>
      <c r="F25" s="1">
        <v>0.4</v>
      </c>
      <c r="G25" t="s">
        <v>4</v>
      </c>
      <c r="H25" t="s">
        <v>5</v>
      </c>
      <c r="I25" t="s">
        <v>9</v>
      </c>
      <c r="L25" s="4">
        <v>5</v>
      </c>
      <c r="M25" s="4">
        <v>3</v>
      </c>
      <c r="N25" s="4">
        <v>5</v>
      </c>
      <c r="O25" s="4">
        <v>10</v>
      </c>
      <c r="P25" s="4">
        <v>0</v>
      </c>
      <c r="Q25" s="4">
        <v>6</v>
      </c>
      <c r="R25" s="4">
        <v>4</v>
      </c>
      <c r="S25" s="4">
        <v>3</v>
      </c>
      <c r="T25" s="4">
        <v>1</v>
      </c>
      <c r="U25" s="4">
        <v>5</v>
      </c>
      <c r="V25" s="4">
        <v>0</v>
      </c>
      <c r="W25" s="4">
        <v>5</v>
      </c>
    </row>
    <row r="26" spans="1:23">
      <c r="B26" s="2" t="s">
        <v>10</v>
      </c>
      <c r="L26" s="4">
        <v>11</v>
      </c>
      <c r="M26" s="4">
        <v>13</v>
      </c>
      <c r="N26" s="4">
        <v>9</v>
      </c>
      <c r="O26" s="4">
        <v>15</v>
      </c>
      <c r="P26" s="4">
        <v>0</v>
      </c>
      <c r="Q26" s="4">
        <v>18</v>
      </c>
      <c r="R26" s="4">
        <v>9</v>
      </c>
      <c r="S26" s="4">
        <v>10</v>
      </c>
      <c r="T26" s="4">
        <v>20</v>
      </c>
      <c r="U26" s="4">
        <v>17</v>
      </c>
      <c r="V26" s="4">
        <v>0</v>
      </c>
      <c r="W26" s="4">
        <v>20</v>
      </c>
    </row>
    <row r="27" spans="1:23">
      <c r="B27" s="2" t="s">
        <v>11</v>
      </c>
      <c r="L27" s="4" t="s">
        <v>23</v>
      </c>
      <c r="M27" s="4" t="s">
        <v>24</v>
      </c>
      <c r="N27" s="4" t="s">
        <v>25</v>
      </c>
      <c r="O27" s="4" t="s">
        <v>26</v>
      </c>
      <c r="P27" s="4" t="s">
        <v>27</v>
      </c>
      <c r="Q27" s="4" t="s">
        <v>28</v>
      </c>
      <c r="R27" s="4" t="s">
        <v>29</v>
      </c>
      <c r="S27" s="4" t="s">
        <v>30</v>
      </c>
      <c r="T27" s="4" t="s">
        <v>31</v>
      </c>
      <c r="U27" s="4" t="s">
        <v>32</v>
      </c>
      <c r="V27" s="4" t="s">
        <v>33</v>
      </c>
      <c r="W27" s="4" t="s">
        <v>34</v>
      </c>
    </row>
    <row r="28" spans="1:23">
      <c r="B28" t="s">
        <v>1</v>
      </c>
      <c r="L28" s="4">
        <v>5</v>
      </c>
      <c r="M28" s="4">
        <v>3</v>
      </c>
      <c r="N28" s="4">
        <v>5</v>
      </c>
      <c r="O28" s="4">
        <v>10</v>
      </c>
      <c r="P28" s="4">
        <v>0</v>
      </c>
      <c r="Q28" s="4">
        <v>6</v>
      </c>
      <c r="R28" s="4">
        <v>3</v>
      </c>
      <c r="S28" s="4">
        <v>3</v>
      </c>
      <c r="T28" s="4">
        <v>1</v>
      </c>
      <c r="U28" s="4">
        <v>5</v>
      </c>
      <c r="V28" s="4">
        <v>0</v>
      </c>
      <c r="W28" s="4">
        <v>5</v>
      </c>
    </row>
    <row r="29" spans="1:23">
      <c r="B29" s="2" t="s">
        <v>10</v>
      </c>
      <c r="L29" s="4">
        <v>11</v>
      </c>
      <c r="M29" s="4">
        <v>14</v>
      </c>
      <c r="N29" s="4">
        <v>9</v>
      </c>
      <c r="O29" s="4">
        <v>15</v>
      </c>
      <c r="P29" s="4">
        <v>0</v>
      </c>
      <c r="Q29" s="4">
        <v>18</v>
      </c>
      <c r="R29" s="4">
        <v>8</v>
      </c>
      <c r="S29" s="4">
        <v>10</v>
      </c>
      <c r="T29" s="4">
        <v>20</v>
      </c>
      <c r="U29" s="4">
        <v>16</v>
      </c>
      <c r="V29" s="4">
        <v>0</v>
      </c>
      <c r="W29" s="4">
        <v>19</v>
      </c>
    </row>
    <row r="30" spans="1:23">
      <c r="B30" s="2" t="s">
        <v>11</v>
      </c>
      <c r="L30" s="4" t="s">
        <v>23</v>
      </c>
      <c r="M30" s="4" t="s">
        <v>24</v>
      </c>
      <c r="N30" s="4" t="s">
        <v>25</v>
      </c>
      <c r="O30" s="4" t="s">
        <v>26</v>
      </c>
      <c r="P30" s="4" t="s">
        <v>27</v>
      </c>
      <c r="Q30" s="4" t="s">
        <v>28</v>
      </c>
      <c r="R30" s="4" t="s">
        <v>29</v>
      </c>
      <c r="S30" s="4" t="s">
        <v>30</v>
      </c>
      <c r="T30" s="4" t="s">
        <v>31</v>
      </c>
      <c r="U30" s="4" t="s">
        <v>32</v>
      </c>
      <c r="V30" s="4" t="s">
        <v>33</v>
      </c>
      <c r="W30" s="4" t="s">
        <v>34</v>
      </c>
    </row>
    <row r="31" spans="1:23">
      <c r="B31" t="s">
        <v>2</v>
      </c>
      <c r="L31" s="4">
        <v>5</v>
      </c>
      <c r="M31" s="4">
        <v>3</v>
      </c>
      <c r="N31" s="4">
        <v>4</v>
      </c>
      <c r="O31" s="4">
        <v>10</v>
      </c>
      <c r="P31" s="4">
        <v>0</v>
      </c>
      <c r="Q31" s="4">
        <v>6</v>
      </c>
      <c r="R31" s="4">
        <v>4</v>
      </c>
      <c r="S31" s="4">
        <v>3</v>
      </c>
      <c r="T31" s="4">
        <v>1</v>
      </c>
      <c r="U31" s="4">
        <v>5</v>
      </c>
      <c r="V31" s="4">
        <v>0</v>
      </c>
      <c r="W31" s="4">
        <v>5</v>
      </c>
    </row>
    <row r="32" spans="1:23">
      <c r="B32" s="2" t="s">
        <v>10</v>
      </c>
      <c r="L32" s="4">
        <v>11</v>
      </c>
      <c r="M32" s="4">
        <v>13</v>
      </c>
      <c r="N32" s="4">
        <v>9</v>
      </c>
      <c r="O32" s="4">
        <v>15</v>
      </c>
      <c r="P32" s="4">
        <v>0</v>
      </c>
      <c r="Q32" s="4">
        <v>18</v>
      </c>
      <c r="R32" s="4">
        <v>9</v>
      </c>
      <c r="S32" s="4">
        <v>10</v>
      </c>
      <c r="T32" s="4">
        <v>20</v>
      </c>
      <c r="U32" s="4">
        <v>17</v>
      </c>
      <c r="V32" s="4">
        <v>0</v>
      </c>
      <c r="W32" s="4">
        <v>20</v>
      </c>
    </row>
    <row r="33" spans="1:23">
      <c r="B33" s="2" t="s">
        <v>11</v>
      </c>
      <c r="L33" s="4" t="s">
        <v>23</v>
      </c>
      <c r="M33" s="4" t="s">
        <v>24</v>
      </c>
      <c r="N33" s="4" t="s">
        <v>25</v>
      </c>
      <c r="O33" s="4" t="s">
        <v>26</v>
      </c>
      <c r="P33" s="4" t="s">
        <v>27</v>
      </c>
      <c r="Q33" s="4" t="s">
        <v>28</v>
      </c>
      <c r="R33" s="4" t="s">
        <v>29</v>
      </c>
      <c r="S33" s="4" t="s">
        <v>30</v>
      </c>
      <c r="T33" s="4" t="s">
        <v>31</v>
      </c>
      <c r="U33" s="4" t="s">
        <v>32</v>
      </c>
      <c r="V33" s="4" t="s">
        <v>33</v>
      </c>
      <c r="W33" s="4" t="s">
        <v>34</v>
      </c>
    </row>
    <row r="34" spans="1:23">
      <c r="B34" t="s">
        <v>0</v>
      </c>
      <c r="L34" s="4">
        <v>5</v>
      </c>
      <c r="M34" s="4">
        <v>3</v>
      </c>
      <c r="N34" s="4">
        <v>5</v>
      </c>
      <c r="O34" s="4">
        <v>10</v>
      </c>
      <c r="P34" s="4">
        <v>0</v>
      </c>
      <c r="Q34" s="4">
        <v>6</v>
      </c>
      <c r="R34" s="4">
        <v>4</v>
      </c>
      <c r="S34" s="4">
        <v>3</v>
      </c>
      <c r="T34" s="4">
        <v>1</v>
      </c>
      <c r="U34" s="4">
        <v>5</v>
      </c>
      <c r="V34" s="4">
        <v>0</v>
      </c>
      <c r="W34" s="4">
        <v>5</v>
      </c>
    </row>
    <row r="35" spans="1:23">
      <c r="B35" s="2" t="s">
        <v>10</v>
      </c>
      <c r="L35" s="4">
        <v>11</v>
      </c>
      <c r="M35" s="4">
        <v>13</v>
      </c>
      <c r="N35" s="4">
        <v>9</v>
      </c>
      <c r="O35" s="4">
        <v>15</v>
      </c>
      <c r="P35" s="4">
        <v>0</v>
      </c>
      <c r="Q35" s="4">
        <v>18</v>
      </c>
      <c r="R35" s="4">
        <v>9</v>
      </c>
      <c r="S35" s="4">
        <v>10</v>
      </c>
      <c r="T35" s="4">
        <v>20</v>
      </c>
      <c r="U35" s="4">
        <v>17</v>
      </c>
      <c r="V35" s="4">
        <v>0</v>
      </c>
      <c r="W35" s="4">
        <v>20</v>
      </c>
    </row>
    <row r="36" spans="1:23">
      <c r="B36" s="2" t="s">
        <v>11</v>
      </c>
      <c r="L36" s="4" t="s">
        <v>23</v>
      </c>
      <c r="M36" s="4" t="s">
        <v>24</v>
      </c>
      <c r="N36" s="4" t="s">
        <v>25</v>
      </c>
      <c r="O36" s="4" t="s">
        <v>26</v>
      </c>
      <c r="P36" s="4" t="s">
        <v>27</v>
      </c>
      <c r="Q36" s="4" t="s">
        <v>28</v>
      </c>
      <c r="R36" s="4" t="s">
        <v>29</v>
      </c>
      <c r="S36" s="4" t="s">
        <v>30</v>
      </c>
      <c r="T36" s="4" t="s">
        <v>31</v>
      </c>
      <c r="U36" s="4" t="s">
        <v>32</v>
      </c>
      <c r="V36" s="4" t="s">
        <v>33</v>
      </c>
      <c r="W36" s="4" t="s">
        <v>34</v>
      </c>
    </row>
    <row r="37" spans="1:23">
      <c r="B37" t="s">
        <v>3</v>
      </c>
      <c r="H37" s="3"/>
      <c r="L37" s="4">
        <v>5</v>
      </c>
      <c r="M37" s="4">
        <v>3</v>
      </c>
      <c r="N37" s="4">
        <v>5</v>
      </c>
      <c r="O37" s="4">
        <v>10</v>
      </c>
      <c r="P37" s="4">
        <v>0</v>
      </c>
      <c r="Q37" s="4">
        <v>6</v>
      </c>
      <c r="R37" s="4">
        <v>4</v>
      </c>
      <c r="S37" s="4">
        <v>3</v>
      </c>
      <c r="T37" s="4">
        <v>1</v>
      </c>
      <c r="U37" s="4">
        <v>5</v>
      </c>
      <c r="V37" s="4">
        <v>0</v>
      </c>
      <c r="W37" s="4">
        <v>5</v>
      </c>
    </row>
    <row r="38" spans="1:23">
      <c r="L38" s="4">
        <v>11</v>
      </c>
      <c r="M38" s="4">
        <v>13</v>
      </c>
      <c r="N38" s="4">
        <v>9</v>
      </c>
      <c r="O38" s="4">
        <v>15</v>
      </c>
      <c r="P38" s="4">
        <v>0</v>
      </c>
      <c r="Q38" s="4">
        <v>18</v>
      </c>
      <c r="R38" s="4">
        <v>9</v>
      </c>
      <c r="S38" s="4">
        <v>10</v>
      </c>
      <c r="T38" s="4">
        <v>20</v>
      </c>
      <c r="U38" s="4">
        <v>17</v>
      </c>
      <c r="V38" s="4">
        <v>0</v>
      </c>
      <c r="W38" s="4">
        <v>20</v>
      </c>
    </row>
    <row r="39" spans="1:23">
      <c r="A39" t="s">
        <v>18</v>
      </c>
      <c r="B39" t="s">
        <v>14</v>
      </c>
      <c r="L39" s="4" t="s">
        <v>23</v>
      </c>
      <c r="M39" s="4" t="s">
        <v>24</v>
      </c>
      <c r="N39" s="4" t="s">
        <v>25</v>
      </c>
      <c r="O39" s="4" t="s">
        <v>26</v>
      </c>
      <c r="P39" s="4" t="s">
        <v>27</v>
      </c>
      <c r="Q39" s="4" t="s">
        <v>28</v>
      </c>
      <c r="R39" s="4" t="s">
        <v>29</v>
      </c>
      <c r="S39" s="4" t="s">
        <v>30</v>
      </c>
      <c r="T39" s="4" t="s">
        <v>31</v>
      </c>
      <c r="U39" s="4" t="s">
        <v>32</v>
      </c>
      <c r="V39" s="4" t="s">
        <v>33</v>
      </c>
      <c r="W39" s="4" t="s">
        <v>34</v>
      </c>
    </row>
    <row r="40" spans="1:23">
      <c r="A40" t="s">
        <v>19</v>
      </c>
      <c r="B40" t="s">
        <v>15</v>
      </c>
      <c r="L40" s="4">
        <v>5</v>
      </c>
      <c r="M40" s="4">
        <v>3</v>
      </c>
      <c r="N40" s="4">
        <v>4</v>
      </c>
      <c r="O40" s="4">
        <v>10</v>
      </c>
      <c r="P40" s="4">
        <v>0</v>
      </c>
      <c r="Q40" s="4">
        <v>6</v>
      </c>
      <c r="R40" s="4">
        <v>4</v>
      </c>
      <c r="S40" s="4">
        <v>3</v>
      </c>
      <c r="T40" s="4">
        <v>1</v>
      </c>
      <c r="U40" s="4">
        <v>5</v>
      </c>
      <c r="V40" s="4">
        <v>0</v>
      </c>
      <c r="W40" s="4">
        <v>5</v>
      </c>
    </row>
    <row r="41" spans="1:23">
      <c r="A41" t="s">
        <v>20</v>
      </c>
      <c r="B41" t="s">
        <v>16</v>
      </c>
      <c r="L41" s="4">
        <v>11</v>
      </c>
      <c r="M41" s="4">
        <v>13</v>
      </c>
      <c r="N41" s="4">
        <v>9</v>
      </c>
      <c r="O41" s="4">
        <v>15</v>
      </c>
      <c r="P41" s="4">
        <v>0</v>
      </c>
      <c r="Q41" s="4">
        <v>18</v>
      </c>
      <c r="R41" s="4">
        <v>9</v>
      </c>
      <c r="S41" s="4">
        <v>10</v>
      </c>
      <c r="T41" s="4">
        <v>20</v>
      </c>
      <c r="U41" s="4">
        <v>17</v>
      </c>
      <c r="V41" s="4">
        <v>0</v>
      </c>
      <c r="W41" s="4">
        <v>20</v>
      </c>
    </row>
    <row r="42" spans="1:23">
      <c r="L42" s="4" t="s">
        <v>23</v>
      </c>
      <c r="M42" s="4" t="s">
        <v>24</v>
      </c>
      <c r="N42" s="4" t="s">
        <v>25</v>
      </c>
      <c r="O42" s="4" t="s">
        <v>26</v>
      </c>
      <c r="P42" s="4" t="s">
        <v>27</v>
      </c>
      <c r="Q42" s="4" t="s">
        <v>28</v>
      </c>
      <c r="R42" s="4" t="s">
        <v>29</v>
      </c>
      <c r="S42" s="4" t="s">
        <v>30</v>
      </c>
      <c r="T42" s="4" t="s">
        <v>31</v>
      </c>
      <c r="U42" s="4" t="s">
        <v>32</v>
      </c>
      <c r="V42" s="4" t="s">
        <v>33</v>
      </c>
      <c r="W42" s="4" t="s">
        <v>34</v>
      </c>
    </row>
    <row r="43" spans="1:23">
      <c r="L43" s="4">
        <v>5</v>
      </c>
      <c r="M43" s="4">
        <v>3</v>
      </c>
      <c r="N43" s="4">
        <v>5</v>
      </c>
      <c r="O43" s="4">
        <v>10</v>
      </c>
      <c r="P43" s="4">
        <v>0</v>
      </c>
      <c r="Q43" s="4">
        <v>6</v>
      </c>
      <c r="R43" s="4">
        <v>4</v>
      </c>
      <c r="S43" s="4">
        <v>3</v>
      </c>
      <c r="T43" s="4">
        <v>1</v>
      </c>
      <c r="U43" s="4">
        <v>5</v>
      </c>
      <c r="V43" s="4">
        <v>0</v>
      </c>
      <c r="W43" s="4">
        <v>5</v>
      </c>
    </row>
    <row r="44" spans="1:23">
      <c r="L44" s="4">
        <v>11</v>
      </c>
      <c r="M44" s="4">
        <v>14</v>
      </c>
      <c r="N44" s="4">
        <v>9</v>
      </c>
      <c r="O44" s="4">
        <v>14</v>
      </c>
      <c r="P44" s="4">
        <v>0</v>
      </c>
      <c r="Q44" s="4">
        <v>18</v>
      </c>
      <c r="R44" s="4">
        <v>9</v>
      </c>
      <c r="S44" s="4">
        <v>10</v>
      </c>
      <c r="T44" s="4">
        <v>20</v>
      </c>
      <c r="U44" s="4">
        <v>17</v>
      </c>
      <c r="V44" s="4">
        <v>0</v>
      </c>
      <c r="W44" s="4">
        <v>20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A2:W44"/>
  <sheetViews>
    <sheetView topLeftCell="H17" workbookViewId="0">
      <selection activeCell="L42" sqref="L42:W44"/>
    </sheetView>
  </sheetViews>
  <sheetFormatPr baseColWidth="10" defaultRowHeight="20"/>
  <sheetData>
    <row r="2" spans="2:18">
      <c r="B2" t="s">
        <v>21</v>
      </c>
      <c r="K2" t="s">
        <v>8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I4" t="s">
        <v>9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  <c r="R4" t="s">
        <v>9</v>
      </c>
    </row>
    <row r="5" spans="2:18">
      <c r="B5" s="2" t="s">
        <v>10</v>
      </c>
      <c r="C5">
        <v>3.3485999999999998</v>
      </c>
      <c r="D5">
        <v>2.6267</v>
      </c>
      <c r="E5">
        <v>2.8809</v>
      </c>
      <c r="F5">
        <v>2.5261</v>
      </c>
      <c r="G5">
        <v>4.0846999999999998</v>
      </c>
      <c r="H5">
        <v>3.9645999999999999</v>
      </c>
      <c r="I5">
        <v>3.6301000000000001</v>
      </c>
      <c r="K5" s="2" t="s">
        <v>10</v>
      </c>
    </row>
    <row r="6" spans="2:18">
      <c r="B6" s="2" t="s">
        <v>11</v>
      </c>
      <c r="C6">
        <v>3.8513999999999999</v>
      </c>
      <c r="D6">
        <v>3.2631000000000001</v>
      </c>
      <c r="E6">
        <v>3.4859</v>
      </c>
      <c r="F6">
        <v>3.7067999999999999</v>
      </c>
      <c r="G6">
        <v>4.1741999999999999</v>
      </c>
      <c r="H6">
        <v>4.5872999999999999</v>
      </c>
      <c r="I6">
        <v>4.4682000000000004</v>
      </c>
      <c r="K6" s="2" t="s">
        <v>11</v>
      </c>
    </row>
    <row r="7" spans="2:18">
      <c r="B7" t="s">
        <v>1</v>
      </c>
      <c r="C7">
        <v>3.6686000000000001</v>
      </c>
      <c r="D7">
        <v>3.0225</v>
      </c>
      <c r="E7">
        <v>3.2582</v>
      </c>
      <c r="F7">
        <v>3.2119</v>
      </c>
      <c r="G7">
        <v>4.1437999999999997</v>
      </c>
      <c r="H7">
        <v>4.3579999999999997</v>
      </c>
      <c r="I7">
        <v>4.1479999999999997</v>
      </c>
      <c r="K7" t="s">
        <v>1</v>
      </c>
    </row>
    <row r="8" spans="2:18">
      <c r="B8" s="2" t="s">
        <v>10</v>
      </c>
      <c r="C8">
        <v>2.5775000000000001</v>
      </c>
      <c r="D8">
        <v>2.2136999999999998</v>
      </c>
      <c r="E8">
        <v>2.4180999999999999</v>
      </c>
      <c r="F8">
        <v>2.3153999999999999</v>
      </c>
      <c r="G8">
        <v>3.2134</v>
      </c>
      <c r="H8">
        <v>3.1977000000000002</v>
      </c>
      <c r="I8">
        <v>2.8290999999999999</v>
      </c>
      <c r="K8" s="2" t="s">
        <v>10</v>
      </c>
    </row>
    <row r="9" spans="2:18">
      <c r="B9" s="2" t="s">
        <v>11</v>
      </c>
      <c r="C9">
        <v>3.3332999999999999</v>
      </c>
      <c r="D9">
        <v>2.8902000000000001</v>
      </c>
      <c r="E9">
        <v>3.2576999999999998</v>
      </c>
      <c r="F9">
        <v>2.8403</v>
      </c>
      <c r="G9">
        <v>3.8283999999999998</v>
      </c>
      <c r="H9">
        <v>3.6720000000000002</v>
      </c>
      <c r="I9">
        <v>3.4790999999999999</v>
      </c>
      <c r="K9" s="2" t="s">
        <v>11</v>
      </c>
    </row>
    <row r="10" spans="2:18">
      <c r="B10" t="s">
        <v>22</v>
      </c>
      <c r="C10">
        <v>3.1362999999999999</v>
      </c>
      <c r="D10">
        <v>2.7153999999999998</v>
      </c>
      <c r="E10">
        <v>3.0337000000000001</v>
      </c>
      <c r="F10">
        <v>2.7111000000000001</v>
      </c>
      <c r="G10">
        <v>3.6776</v>
      </c>
      <c r="H10">
        <v>3.5590999999999999</v>
      </c>
      <c r="I10">
        <v>3.3157999999999999</v>
      </c>
      <c r="K10" t="s">
        <v>22</v>
      </c>
    </row>
    <row r="11" spans="2:18">
      <c r="B11" s="2" t="s">
        <v>10</v>
      </c>
      <c r="C11">
        <v>2.5701000000000001</v>
      </c>
      <c r="D11">
        <v>3.2692999999999999</v>
      </c>
      <c r="E11">
        <v>2.1318000000000001</v>
      </c>
      <c r="F11">
        <v>3.3755999999999999</v>
      </c>
      <c r="G11">
        <v>3.2774999999999999</v>
      </c>
      <c r="H11">
        <v>3.6629999999999998</v>
      </c>
      <c r="I11">
        <v>3.7673999999999999</v>
      </c>
      <c r="K11" s="2" t="s">
        <v>10</v>
      </c>
    </row>
    <row r="12" spans="2:18">
      <c r="B12" s="2" t="s">
        <v>11</v>
      </c>
      <c r="C12">
        <v>2.7427000000000001</v>
      </c>
      <c r="D12">
        <v>3.1221999999999999</v>
      </c>
      <c r="E12">
        <v>2.6044999999999998</v>
      </c>
      <c r="F12">
        <v>2.2444000000000002</v>
      </c>
      <c r="G12">
        <v>3.7299000000000002</v>
      </c>
      <c r="H12">
        <v>3.7833999999999999</v>
      </c>
      <c r="I12">
        <v>3.8492000000000002</v>
      </c>
      <c r="K12" s="2" t="s">
        <v>11</v>
      </c>
    </row>
    <row r="13" spans="2:18">
      <c r="B13" t="s">
        <v>2</v>
      </c>
      <c r="C13">
        <v>2.6829000000000001</v>
      </c>
      <c r="D13">
        <v>3.1696</v>
      </c>
      <c r="E13">
        <v>2.4258999999999999</v>
      </c>
      <c r="F13">
        <v>2.5272000000000001</v>
      </c>
      <c r="G13">
        <v>3.5670999999999999</v>
      </c>
      <c r="H13">
        <v>3.7427000000000001</v>
      </c>
      <c r="I13">
        <v>3.8216999999999999</v>
      </c>
      <c r="K13" t="s">
        <v>2</v>
      </c>
    </row>
    <row r="14" spans="2:18">
      <c r="B14" s="2" t="s">
        <v>10</v>
      </c>
      <c r="C14">
        <v>4.2893999999999997</v>
      </c>
      <c r="D14">
        <v>3.9838</v>
      </c>
      <c r="E14">
        <v>3.9472</v>
      </c>
      <c r="F14">
        <v>3.9567000000000001</v>
      </c>
      <c r="G14">
        <v>5.1509999999999998</v>
      </c>
      <c r="H14">
        <v>5.1740000000000004</v>
      </c>
      <c r="I14">
        <v>4.9241999999999999</v>
      </c>
      <c r="K14" s="2" t="s">
        <v>10</v>
      </c>
    </row>
    <row r="15" spans="2:18">
      <c r="B15" s="2" t="s">
        <v>11</v>
      </c>
      <c r="C15">
        <v>5.1237000000000004</v>
      </c>
      <c r="D15">
        <v>4.7511000000000001</v>
      </c>
      <c r="E15">
        <v>4.9688999999999997</v>
      </c>
      <c r="F15">
        <v>4.6318000000000001</v>
      </c>
      <c r="G15">
        <v>5.7348999999999997</v>
      </c>
      <c r="H15">
        <v>5.8537999999999997</v>
      </c>
      <c r="I15">
        <v>5.6821999999999999</v>
      </c>
      <c r="K15" s="2" t="s">
        <v>11</v>
      </c>
    </row>
    <row r="16" spans="2:18">
      <c r="B16" t="s">
        <v>3</v>
      </c>
      <c r="C16">
        <v>4.8627000000000002</v>
      </c>
      <c r="D16">
        <v>4.5126999999999997</v>
      </c>
      <c r="E16">
        <v>4.6364999999999998</v>
      </c>
      <c r="F16">
        <v>4.4260000000000002</v>
      </c>
      <c r="G16">
        <v>5.5589000000000004</v>
      </c>
      <c r="H16">
        <v>5.6487999999999996</v>
      </c>
      <c r="I16">
        <v>5.4466000000000001</v>
      </c>
      <c r="K16" t="s">
        <v>3</v>
      </c>
    </row>
    <row r="18" spans="1:23">
      <c r="A18" t="s">
        <v>18</v>
      </c>
      <c r="B18" t="s">
        <v>14</v>
      </c>
      <c r="J18" t="s">
        <v>18</v>
      </c>
      <c r="K18" t="s">
        <v>14</v>
      </c>
    </row>
    <row r="19" spans="1:23">
      <c r="A19" t="s">
        <v>19</v>
      </c>
      <c r="B19" t="s">
        <v>15</v>
      </c>
      <c r="J19" t="s">
        <v>19</v>
      </c>
      <c r="K19" t="s">
        <v>15</v>
      </c>
    </row>
    <row r="20" spans="1:23">
      <c r="A20" t="s">
        <v>20</v>
      </c>
      <c r="B20" t="s">
        <v>16</v>
      </c>
      <c r="J20" t="s">
        <v>20</v>
      </c>
      <c r="K20" t="s">
        <v>16</v>
      </c>
    </row>
    <row r="23" spans="1:23">
      <c r="B23" t="s">
        <v>12</v>
      </c>
    </row>
    <row r="24" spans="1:23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L24" s="4" t="s">
        <v>23</v>
      </c>
      <c r="M24" s="4" t="s">
        <v>24</v>
      </c>
      <c r="N24" s="4" t="s">
        <v>25</v>
      </c>
      <c r="O24" s="4" t="s">
        <v>26</v>
      </c>
      <c r="P24" s="4" t="s">
        <v>27</v>
      </c>
      <c r="Q24" s="4" t="s">
        <v>28</v>
      </c>
      <c r="R24" s="4" t="s">
        <v>29</v>
      </c>
      <c r="S24" s="4" t="s">
        <v>30</v>
      </c>
      <c r="T24" s="4" t="s">
        <v>31</v>
      </c>
      <c r="U24" s="4" t="s">
        <v>32</v>
      </c>
      <c r="V24" s="4" t="s">
        <v>33</v>
      </c>
      <c r="W24" s="4" t="s">
        <v>34</v>
      </c>
    </row>
    <row r="25" spans="1:23">
      <c r="C25" t="s">
        <v>6</v>
      </c>
      <c r="D25" t="s">
        <v>7</v>
      </c>
      <c r="E25" s="1">
        <v>0.2</v>
      </c>
      <c r="F25" s="1">
        <v>0.4</v>
      </c>
      <c r="G25" t="s">
        <v>4</v>
      </c>
      <c r="H25" t="s">
        <v>5</v>
      </c>
      <c r="I25" t="s">
        <v>9</v>
      </c>
      <c r="L25" s="4">
        <v>6</v>
      </c>
      <c r="M25" s="4">
        <v>4</v>
      </c>
      <c r="N25" s="4">
        <v>7</v>
      </c>
      <c r="O25" s="4">
        <v>7</v>
      </c>
      <c r="P25" s="4">
        <v>0</v>
      </c>
      <c r="Q25" s="4">
        <v>5</v>
      </c>
      <c r="R25" s="4">
        <v>2</v>
      </c>
      <c r="S25" s="4">
        <v>8</v>
      </c>
      <c r="T25" s="4">
        <v>3</v>
      </c>
      <c r="U25" s="4">
        <v>3</v>
      </c>
      <c r="V25" s="4">
        <v>0</v>
      </c>
      <c r="W25" s="4">
        <v>6</v>
      </c>
    </row>
    <row r="26" spans="1:23">
      <c r="B26" s="2" t="s">
        <v>10</v>
      </c>
      <c r="L26" s="4">
        <v>14</v>
      </c>
      <c r="M26" s="4">
        <v>9</v>
      </c>
      <c r="N26" s="4">
        <v>5</v>
      </c>
      <c r="O26" s="4">
        <v>22</v>
      </c>
      <c r="P26" s="4">
        <v>0</v>
      </c>
      <c r="Q26" s="4">
        <v>13</v>
      </c>
      <c r="R26" s="4">
        <v>8</v>
      </c>
      <c r="S26" s="4">
        <v>14</v>
      </c>
      <c r="T26" s="4">
        <v>12</v>
      </c>
      <c r="U26" s="4">
        <v>21</v>
      </c>
      <c r="V26" s="4">
        <v>0</v>
      </c>
      <c r="W26" s="4">
        <v>16</v>
      </c>
    </row>
    <row r="27" spans="1:23">
      <c r="B27" s="2" t="s">
        <v>11</v>
      </c>
      <c r="L27" s="4" t="s">
        <v>23</v>
      </c>
      <c r="M27" s="4" t="s">
        <v>24</v>
      </c>
      <c r="N27" s="4" t="s">
        <v>25</v>
      </c>
      <c r="O27" s="4" t="s">
        <v>26</v>
      </c>
      <c r="P27" s="4" t="s">
        <v>27</v>
      </c>
      <c r="Q27" s="4" t="s">
        <v>28</v>
      </c>
      <c r="R27" s="4" t="s">
        <v>29</v>
      </c>
      <c r="S27" s="4" t="s">
        <v>30</v>
      </c>
      <c r="T27" s="4" t="s">
        <v>31</v>
      </c>
      <c r="U27" s="4" t="s">
        <v>32</v>
      </c>
      <c r="V27" s="4" t="s">
        <v>33</v>
      </c>
      <c r="W27" s="4" t="s">
        <v>34</v>
      </c>
    </row>
    <row r="28" spans="1:23">
      <c r="B28" t="s">
        <v>1</v>
      </c>
      <c r="L28" s="4">
        <v>5</v>
      </c>
      <c r="M28" s="4">
        <v>4</v>
      </c>
      <c r="N28" s="4">
        <v>7</v>
      </c>
      <c r="O28" s="4">
        <v>7</v>
      </c>
      <c r="P28" s="4">
        <v>0</v>
      </c>
      <c r="Q28" s="4">
        <v>4</v>
      </c>
      <c r="R28" s="4">
        <v>2</v>
      </c>
      <c r="S28" s="4">
        <v>8</v>
      </c>
      <c r="T28" s="4">
        <v>3</v>
      </c>
      <c r="U28" s="4">
        <v>3</v>
      </c>
      <c r="V28" s="4">
        <v>0</v>
      </c>
      <c r="W28" s="4">
        <v>7</v>
      </c>
    </row>
    <row r="29" spans="1:23">
      <c r="B29" s="2" t="s">
        <v>10</v>
      </c>
      <c r="L29" s="4">
        <v>14</v>
      </c>
      <c r="M29" s="4">
        <v>9</v>
      </c>
      <c r="N29" s="4">
        <v>5</v>
      </c>
      <c r="O29" s="4">
        <v>22</v>
      </c>
      <c r="P29" s="4">
        <v>0</v>
      </c>
      <c r="Q29" s="4">
        <v>13</v>
      </c>
      <c r="R29" s="4">
        <v>8</v>
      </c>
      <c r="S29" s="4">
        <v>14</v>
      </c>
      <c r="T29" s="4">
        <v>12</v>
      </c>
      <c r="U29" s="4">
        <v>21</v>
      </c>
      <c r="V29" s="4">
        <v>0</v>
      </c>
      <c r="W29" s="4">
        <v>16</v>
      </c>
    </row>
    <row r="30" spans="1:23">
      <c r="B30" s="2" t="s">
        <v>11</v>
      </c>
      <c r="L30" s="4" t="s">
        <v>23</v>
      </c>
      <c r="M30" s="4" t="s">
        <v>24</v>
      </c>
      <c r="N30" s="4" t="s">
        <v>25</v>
      </c>
      <c r="O30" s="4" t="s">
        <v>26</v>
      </c>
      <c r="P30" s="4" t="s">
        <v>27</v>
      </c>
      <c r="Q30" s="4" t="s">
        <v>28</v>
      </c>
      <c r="R30" s="4" t="s">
        <v>29</v>
      </c>
      <c r="S30" s="4" t="s">
        <v>30</v>
      </c>
      <c r="T30" s="4" t="s">
        <v>31</v>
      </c>
      <c r="U30" s="4" t="s">
        <v>32</v>
      </c>
      <c r="V30" s="4" t="s">
        <v>33</v>
      </c>
      <c r="W30" s="4" t="s">
        <v>34</v>
      </c>
    </row>
    <row r="31" spans="1:23">
      <c r="B31" t="s">
        <v>2</v>
      </c>
      <c r="L31" s="4">
        <v>5</v>
      </c>
      <c r="M31" s="4">
        <v>4</v>
      </c>
      <c r="N31" s="4">
        <v>7</v>
      </c>
      <c r="O31" s="4">
        <v>7</v>
      </c>
      <c r="P31" s="4">
        <v>0</v>
      </c>
      <c r="Q31" s="4">
        <v>6</v>
      </c>
      <c r="R31" s="4">
        <v>2</v>
      </c>
      <c r="S31" s="4">
        <v>8</v>
      </c>
      <c r="T31" s="4">
        <v>3</v>
      </c>
      <c r="U31" s="4">
        <v>3</v>
      </c>
      <c r="V31" s="4">
        <v>0</v>
      </c>
      <c r="W31" s="4">
        <v>7</v>
      </c>
    </row>
    <row r="32" spans="1:23">
      <c r="B32" s="2" t="s">
        <v>10</v>
      </c>
      <c r="L32" s="4">
        <v>14</v>
      </c>
      <c r="M32" s="4">
        <v>9</v>
      </c>
      <c r="N32" s="4">
        <v>5</v>
      </c>
      <c r="O32" s="4">
        <v>22</v>
      </c>
      <c r="P32" s="4">
        <v>0</v>
      </c>
      <c r="Q32" s="4">
        <v>13</v>
      </c>
      <c r="R32" s="4">
        <v>8</v>
      </c>
      <c r="S32" s="4">
        <v>14</v>
      </c>
      <c r="T32" s="4">
        <v>12</v>
      </c>
      <c r="U32" s="4">
        <v>22</v>
      </c>
      <c r="V32" s="4">
        <v>0</v>
      </c>
      <c r="W32" s="4">
        <v>16</v>
      </c>
    </row>
    <row r="33" spans="1:23">
      <c r="B33" s="2" t="s">
        <v>11</v>
      </c>
      <c r="L33" s="4" t="s">
        <v>23</v>
      </c>
      <c r="M33" s="4" t="s">
        <v>24</v>
      </c>
      <c r="N33" s="4" t="s">
        <v>25</v>
      </c>
      <c r="O33" s="4" t="s">
        <v>26</v>
      </c>
      <c r="P33" s="4" t="s">
        <v>27</v>
      </c>
      <c r="Q33" s="4" t="s">
        <v>28</v>
      </c>
      <c r="R33" s="4" t="s">
        <v>29</v>
      </c>
      <c r="S33" s="4" t="s">
        <v>30</v>
      </c>
      <c r="T33" s="4" t="s">
        <v>31</v>
      </c>
      <c r="U33" s="4" t="s">
        <v>32</v>
      </c>
      <c r="V33" s="4" t="s">
        <v>33</v>
      </c>
      <c r="W33" s="4" t="s">
        <v>34</v>
      </c>
    </row>
    <row r="34" spans="1:23">
      <c r="B34" t="s">
        <v>0</v>
      </c>
      <c r="L34" s="4">
        <v>4</v>
      </c>
      <c r="M34" s="4">
        <v>4</v>
      </c>
      <c r="N34" s="4">
        <v>7</v>
      </c>
      <c r="O34" s="4">
        <v>7</v>
      </c>
      <c r="P34" s="4">
        <v>0</v>
      </c>
      <c r="Q34" s="4">
        <v>6</v>
      </c>
      <c r="R34" s="4">
        <v>2</v>
      </c>
      <c r="S34" s="4">
        <v>8</v>
      </c>
      <c r="T34" s="4">
        <v>3</v>
      </c>
      <c r="U34" s="4">
        <v>3</v>
      </c>
      <c r="V34" s="4">
        <v>0</v>
      </c>
      <c r="W34" s="4">
        <v>7</v>
      </c>
    </row>
    <row r="35" spans="1:23">
      <c r="B35" s="2" t="s">
        <v>10</v>
      </c>
      <c r="L35" s="4">
        <v>12</v>
      </c>
      <c r="M35" s="4">
        <v>9</v>
      </c>
      <c r="N35" s="4">
        <v>5</v>
      </c>
      <c r="O35" s="4">
        <v>22</v>
      </c>
      <c r="P35" s="4">
        <v>0</v>
      </c>
      <c r="Q35" s="4">
        <v>13</v>
      </c>
      <c r="R35" s="4">
        <v>8</v>
      </c>
      <c r="S35" s="4">
        <v>14</v>
      </c>
      <c r="T35" s="4">
        <v>12</v>
      </c>
      <c r="U35" s="4">
        <v>22</v>
      </c>
      <c r="V35" s="4">
        <v>0</v>
      </c>
      <c r="W35" s="4">
        <v>17</v>
      </c>
    </row>
    <row r="36" spans="1:23">
      <c r="B36" s="2" t="s">
        <v>11</v>
      </c>
      <c r="L36" s="4" t="s">
        <v>23</v>
      </c>
      <c r="M36" s="4" t="s">
        <v>24</v>
      </c>
      <c r="N36" s="4" t="s">
        <v>25</v>
      </c>
      <c r="O36" s="4" t="s">
        <v>26</v>
      </c>
      <c r="P36" s="4" t="s">
        <v>27</v>
      </c>
      <c r="Q36" s="4" t="s">
        <v>28</v>
      </c>
      <c r="R36" s="4" t="s">
        <v>29</v>
      </c>
      <c r="S36" s="4" t="s">
        <v>30</v>
      </c>
      <c r="T36" s="4" t="s">
        <v>31</v>
      </c>
      <c r="U36" s="4" t="s">
        <v>32</v>
      </c>
      <c r="V36" s="4" t="s">
        <v>33</v>
      </c>
      <c r="W36" s="4" t="s">
        <v>34</v>
      </c>
    </row>
    <row r="37" spans="1:23">
      <c r="B37" t="s">
        <v>3</v>
      </c>
      <c r="L37" s="4">
        <v>6</v>
      </c>
      <c r="M37" s="4">
        <v>4</v>
      </c>
      <c r="N37" s="4">
        <v>8</v>
      </c>
      <c r="O37" s="4">
        <v>7</v>
      </c>
      <c r="P37" s="4">
        <v>0</v>
      </c>
      <c r="Q37" s="4">
        <v>7</v>
      </c>
      <c r="R37" s="4">
        <v>2</v>
      </c>
      <c r="S37" s="4">
        <v>8</v>
      </c>
      <c r="T37" s="4">
        <v>3</v>
      </c>
      <c r="U37" s="4">
        <v>3</v>
      </c>
      <c r="V37" s="4">
        <v>0</v>
      </c>
      <c r="W37" s="4">
        <v>7</v>
      </c>
    </row>
    <row r="38" spans="1:23">
      <c r="L38" s="4">
        <v>14</v>
      </c>
      <c r="M38" s="4">
        <v>10</v>
      </c>
      <c r="N38" s="4">
        <v>5</v>
      </c>
      <c r="O38" s="4">
        <v>22</v>
      </c>
      <c r="P38" s="4">
        <v>0</v>
      </c>
      <c r="Q38" s="4">
        <v>14</v>
      </c>
      <c r="R38" s="4">
        <v>8</v>
      </c>
      <c r="S38" s="4">
        <v>14</v>
      </c>
      <c r="T38" s="4">
        <v>12</v>
      </c>
      <c r="U38" s="4">
        <v>21</v>
      </c>
      <c r="V38" s="4">
        <v>0</v>
      </c>
      <c r="W38" s="4">
        <v>16</v>
      </c>
    </row>
    <row r="39" spans="1:23">
      <c r="A39" t="s">
        <v>18</v>
      </c>
      <c r="B39" t="s">
        <v>14</v>
      </c>
      <c r="L39" s="4" t="s">
        <v>23</v>
      </c>
      <c r="M39" s="4" t="s">
        <v>24</v>
      </c>
      <c r="N39" s="4" t="s">
        <v>25</v>
      </c>
      <c r="O39" s="4" t="s">
        <v>26</v>
      </c>
      <c r="P39" s="4" t="s">
        <v>27</v>
      </c>
      <c r="Q39" s="4" t="s">
        <v>28</v>
      </c>
      <c r="R39" s="4" t="s">
        <v>29</v>
      </c>
      <c r="S39" s="4" t="s">
        <v>30</v>
      </c>
      <c r="T39" s="4" t="s">
        <v>31</v>
      </c>
      <c r="U39" s="4" t="s">
        <v>32</v>
      </c>
      <c r="V39" s="4" t="s">
        <v>33</v>
      </c>
      <c r="W39" s="4" t="s">
        <v>34</v>
      </c>
    </row>
    <row r="40" spans="1:23">
      <c r="A40" t="s">
        <v>19</v>
      </c>
      <c r="B40" t="s">
        <v>15</v>
      </c>
      <c r="L40" s="4">
        <v>6</v>
      </c>
      <c r="M40" s="4">
        <v>4</v>
      </c>
      <c r="N40" s="4">
        <v>8</v>
      </c>
      <c r="O40" s="4">
        <v>7</v>
      </c>
      <c r="P40" s="4">
        <v>0</v>
      </c>
      <c r="Q40" s="4">
        <v>6</v>
      </c>
      <c r="R40" s="4">
        <v>2</v>
      </c>
      <c r="S40" s="4">
        <v>8</v>
      </c>
      <c r="T40" s="4">
        <v>3</v>
      </c>
      <c r="U40" s="4">
        <v>3</v>
      </c>
      <c r="V40" s="4">
        <v>0</v>
      </c>
      <c r="W40" s="4">
        <v>7</v>
      </c>
    </row>
    <row r="41" spans="1:23">
      <c r="A41" t="s">
        <v>20</v>
      </c>
      <c r="B41" t="s">
        <v>16</v>
      </c>
      <c r="L41" s="4">
        <v>14</v>
      </c>
      <c r="M41" s="4">
        <v>10</v>
      </c>
      <c r="N41" s="4">
        <v>5</v>
      </c>
      <c r="O41" s="4">
        <v>22</v>
      </c>
      <c r="P41" s="4">
        <v>0</v>
      </c>
      <c r="Q41" s="4">
        <v>13</v>
      </c>
      <c r="R41" s="4">
        <v>8</v>
      </c>
      <c r="S41" s="4">
        <v>14</v>
      </c>
      <c r="T41" s="4">
        <v>12</v>
      </c>
      <c r="U41" s="4">
        <v>22</v>
      </c>
      <c r="V41" s="4">
        <v>0</v>
      </c>
      <c r="W41" s="4">
        <v>16</v>
      </c>
    </row>
    <row r="42" spans="1:23">
      <c r="L42" s="4" t="s">
        <v>23</v>
      </c>
      <c r="M42" s="4" t="s">
        <v>24</v>
      </c>
      <c r="N42" s="4" t="s">
        <v>25</v>
      </c>
      <c r="O42" s="4" t="s">
        <v>26</v>
      </c>
      <c r="P42" s="4" t="s">
        <v>27</v>
      </c>
      <c r="Q42" s="4" t="s">
        <v>28</v>
      </c>
      <c r="R42" s="4" t="s">
        <v>29</v>
      </c>
      <c r="S42" s="4" t="s">
        <v>30</v>
      </c>
      <c r="T42" s="4" t="s">
        <v>31</v>
      </c>
      <c r="U42" s="4" t="s">
        <v>32</v>
      </c>
      <c r="V42" s="4" t="s">
        <v>33</v>
      </c>
      <c r="W42" s="4" t="s">
        <v>34</v>
      </c>
    </row>
    <row r="43" spans="1:23">
      <c r="L43" s="4">
        <v>6</v>
      </c>
      <c r="M43" s="4">
        <v>4</v>
      </c>
      <c r="N43" s="4">
        <v>8</v>
      </c>
      <c r="O43" s="4">
        <v>7</v>
      </c>
      <c r="P43" s="4">
        <v>0</v>
      </c>
      <c r="Q43" s="4">
        <v>7</v>
      </c>
      <c r="R43" s="4">
        <v>2</v>
      </c>
      <c r="S43" s="4">
        <v>8</v>
      </c>
      <c r="T43" s="4">
        <v>3</v>
      </c>
      <c r="U43" s="4">
        <v>3</v>
      </c>
      <c r="V43" s="4">
        <v>0</v>
      </c>
      <c r="W43" s="4">
        <v>6</v>
      </c>
    </row>
    <row r="44" spans="1:23">
      <c r="L44" s="4">
        <v>14</v>
      </c>
      <c r="M44" s="4">
        <v>10</v>
      </c>
      <c r="N44" s="4">
        <v>5</v>
      </c>
      <c r="O44" s="4">
        <v>22</v>
      </c>
      <c r="P44" s="4">
        <v>0</v>
      </c>
      <c r="Q44" s="4">
        <v>14</v>
      </c>
      <c r="R44" s="4">
        <v>8</v>
      </c>
      <c r="S44" s="4">
        <v>14</v>
      </c>
      <c r="T44" s="4">
        <v>12</v>
      </c>
      <c r="U44" s="4">
        <v>20</v>
      </c>
      <c r="V44" s="4">
        <v>0</v>
      </c>
      <c r="W44" s="4">
        <v>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A2:W44"/>
  <sheetViews>
    <sheetView topLeftCell="I18" workbookViewId="0">
      <selection activeCell="L42" sqref="L42:W44"/>
    </sheetView>
  </sheetViews>
  <sheetFormatPr baseColWidth="10" defaultRowHeight="20"/>
  <sheetData>
    <row r="2" spans="2:18">
      <c r="B2" t="s">
        <v>21</v>
      </c>
      <c r="K2" t="s">
        <v>8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I4" t="s">
        <v>9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  <c r="R4" t="s">
        <v>9</v>
      </c>
    </row>
    <row r="5" spans="2:18">
      <c r="B5" s="2" t="s">
        <v>10</v>
      </c>
      <c r="C5">
        <v>3.6434000000000002</v>
      </c>
      <c r="D5">
        <v>4.4280999999999997</v>
      </c>
      <c r="E5">
        <v>4.4996</v>
      </c>
      <c r="F5">
        <v>4.1829000000000001</v>
      </c>
      <c r="G5">
        <v>4.7759999999999998</v>
      </c>
      <c r="H5">
        <v>4.5035999999999996</v>
      </c>
      <c r="I5">
        <v>4.4488000000000003</v>
      </c>
      <c r="K5" s="2" t="s">
        <v>10</v>
      </c>
    </row>
    <row r="6" spans="2:18">
      <c r="B6" s="2" t="s">
        <v>11</v>
      </c>
      <c r="C6">
        <v>4.0415000000000001</v>
      </c>
      <c r="D6">
        <v>4.4821999999999997</v>
      </c>
      <c r="E6">
        <v>4.5353000000000003</v>
      </c>
      <c r="F6">
        <v>4.7022000000000004</v>
      </c>
      <c r="G6">
        <v>4.8364000000000003</v>
      </c>
      <c r="H6">
        <v>4.6677999999999997</v>
      </c>
      <c r="I6">
        <v>4.7249999999999996</v>
      </c>
      <c r="K6" s="2" t="s">
        <v>11</v>
      </c>
    </row>
    <row r="7" spans="2:18">
      <c r="B7" t="s">
        <v>1</v>
      </c>
      <c r="C7">
        <v>3.9378000000000002</v>
      </c>
      <c r="D7">
        <v>4.4691000000000001</v>
      </c>
      <c r="E7">
        <v>4.5266999999999999</v>
      </c>
      <c r="F7">
        <v>4.5682</v>
      </c>
      <c r="G7">
        <v>4.8219000000000003</v>
      </c>
      <c r="H7">
        <v>4.6276000000000002</v>
      </c>
      <c r="I7">
        <v>4.6566000000000001</v>
      </c>
      <c r="K7" t="s">
        <v>1</v>
      </c>
    </row>
    <row r="8" spans="2:18">
      <c r="B8" s="2" t="s">
        <v>10</v>
      </c>
      <c r="C8">
        <v>2.9256000000000002</v>
      </c>
      <c r="D8">
        <v>3.2328000000000001</v>
      </c>
      <c r="E8">
        <v>3.3917999999999999</v>
      </c>
      <c r="F8">
        <v>3.9302000000000001</v>
      </c>
      <c r="G8">
        <v>4.3238000000000003</v>
      </c>
      <c r="H8">
        <v>3.2496999999999998</v>
      </c>
      <c r="I8">
        <v>4.0019</v>
      </c>
      <c r="K8" s="2" t="s">
        <v>10</v>
      </c>
    </row>
    <row r="9" spans="2:18">
      <c r="B9" s="2" t="s">
        <v>11</v>
      </c>
      <c r="C9">
        <v>3.2208999999999999</v>
      </c>
      <c r="D9">
        <v>3.5878000000000001</v>
      </c>
      <c r="E9">
        <v>3.8306</v>
      </c>
      <c r="F9">
        <v>3.5013999999999998</v>
      </c>
      <c r="G9">
        <v>4.2237</v>
      </c>
      <c r="H9">
        <v>3.6276999999999999</v>
      </c>
      <c r="I9">
        <v>3.7458999999999998</v>
      </c>
      <c r="K9" s="2" t="s">
        <v>11</v>
      </c>
    </row>
    <row r="10" spans="2:18">
      <c r="B10" t="s">
        <v>22</v>
      </c>
      <c r="C10">
        <v>3.1356999999999999</v>
      </c>
      <c r="D10">
        <v>3.4845000000000002</v>
      </c>
      <c r="E10">
        <v>3.7008000000000001</v>
      </c>
      <c r="F10">
        <v>3.6086999999999998</v>
      </c>
      <c r="G10">
        <v>4.2506000000000004</v>
      </c>
      <c r="H10">
        <v>3.5160999999999998</v>
      </c>
      <c r="I10">
        <v>3.8125</v>
      </c>
      <c r="K10" t="s">
        <v>22</v>
      </c>
    </row>
    <row r="11" spans="2:18">
      <c r="B11" s="2" t="s">
        <v>10</v>
      </c>
      <c r="C11">
        <v>3.4468000000000001</v>
      </c>
      <c r="D11">
        <v>3.8685</v>
      </c>
      <c r="E11">
        <v>3.8148</v>
      </c>
      <c r="F11">
        <v>3.9474999999999998</v>
      </c>
      <c r="G11">
        <v>4.7542999999999997</v>
      </c>
      <c r="H11">
        <v>3.8012999999999999</v>
      </c>
      <c r="I11">
        <v>4.7662000000000004</v>
      </c>
      <c r="K11" s="2" t="s">
        <v>10</v>
      </c>
    </row>
    <row r="12" spans="2:18">
      <c r="B12" s="2" t="s">
        <v>11</v>
      </c>
      <c r="C12">
        <v>4.7470999999999997</v>
      </c>
      <c r="D12">
        <v>7.5448000000000004</v>
      </c>
      <c r="E12">
        <v>7.3097000000000003</v>
      </c>
      <c r="F12">
        <v>5.4477000000000002</v>
      </c>
      <c r="G12">
        <v>4.7652000000000001</v>
      </c>
      <c r="H12">
        <v>5.5053999999999998</v>
      </c>
      <c r="I12">
        <v>4.5027999999999997</v>
      </c>
      <c r="K12" s="2" t="s">
        <v>11</v>
      </c>
    </row>
    <row r="13" spans="2:18">
      <c r="B13" t="s">
        <v>2</v>
      </c>
      <c r="C13">
        <v>4.2408999999999999</v>
      </c>
      <c r="D13">
        <v>5.7839999999999998</v>
      </c>
      <c r="E13">
        <v>5.6497000000000002</v>
      </c>
      <c r="F13">
        <v>4.8552999999999997</v>
      </c>
      <c r="G13">
        <v>4.7617000000000003</v>
      </c>
      <c r="H13">
        <v>4.8124000000000002</v>
      </c>
      <c r="I13">
        <v>4.5842000000000001</v>
      </c>
      <c r="K13" t="s">
        <v>2</v>
      </c>
    </row>
    <row r="14" spans="2:18">
      <c r="B14" s="2" t="s">
        <v>10</v>
      </c>
      <c r="C14">
        <v>4.8550000000000004</v>
      </c>
      <c r="D14">
        <v>5.3611000000000004</v>
      </c>
      <c r="E14">
        <v>5.5202999999999998</v>
      </c>
      <c r="F14">
        <v>5.7260999999999997</v>
      </c>
      <c r="G14">
        <v>6.2145999999999999</v>
      </c>
      <c r="H14">
        <v>5.4360999999999997</v>
      </c>
      <c r="I14">
        <v>5.9730999999999996</v>
      </c>
      <c r="K14" s="2" t="s">
        <v>10</v>
      </c>
    </row>
    <row r="15" spans="2:18">
      <c r="B15" s="2" t="s">
        <v>11</v>
      </c>
      <c r="C15">
        <v>5.5247999999999999</v>
      </c>
      <c r="D15">
        <v>6.1653000000000002</v>
      </c>
      <c r="E15">
        <v>6.3132000000000001</v>
      </c>
      <c r="F15">
        <v>6.0846</v>
      </c>
      <c r="G15">
        <v>6.4089</v>
      </c>
      <c r="H15">
        <v>6.1794000000000002</v>
      </c>
      <c r="I15">
        <v>6.1119000000000003</v>
      </c>
      <c r="K15" s="2" t="s">
        <v>11</v>
      </c>
    </row>
    <row r="16" spans="2:18">
      <c r="B16" t="s">
        <v>3</v>
      </c>
      <c r="C16">
        <v>5.3324999999999996</v>
      </c>
      <c r="D16">
        <v>5.9316000000000004</v>
      </c>
      <c r="E16">
        <v>6.0839999999999996</v>
      </c>
      <c r="F16">
        <v>5.9847999999999999</v>
      </c>
      <c r="G16">
        <v>6.3556999999999997</v>
      </c>
      <c r="H16">
        <v>5.9652000000000003</v>
      </c>
      <c r="I16">
        <v>6.0743999999999998</v>
      </c>
      <c r="K16" t="s">
        <v>3</v>
      </c>
    </row>
    <row r="18" spans="1:23">
      <c r="A18" t="s">
        <v>18</v>
      </c>
      <c r="B18" t="s">
        <v>14</v>
      </c>
      <c r="K18" t="s">
        <v>14</v>
      </c>
    </row>
    <row r="19" spans="1:23">
      <c r="A19" t="s">
        <v>19</v>
      </c>
      <c r="B19" t="s">
        <v>15</v>
      </c>
      <c r="K19" t="s">
        <v>15</v>
      </c>
    </row>
    <row r="20" spans="1:23">
      <c r="A20" t="s">
        <v>20</v>
      </c>
      <c r="B20" t="s">
        <v>16</v>
      </c>
      <c r="K20" t="s">
        <v>16</v>
      </c>
    </row>
    <row r="23" spans="1:23">
      <c r="B23" t="s">
        <v>12</v>
      </c>
    </row>
    <row r="24" spans="1:23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L24" s="4" t="s">
        <v>23</v>
      </c>
      <c r="M24" s="4" t="s">
        <v>24</v>
      </c>
      <c r="N24" s="4" t="s">
        <v>25</v>
      </c>
      <c r="O24" s="4" t="s">
        <v>26</v>
      </c>
      <c r="P24" s="4" t="s">
        <v>27</v>
      </c>
      <c r="Q24" s="4" t="s">
        <v>28</v>
      </c>
      <c r="R24" s="4" t="s">
        <v>29</v>
      </c>
      <c r="S24" s="4" t="s">
        <v>30</v>
      </c>
      <c r="T24" s="4" t="s">
        <v>31</v>
      </c>
      <c r="U24" s="4" t="s">
        <v>32</v>
      </c>
      <c r="V24" s="4" t="s">
        <v>33</v>
      </c>
      <c r="W24" s="4" t="s">
        <v>34</v>
      </c>
    </row>
    <row r="25" spans="1:23">
      <c r="C25" t="s">
        <v>6</v>
      </c>
      <c r="D25" t="s">
        <v>7</v>
      </c>
      <c r="E25" s="1">
        <v>0.2</v>
      </c>
      <c r="F25" s="1">
        <v>0.4</v>
      </c>
      <c r="G25" t="s">
        <v>4</v>
      </c>
      <c r="H25" t="s">
        <v>5</v>
      </c>
      <c r="I25" t="s">
        <v>9</v>
      </c>
      <c r="L25" s="4">
        <v>3</v>
      </c>
      <c r="M25" s="4">
        <v>5</v>
      </c>
      <c r="N25" s="4">
        <v>4</v>
      </c>
      <c r="O25" s="4">
        <v>4</v>
      </c>
      <c r="P25" s="4">
        <v>0</v>
      </c>
      <c r="Q25" s="4">
        <v>8</v>
      </c>
      <c r="R25" s="4">
        <v>6</v>
      </c>
      <c r="S25" s="4">
        <v>3</v>
      </c>
      <c r="T25" s="4">
        <v>4</v>
      </c>
      <c r="U25" s="4">
        <v>5</v>
      </c>
      <c r="V25" s="4">
        <v>0</v>
      </c>
      <c r="W25" s="4">
        <v>6</v>
      </c>
    </row>
    <row r="26" spans="1:23">
      <c r="B26" s="2" t="s">
        <v>10</v>
      </c>
      <c r="L26" s="4">
        <v>15</v>
      </c>
      <c r="M26" s="4">
        <v>6</v>
      </c>
      <c r="N26" s="4">
        <v>9</v>
      </c>
      <c r="O26" s="4">
        <v>12</v>
      </c>
      <c r="P26" s="4">
        <v>0</v>
      </c>
      <c r="Q26" s="4">
        <v>24</v>
      </c>
      <c r="R26" s="4">
        <v>8</v>
      </c>
      <c r="S26" s="4">
        <v>13</v>
      </c>
      <c r="T26" s="4">
        <v>13</v>
      </c>
      <c r="U26" s="4">
        <v>18</v>
      </c>
      <c r="V26" s="4">
        <v>0</v>
      </c>
      <c r="W26" s="4">
        <v>20</v>
      </c>
    </row>
    <row r="27" spans="1:23">
      <c r="B27" s="2" t="s">
        <v>11</v>
      </c>
      <c r="L27" s="4" t="s">
        <v>23</v>
      </c>
      <c r="M27" s="4" t="s">
        <v>24</v>
      </c>
      <c r="N27" s="4" t="s">
        <v>25</v>
      </c>
      <c r="O27" s="4" t="s">
        <v>26</v>
      </c>
      <c r="P27" s="4" t="s">
        <v>27</v>
      </c>
      <c r="Q27" s="4" t="s">
        <v>28</v>
      </c>
      <c r="R27" s="4" t="s">
        <v>29</v>
      </c>
      <c r="S27" s="4" t="s">
        <v>30</v>
      </c>
      <c r="T27" s="4" t="s">
        <v>31</v>
      </c>
      <c r="U27" s="4" t="s">
        <v>32</v>
      </c>
      <c r="V27" s="4" t="s">
        <v>33</v>
      </c>
      <c r="W27" s="4" t="s">
        <v>34</v>
      </c>
    </row>
    <row r="28" spans="1:23">
      <c r="B28" t="s">
        <v>1</v>
      </c>
      <c r="L28" s="4">
        <v>4</v>
      </c>
      <c r="M28" s="4">
        <v>5</v>
      </c>
      <c r="N28" s="4">
        <v>4</v>
      </c>
      <c r="O28" s="4">
        <v>4</v>
      </c>
      <c r="P28" s="4">
        <v>0</v>
      </c>
      <c r="Q28" s="4">
        <v>8</v>
      </c>
      <c r="R28" s="4">
        <v>6</v>
      </c>
      <c r="S28" s="4">
        <v>3</v>
      </c>
      <c r="T28" s="4">
        <v>4</v>
      </c>
      <c r="U28" s="4">
        <v>5</v>
      </c>
      <c r="V28" s="4">
        <v>0</v>
      </c>
      <c r="W28" s="4">
        <v>6</v>
      </c>
    </row>
    <row r="29" spans="1:23">
      <c r="B29" s="2" t="s">
        <v>10</v>
      </c>
      <c r="L29" s="4">
        <v>15</v>
      </c>
      <c r="M29" s="4">
        <v>6</v>
      </c>
      <c r="N29" s="4">
        <v>10</v>
      </c>
      <c r="O29" s="4">
        <v>12</v>
      </c>
      <c r="P29" s="4">
        <v>0</v>
      </c>
      <c r="Q29" s="4">
        <v>23</v>
      </c>
      <c r="R29" s="4">
        <v>8</v>
      </c>
      <c r="S29" s="4">
        <v>13</v>
      </c>
      <c r="T29" s="4">
        <v>13</v>
      </c>
      <c r="U29" s="4">
        <v>18</v>
      </c>
      <c r="V29" s="4">
        <v>0</v>
      </c>
      <c r="W29" s="4">
        <v>20</v>
      </c>
    </row>
    <row r="30" spans="1:23">
      <c r="B30" s="2" t="s">
        <v>11</v>
      </c>
      <c r="L30" s="4" t="s">
        <v>23</v>
      </c>
      <c r="M30" s="4" t="s">
        <v>24</v>
      </c>
      <c r="N30" s="4" t="s">
        <v>25</v>
      </c>
      <c r="O30" s="4" t="s">
        <v>26</v>
      </c>
      <c r="P30" s="4" t="s">
        <v>27</v>
      </c>
      <c r="Q30" s="4" t="s">
        <v>28</v>
      </c>
      <c r="R30" s="4" t="s">
        <v>29</v>
      </c>
      <c r="S30" s="4" t="s">
        <v>30</v>
      </c>
      <c r="T30" s="4" t="s">
        <v>31</v>
      </c>
      <c r="U30" s="4" t="s">
        <v>32</v>
      </c>
      <c r="V30" s="4" t="s">
        <v>33</v>
      </c>
      <c r="W30" s="4" t="s">
        <v>34</v>
      </c>
    </row>
    <row r="31" spans="1:23">
      <c r="B31" t="s">
        <v>2</v>
      </c>
      <c r="L31" s="4">
        <v>4</v>
      </c>
      <c r="M31" s="4">
        <v>5</v>
      </c>
      <c r="N31" s="4">
        <v>4</v>
      </c>
      <c r="O31" s="4">
        <v>4</v>
      </c>
      <c r="P31" s="4">
        <v>0</v>
      </c>
      <c r="Q31" s="4">
        <v>8</v>
      </c>
      <c r="R31" s="4">
        <v>6</v>
      </c>
      <c r="S31" s="4">
        <v>3</v>
      </c>
      <c r="T31" s="4">
        <v>4</v>
      </c>
      <c r="U31" s="4">
        <v>5</v>
      </c>
      <c r="V31" s="4">
        <v>0</v>
      </c>
      <c r="W31" s="4">
        <v>6</v>
      </c>
    </row>
    <row r="32" spans="1:23">
      <c r="B32" s="2" t="s">
        <v>10</v>
      </c>
      <c r="L32" s="4">
        <v>15</v>
      </c>
      <c r="M32" s="4">
        <v>6</v>
      </c>
      <c r="N32" s="4">
        <v>10</v>
      </c>
      <c r="O32" s="4">
        <v>13</v>
      </c>
      <c r="P32" s="4">
        <v>0</v>
      </c>
      <c r="Q32" s="4">
        <v>24</v>
      </c>
      <c r="R32" s="4">
        <v>8</v>
      </c>
      <c r="S32" s="4">
        <v>13</v>
      </c>
      <c r="T32" s="4">
        <v>13</v>
      </c>
      <c r="U32" s="4">
        <v>18</v>
      </c>
      <c r="V32" s="4">
        <v>0</v>
      </c>
      <c r="W32" s="4">
        <v>20</v>
      </c>
    </row>
    <row r="33" spans="2:23">
      <c r="B33" s="2" t="s">
        <v>11</v>
      </c>
      <c r="L33" s="4" t="s">
        <v>23</v>
      </c>
      <c r="M33" s="4" t="s">
        <v>24</v>
      </c>
      <c r="N33" s="4" t="s">
        <v>25</v>
      </c>
      <c r="O33" s="4" t="s">
        <v>26</v>
      </c>
      <c r="P33" s="4" t="s">
        <v>27</v>
      </c>
      <c r="Q33" s="4" t="s">
        <v>28</v>
      </c>
      <c r="R33" s="4" t="s">
        <v>29</v>
      </c>
      <c r="S33" s="4" t="s">
        <v>30</v>
      </c>
      <c r="T33" s="4" t="s">
        <v>31</v>
      </c>
      <c r="U33" s="4" t="s">
        <v>32</v>
      </c>
      <c r="V33" s="4" t="s">
        <v>33</v>
      </c>
      <c r="W33" s="4" t="s">
        <v>34</v>
      </c>
    </row>
    <row r="34" spans="2:23">
      <c r="B34" t="s">
        <v>0</v>
      </c>
      <c r="L34" s="4">
        <v>5</v>
      </c>
      <c r="M34" s="4">
        <v>6</v>
      </c>
      <c r="N34" s="4">
        <v>4</v>
      </c>
      <c r="O34" s="4">
        <v>4</v>
      </c>
      <c r="P34" s="4">
        <v>0</v>
      </c>
      <c r="Q34" s="4">
        <v>8</v>
      </c>
      <c r="R34" s="4">
        <v>6</v>
      </c>
      <c r="S34" s="4">
        <v>3</v>
      </c>
      <c r="T34" s="4">
        <v>4</v>
      </c>
      <c r="U34" s="4">
        <v>5</v>
      </c>
      <c r="V34" s="4">
        <v>0</v>
      </c>
      <c r="W34" s="4">
        <v>6</v>
      </c>
    </row>
    <row r="35" spans="2:23">
      <c r="B35" s="2" t="s">
        <v>10</v>
      </c>
      <c r="L35" s="4">
        <v>15</v>
      </c>
      <c r="M35" s="4">
        <v>6</v>
      </c>
      <c r="N35" s="4">
        <v>13</v>
      </c>
      <c r="O35" s="4">
        <v>13</v>
      </c>
      <c r="P35" s="4">
        <v>0</v>
      </c>
      <c r="Q35" s="4">
        <v>24</v>
      </c>
      <c r="R35" s="4">
        <v>8</v>
      </c>
      <c r="S35" s="4">
        <v>13</v>
      </c>
      <c r="T35" s="4">
        <v>13</v>
      </c>
      <c r="U35" s="4">
        <v>17</v>
      </c>
      <c r="V35" s="4">
        <v>0</v>
      </c>
      <c r="W35" s="4">
        <v>20</v>
      </c>
    </row>
    <row r="36" spans="2:23">
      <c r="B36" s="2" t="s">
        <v>11</v>
      </c>
      <c r="L36" s="4" t="s">
        <v>23</v>
      </c>
      <c r="M36" s="4" t="s">
        <v>24</v>
      </c>
      <c r="N36" s="4" t="s">
        <v>25</v>
      </c>
      <c r="O36" s="4" t="s">
        <v>26</v>
      </c>
      <c r="P36" s="4" t="s">
        <v>27</v>
      </c>
      <c r="Q36" s="4" t="s">
        <v>28</v>
      </c>
      <c r="R36" s="4" t="s">
        <v>29</v>
      </c>
      <c r="S36" s="4" t="s">
        <v>30</v>
      </c>
      <c r="T36" s="4" t="s">
        <v>31</v>
      </c>
      <c r="U36" s="4" t="s">
        <v>32</v>
      </c>
      <c r="V36" s="4" t="s">
        <v>33</v>
      </c>
      <c r="W36" s="4" t="s">
        <v>34</v>
      </c>
    </row>
    <row r="37" spans="2:23">
      <c r="B37" t="s">
        <v>3</v>
      </c>
      <c r="L37" s="4">
        <v>5</v>
      </c>
      <c r="M37" s="4">
        <v>6</v>
      </c>
      <c r="N37" s="4">
        <v>4</v>
      </c>
      <c r="O37" s="4">
        <v>4</v>
      </c>
      <c r="P37" s="4">
        <v>0</v>
      </c>
      <c r="Q37" s="4">
        <v>8</v>
      </c>
      <c r="R37" s="4">
        <v>6</v>
      </c>
      <c r="S37" s="4">
        <v>3</v>
      </c>
      <c r="T37" s="4">
        <v>4</v>
      </c>
      <c r="U37" s="4">
        <v>5</v>
      </c>
      <c r="V37" s="4">
        <v>0</v>
      </c>
      <c r="W37" s="4">
        <v>6</v>
      </c>
    </row>
    <row r="38" spans="2:23">
      <c r="L38" s="4">
        <v>15</v>
      </c>
      <c r="M38" s="4">
        <v>6</v>
      </c>
      <c r="N38" s="4">
        <v>10</v>
      </c>
      <c r="O38" s="4">
        <v>12</v>
      </c>
      <c r="P38" s="4">
        <v>0</v>
      </c>
      <c r="Q38" s="4">
        <v>24</v>
      </c>
      <c r="R38" s="4">
        <v>8</v>
      </c>
      <c r="S38" s="4">
        <v>13</v>
      </c>
      <c r="T38" s="4">
        <v>13</v>
      </c>
      <c r="U38" s="4">
        <v>17</v>
      </c>
      <c r="V38" s="4">
        <v>0</v>
      </c>
      <c r="W38" s="4">
        <v>20</v>
      </c>
    </row>
    <row r="39" spans="2:23">
      <c r="B39" t="s">
        <v>14</v>
      </c>
      <c r="L39" s="4" t="s">
        <v>23</v>
      </c>
      <c r="M39" s="4" t="s">
        <v>24</v>
      </c>
      <c r="N39" s="4" t="s">
        <v>25</v>
      </c>
      <c r="O39" s="4" t="s">
        <v>26</v>
      </c>
      <c r="P39" s="4" t="s">
        <v>27</v>
      </c>
      <c r="Q39" s="4" t="s">
        <v>28</v>
      </c>
      <c r="R39" s="4" t="s">
        <v>29</v>
      </c>
      <c r="S39" s="4" t="s">
        <v>30</v>
      </c>
      <c r="T39" s="4" t="s">
        <v>31</v>
      </c>
      <c r="U39" s="4" t="s">
        <v>32</v>
      </c>
      <c r="V39" s="4" t="s">
        <v>33</v>
      </c>
      <c r="W39" s="4" t="s">
        <v>34</v>
      </c>
    </row>
    <row r="40" spans="2:23">
      <c r="B40" t="s">
        <v>15</v>
      </c>
      <c r="L40" s="4">
        <v>4</v>
      </c>
      <c r="M40" s="4">
        <v>6</v>
      </c>
      <c r="N40" s="4">
        <v>4</v>
      </c>
      <c r="O40" s="4">
        <v>4</v>
      </c>
      <c r="P40" s="4">
        <v>0</v>
      </c>
      <c r="Q40" s="4">
        <v>8</v>
      </c>
      <c r="R40" s="4">
        <v>6</v>
      </c>
      <c r="S40" s="4">
        <v>3</v>
      </c>
      <c r="T40" s="4">
        <v>4</v>
      </c>
      <c r="U40" s="4">
        <v>5</v>
      </c>
      <c r="V40" s="4">
        <v>0</v>
      </c>
      <c r="W40" s="4">
        <v>6</v>
      </c>
    </row>
    <row r="41" spans="2:23">
      <c r="B41" t="s">
        <v>16</v>
      </c>
      <c r="L41" s="4">
        <v>15</v>
      </c>
      <c r="M41" s="4">
        <v>6</v>
      </c>
      <c r="N41" s="4">
        <v>10</v>
      </c>
      <c r="O41" s="4">
        <v>12</v>
      </c>
      <c r="P41" s="4">
        <v>0</v>
      </c>
      <c r="Q41" s="4">
        <v>24</v>
      </c>
      <c r="R41" s="4">
        <v>8</v>
      </c>
      <c r="S41" s="4">
        <v>13</v>
      </c>
      <c r="T41" s="4">
        <v>13</v>
      </c>
      <c r="U41" s="4">
        <v>17</v>
      </c>
      <c r="V41" s="4">
        <v>0</v>
      </c>
      <c r="W41" s="4">
        <v>20</v>
      </c>
    </row>
    <row r="42" spans="2:23">
      <c r="L42" s="4" t="s">
        <v>23</v>
      </c>
      <c r="M42" s="4" t="s">
        <v>24</v>
      </c>
      <c r="N42" s="4" t="s">
        <v>25</v>
      </c>
      <c r="O42" s="4" t="s">
        <v>26</v>
      </c>
      <c r="P42" s="4" t="s">
        <v>27</v>
      </c>
      <c r="Q42" s="4" t="s">
        <v>28</v>
      </c>
      <c r="R42" s="4" t="s">
        <v>29</v>
      </c>
      <c r="S42" s="4" t="s">
        <v>30</v>
      </c>
      <c r="T42" s="4" t="s">
        <v>31</v>
      </c>
      <c r="U42" s="4" t="s">
        <v>32</v>
      </c>
      <c r="V42" s="4" t="s">
        <v>33</v>
      </c>
      <c r="W42" s="4" t="s">
        <v>34</v>
      </c>
    </row>
    <row r="43" spans="2:23">
      <c r="L43" s="4">
        <v>5</v>
      </c>
      <c r="M43" s="4">
        <v>6</v>
      </c>
      <c r="N43" s="4">
        <v>4</v>
      </c>
      <c r="O43" s="4">
        <v>4</v>
      </c>
      <c r="P43" s="4">
        <v>0</v>
      </c>
      <c r="Q43" s="4">
        <v>8</v>
      </c>
      <c r="R43" s="4">
        <v>6</v>
      </c>
      <c r="S43" s="4">
        <v>3</v>
      </c>
      <c r="T43" s="4">
        <v>4</v>
      </c>
      <c r="U43" s="4">
        <v>5</v>
      </c>
      <c r="V43" s="4">
        <v>0</v>
      </c>
      <c r="W43" s="4">
        <v>6</v>
      </c>
    </row>
    <row r="44" spans="2:23">
      <c r="L44" s="4">
        <v>15</v>
      </c>
      <c r="M44" s="4">
        <v>6</v>
      </c>
      <c r="N44" s="4">
        <v>13</v>
      </c>
      <c r="O44" s="4">
        <v>12</v>
      </c>
      <c r="P44" s="4">
        <v>0</v>
      </c>
      <c r="Q44" s="4">
        <v>24</v>
      </c>
      <c r="R44" s="4">
        <v>8</v>
      </c>
      <c r="S44" s="4">
        <v>13</v>
      </c>
      <c r="T44" s="4">
        <v>12</v>
      </c>
      <c r="U44" s="4">
        <v>17</v>
      </c>
      <c r="V44" s="4">
        <v>0</v>
      </c>
      <c r="W44" s="4">
        <v>20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A2:W44"/>
  <sheetViews>
    <sheetView workbookViewId="0">
      <selection activeCell="N18" sqref="N18"/>
    </sheetView>
  </sheetViews>
  <sheetFormatPr baseColWidth="10" defaultRowHeight="20"/>
  <sheetData>
    <row r="2" spans="2:18">
      <c r="B2" t="s">
        <v>21</v>
      </c>
      <c r="K2" t="s">
        <v>8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18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I4" t="s">
        <v>9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  <c r="R4" t="s">
        <v>9</v>
      </c>
    </row>
    <row r="5" spans="2:18">
      <c r="B5" s="2" t="s">
        <v>10</v>
      </c>
      <c r="C5">
        <v>3.2902</v>
      </c>
      <c r="D5">
        <v>2.6595</v>
      </c>
      <c r="E5">
        <v>2.6053999999999999</v>
      </c>
      <c r="F5">
        <v>4.4832999999999998</v>
      </c>
      <c r="G5">
        <v>3.6778</v>
      </c>
      <c r="H5">
        <v>4.6757999999999997</v>
      </c>
      <c r="I5">
        <v>4.7178000000000004</v>
      </c>
      <c r="K5" s="2" t="s">
        <v>10</v>
      </c>
    </row>
    <row r="6" spans="2:18">
      <c r="B6" s="2" t="s">
        <v>11</v>
      </c>
      <c r="C6">
        <v>4.0269000000000004</v>
      </c>
      <c r="D6">
        <v>3.9165000000000001</v>
      </c>
      <c r="E6">
        <v>3.7143999999999999</v>
      </c>
      <c r="F6">
        <v>4.8152999999999997</v>
      </c>
      <c r="G6">
        <v>4.4324000000000003</v>
      </c>
      <c r="H6">
        <v>4.9424000000000001</v>
      </c>
      <c r="I6">
        <v>5.4119000000000002</v>
      </c>
      <c r="K6" s="2" t="s">
        <v>11</v>
      </c>
    </row>
    <row r="7" spans="2:18">
      <c r="B7" t="s">
        <v>1</v>
      </c>
      <c r="C7">
        <v>3.8574000000000002</v>
      </c>
      <c r="D7">
        <v>3.5809000000000002</v>
      </c>
      <c r="E7">
        <v>3.4342999999999999</v>
      </c>
      <c r="F7">
        <v>4.7462999999999997</v>
      </c>
      <c r="G7">
        <v>4.2607999999999997</v>
      </c>
      <c r="H7">
        <v>4.8871000000000002</v>
      </c>
      <c r="I7">
        <v>5.2575000000000003</v>
      </c>
      <c r="K7" t="s">
        <v>1</v>
      </c>
    </row>
    <row r="8" spans="2:18">
      <c r="B8" s="2" t="s">
        <v>10</v>
      </c>
      <c r="C8">
        <v>3.8746</v>
      </c>
      <c r="D8">
        <v>3.7368000000000001</v>
      </c>
      <c r="E8">
        <v>4.0189000000000004</v>
      </c>
      <c r="F8">
        <v>4.3330000000000002</v>
      </c>
      <c r="G8">
        <v>3.9056000000000002</v>
      </c>
      <c r="H8">
        <v>4.5354999999999999</v>
      </c>
      <c r="I8">
        <v>4.6848000000000001</v>
      </c>
      <c r="K8" s="2" t="s">
        <v>10</v>
      </c>
    </row>
    <row r="9" spans="2:18">
      <c r="B9" s="2" t="s">
        <v>11</v>
      </c>
      <c r="C9">
        <v>3.4487000000000001</v>
      </c>
      <c r="D9">
        <v>3.0794999999999999</v>
      </c>
      <c r="E9">
        <v>2.8287</v>
      </c>
      <c r="F9">
        <v>3.7553999999999998</v>
      </c>
      <c r="G9">
        <v>3.6406000000000001</v>
      </c>
      <c r="H9">
        <v>4.0945999999999998</v>
      </c>
      <c r="I9">
        <v>4.2611999999999997</v>
      </c>
      <c r="K9" s="2" t="s">
        <v>11</v>
      </c>
    </row>
    <row r="10" spans="2:18">
      <c r="B10" t="s">
        <v>22</v>
      </c>
      <c r="C10">
        <v>3.5529999999999999</v>
      </c>
      <c r="D10">
        <v>3.2307000000000001</v>
      </c>
      <c r="E10">
        <v>3.0714999999999999</v>
      </c>
      <c r="F10">
        <v>3.8940999999999999</v>
      </c>
      <c r="G10">
        <v>3.7081</v>
      </c>
      <c r="H10">
        <v>4.2038000000000002</v>
      </c>
      <c r="I10">
        <v>4.3667999999999996</v>
      </c>
      <c r="K10" t="s">
        <v>22</v>
      </c>
    </row>
    <row r="11" spans="2:18">
      <c r="B11" s="2" t="s">
        <v>10</v>
      </c>
      <c r="C11">
        <v>3.8698999999999999</v>
      </c>
      <c r="D11">
        <v>5.4923000000000002</v>
      </c>
      <c r="E11">
        <v>6.6632999999999996</v>
      </c>
      <c r="F11">
        <v>5.7065000000000001</v>
      </c>
      <c r="G11">
        <v>4.0086000000000004</v>
      </c>
      <c r="H11">
        <v>5.0269000000000004</v>
      </c>
      <c r="I11">
        <v>5.83</v>
      </c>
      <c r="K11" s="2" t="s">
        <v>10</v>
      </c>
    </row>
    <row r="12" spans="2:18">
      <c r="B12" s="2" t="s">
        <v>11</v>
      </c>
      <c r="C12">
        <v>2.7928999999999999</v>
      </c>
      <c r="D12">
        <v>2.5476000000000001</v>
      </c>
      <c r="E12">
        <v>2.3206000000000002</v>
      </c>
      <c r="F12">
        <v>4.3369999999999997</v>
      </c>
      <c r="G12">
        <v>4.1867000000000001</v>
      </c>
      <c r="H12">
        <v>4.2131999999999996</v>
      </c>
      <c r="I12">
        <v>4.6623000000000001</v>
      </c>
      <c r="K12" s="2" t="s">
        <v>11</v>
      </c>
    </row>
    <row r="13" spans="2:18">
      <c r="B13" t="s">
        <v>2</v>
      </c>
      <c r="C13">
        <v>2.9247000000000001</v>
      </c>
      <c r="D13">
        <v>2.7867999999999999</v>
      </c>
      <c r="E13">
        <v>2.5748000000000002</v>
      </c>
      <c r="F13">
        <v>4.5110999999999999</v>
      </c>
      <c r="G13">
        <v>4.1577000000000002</v>
      </c>
      <c r="H13">
        <v>4.3253000000000004</v>
      </c>
      <c r="I13">
        <v>4.8231000000000002</v>
      </c>
      <c r="K13" t="s">
        <v>2</v>
      </c>
    </row>
    <row r="14" spans="2:18">
      <c r="B14" s="2" t="s">
        <v>10</v>
      </c>
      <c r="C14">
        <v>5.1509</v>
      </c>
      <c r="D14">
        <v>4.8358999999999996</v>
      </c>
      <c r="E14">
        <v>4.9805999999999999</v>
      </c>
      <c r="F14">
        <v>5.9999000000000002</v>
      </c>
      <c r="G14">
        <v>5.3598999999999997</v>
      </c>
      <c r="H14">
        <v>6.1550000000000002</v>
      </c>
      <c r="I14">
        <v>6.2942999999999998</v>
      </c>
      <c r="K14" s="2" t="s">
        <v>10</v>
      </c>
    </row>
    <row r="15" spans="2:18">
      <c r="B15" s="2" t="s">
        <v>11</v>
      </c>
      <c r="C15">
        <v>5.2511999999999999</v>
      </c>
      <c r="D15">
        <v>5.0141999999999998</v>
      </c>
      <c r="E15">
        <v>4.7497999999999996</v>
      </c>
      <c r="F15">
        <v>6.0829000000000004</v>
      </c>
      <c r="G15">
        <v>5.8723999999999998</v>
      </c>
      <c r="H15">
        <v>6.3162000000000003</v>
      </c>
      <c r="I15">
        <v>6.6376999999999997</v>
      </c>
      <c r="K15" s="2" t="s">
        <v>11</v>
      </c>
    </row>
    <row r="16" spans="2:18">
      <c r="B16" t="s">
        <v>3</v>
      </c>
      <c r="C16">
        <v>5.2282999999999999</v>
      </c>
      <c r="D16">
        <v>4.9733000000000001</v>
      </c>
      <c r="E16">
        <v>4.7987000000000002</v>
      </c>
      <c r="F16">
        <v>6.0640999999999998</v>
      </c>
      <c r="G16">
        <v>5.7515000000000001</v>
      </c>
      <c r="H16">
        <v>6.2793999999999999</v>
      </c>
      <c r="I16">
        <v>6.5574000000000003</v>
      </c>
      <c r="K16" t="s">
        <v>3</v>
      </c>
    </row>
    <row r="18" spans="1:23">
      <c r="A18" t="s">
        <v>18</v>
      </c>
      <c r="B18" t="s">
        <v>14</v>
      </c>
      <c r="K18" t="s">
        <v>14</v>
      </c>
    </row>
    <row r="19" spans="1:23">
      <c r="A19" t="s">
        <v>19</v>
      </c>
      <c r="B19" t="s">
        <v>15</v>
      </c>
      <c r="K19" t="s">
        <v>15</v>
      </c>
    </row>
    <row r="20" spans="1:23">
      <c r="A20" t="s">
        <v>20</v>
      </c>
      <c r="B20" t="s">
        <v>16</v>
      </c>
      <c r="K20" t="s">
        <v>16</v>
      </c>
    </row>
    <row r="23" spans="1:23">
      <c r="B23" t="s">
        <v>12</v>
      </c>
    </row>
    <row r="24" spans="1:23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L24" s="4" t="s">
        <v>23</v>
      </c>
      <c r="M24" s="4" t="s">
        <v>24</v>
      </c>
      <c r="N24" s="4" t="s">
        <v>25</v>
      </c>
      <c r="O24" s="4" t="s">
        <v>26</v>
      </c>
      <c r="P24" s="4" t="s">
        <v>27</v>
      </c>
      <c r="Q24" s="4" t="s">
        <v>28</v>
      </c>
      <c r="R24" s="4" t="s">
        <v>29</v>
      </c>
      <c r="S24" s="4" t="s">
        <v>30</v>
      </c>
      <c r="T24" s="4" t="s">
        <v>31</v>
      </c>
      <c r="U24" s="4" t="s">
        <v>32</v>
      </c>
      <c r="V24" s="4" t="s">
        <v>33</v>
      </c>
      <c r="W24" s="4" t="s">
        <v>34</v>
      </c>
    </row>
    <row r="25" spans="1:23">
      <c r="C25" t="s">
        <v>6</v>
      </c>
      <c r="D25" t="s">
        <v>7</v>
      </c>
      <c r="E25" s="1">
        <v>0.2</v>
      </c>
      <c r="F25" s="1">
        <v>0.4</v>
      </c>
      <c r="G25" t="s">
        <v>4</v>
      </c>
      <c r="H25" t="s">
        <v>5</v>
      </c>
      <c r="I25" t="s">
        <v>9</v>
      </c>
      <c r="L25" s="4">
        <v>1</v>
      </c>
      <c r="M25" s="4">
        <v>1</v>
      </c>
      <c r="N25" s="4">
        <v>6</v>
      </c>
      <c r="O25" s="4">
        <v>6</v>
      </c>
      <c r="P25" s="4">
        <v>0</v>
      </c>
      <c r="Q25" s="4">
        <v>1</v>
      </c>
      <c r="R25" s="4">
        <v>10</v>
      </c>
      <c r="S25" s="4">
        <v>2</v>
      </c>
      <c r="T25" s="4">
        <v>1</v>
      </c>
      <c r="U25" s="4">
        <v>7</v>
      </c>
      <c r="V25" s="4">
        <v>0</v>
      </c>
      <c r="W25" s="4">
        <v>5</v>
      </c>
    </row>
    <row r="26" spans="1:23">
      <c r="B26" s="2" t="s">
        <v>10</v>
      </c>
      <c r="L26" s="4">
        <v>16</v>
      </c>
      <c r="M26" s="4">
        <v>7</v>
      </c>
      <c r="N26" s="4">
        <v>8</v>
      </c>
      <c r="O26" s="4">
        <v>20</v>
      </c>
      <c r="P26" s="4">
        <v>0</v>
      </c>
      <c r="Q26" s="4">
        <v>20</v>
      </c>
      <c r="R26" s="4">
        <v>14</v>
      </c>
      <c r="S26" s="4">
        <v>9</v>
      </c>
      <c r="T26" s="4">
        <v>13</v>
      </c>
      <c r="U26" s="4">
        <v>18</v>
      </c>
      <c r="V26" s="4">
        <v>0</v>
      </c>
      <c r="W26" s="4">
        <v>16</v>
      </c>
    </row>
    <row r="27" spans="1:23">
      <c r="B27" s="2" t="s">
        <v>11</v>
      </c>
      <c r="L27" s="4" t="s">
        <v>23</v>
      </c>
      <c r="M27" s="4" t="s">
        <v>24</v>
      </c>
      <c r="N27" s="4" t="s">
        <v>25</v>
      </c>
      <c r="O27" s="4" t="s">
        <v>26</v>
      </c>
      <c r="P27" s="4" t="s">
        <v>27</v>
      </c>
      <c r="Q27" s="4" t="s">
        <v>28</v>
      </c>
      <c r="R27" s="4" t="s">
        <v>29</v>
      </c>
      <c r="S27" s="4" t="s">
        <v>30</v>
      </c>
      <c r="T27" s="4" t="s">
        <v>31</v>
      </c>
      <c r="U27" s="4" t="s">
        <v>32</v>
      </c>
      <c r="V27" s="4" t="s">
        <v>33</v>
      </c>
      <c r="W27" s="4" t="s">
        <v>34</v>
      </c>
    </row>
    <row r="28" spans="1:23">
      <c r="B28" t="s">
        <v>1</v>
      </c>
      <c r="L28" s="4">
        <v>1</v>
      </c>
      <c r="M28" s="4">
        <v>1</v>
      </c>
      <c r="N28" s="4">
        <v>6</v>
      </c>
      <c r="O28" s="4">
        <v>5</v>
      </c>
      <c r="P28" s="4">
        <v>0</v>
      </c>
      <c r="Q28" s="4">
        <v>1</v>
      </c>
      <c r="R28" s="4">
        <v>10</v>
      </c>
      <c r="S28" s="4">
        <v>2</v>
      </c>
      <c r="T28" s="4">
        <v>1</v>
      </c>
      <c r="U28" s="4">
        <v>7</v>
      </c>
      <c r="V28" s="4">
        <v>0</v>
      </c>
      <c r="W28" s="4">
        <v>6</v>
      </c>
    </row>
    <row r="29" spans="1:23">
      <c r="B29" s="2" t="s">
        <v>10</v>
      </c>
      <c r="L29" s="4">
        <v>15</v>
      </c>
      <c r="M29" s="4">
        <v>7</v>
      </c>
      <c r="N29" s="4">
        <v>8</v>
      </c>
      <c r="O29" s="4">
        <v>19</v>
      </c>
      <c r="P29" s="4">
        <v>0</v>
      </c>
      <c r="Q29" s="4">
        <v>19</v>
      </c>
      <c r="R29" s="4">
        <v>14</v>
      </c>
      <c r="S29" s="4">
        <v>9</v>
      </c>
      <c r="T29" s="4">
        <v>13</v>
      </c>
      <c r="U29" s="4">
        <v>19</v>
      </c>
      <c r="V29" s="4">
        <v>0</v>
      </c>
      <c r="W29" s="4">
        <v>17</v>
      </c>
    </row>
    <row r="30" spans="1:23">
      <c r="B30" s="2" t="s">
        <v>11</v>
      </c>
      <c r="L30" s="4" t="s">
        <v>23</v>
      </c>
      <c r="M30" s="4" t="s">
        <v>24</v>
      </c>
      <c r="N30" s="4" t="s">
        <v>25</v>
      </c>
      <c r="O30" s="4" t="s">
        <v>26</v>
      </c>
      <c r="P30" s="4" t="s">
        <v>27</v>
      </c>
      <c r="Q30" s="4" t="s">
        <v>28</v>
      </c>
      <c r="R30" s="4" t="s">
        <v>29</v>
      </c>
      <c r="S30" s="4" t="s">
        <v>30</v>
      </c>
      <c r="T30" s="4" t="s">
        <v>31</v>
      </c>
      <c r="U30" s="4" t="s">
        <v>32</v>
      </c>
      <c r="V30" s="4" t="s">
        <v>33</v>
      </c>
      <c r="W30" s="4" t="s">
        <v>34</v>
      </c>
    </row>
    <row r="31" spans="1:23">
      <c r="B31" t="s">
        <v>2</v>
      </c>
      <c r="L31" s="4">
        <v>0</v>
      </c>
      <c r="M31" s="4">
        <v>1</v>
      </c>
      <c r="N31" s="4">
        <v>5</v>
      </c>
      <c r="O31" s="4">
        <v>5</v>
      </c>
      <c r="P31" s="4">
        <v>0</v>
      </c>
      <c r="Q31" s="4">
        <v>1</v>
      </c>
      <c r="R31" s="4">
        <v>10</v>
      </c>
      <c r="S31" s="4">
        <v>2</v>
      </c>
      <c r="T31" s="4">
        <v>1</v>
      </c>
      <c r="U31" s="4">
        <v>7</v>
      </c>
      <c r="V31" s="4">
        <v>0</v>
      </c>
      <c r="W31" s="4">
        <v>6</v>
      </c>
    </row>
    <row r="32" spans="1:23">
      <c r="B32" s="2" t="s">
        <v>10</v>
      </c>
      <c r="L32" s="4">
        <v>13</v>
      </c>
      <c r="M32" s="4">
        <v>7</v>
      </c>
      <c r="N32" s="4">
        <v>7</v>
      </c>
      <c r="O32" s="4">
        <v>19</v>
      </c>
      <c r="P32" s="4">
        <v>0</v>
      </c>
      <c r="Q32" s="4">
        <v>19</v>
      </c>
      <c r="R32" s="4">
        <v>14</v>
      </c>
      <c r="S32" s="4">
        <v>9</v>
      </c>
      <c r="T32" s="4">
        <v>13</v>
      </c>
      <c r="U32" s="4">
        <v>19</v>
      </c>
      <c r="V32" s="4">
        <v>0</v>
      </c>
      <c r="W32" s="4">
        <v>17</v>
      </c>
    </row>
    <row r="33" spans="1:23">
      <c r="B33" s="2" t="s">
        <v>11</v>
      </c>
      <c r="L33" s="4" t="s">
        <v>23</v>
      </c>
      <c r="M33" s="4" t="s">
        <v>24</v>
      </c>
      <c r="N33" s="4" t="s">
        <v>25</v>
      </c>
      <c r="O33" s="4" t="s">
        <v>26</v>
      </c>
      <c r="P33" s="4" t="s">
        <v>27</v>
      </c>
      <c r="Q33" s="4" t="s">
        <v>28</v>
      </c>
      <c r="R33" s="4" t="s">
        <v>29</v>
      </c>
      <c r="S33" s="4" t="s">
        <v>30</v>
      </c>
      <c r="T33" s="4" t="s">
        <v>31</v>
      </c>
      <c r="U33" s="4" t="s">
        <v>32</v>
      </c>
      <c r="V33" s="4" t="s">
        <v>33</v>
      </c>
      <c r="W33" s="4" t="s">
        <v>34</v>
      </c>
    </row>
    <row r="34" spans="1:23">
      <c r="B34" t="s">
        <v>0</v>
      </c>
      <c r="L34" s="4">
        <v>1</v>
      </c>
      <c r="M34" s="4">
        <v>1</v>
      </c>
      <c r="N34" s="4">
        <v>6</v>
      </c>
      <c r="O34" s="4">
        <v>6</v>
      </c>
      <c r="P34" s="4">
        <v>0</v>
      </c>
      <c r="Q34" s="4">
        <v>1</v>
      </c>
      <c r="R34" s="4">
        <v>10</v>
      </c>
      <c r="S34" s="4">
        <v>2</v>
      </c>
      <c r="T34" s="4">
        <v>1</v>
      </c>
      <c r="U34" s="4">
        <v>7</v>
      </c>
      <c r="V34" s="4">
        <v>0</v>
      </c>
      <c r="W34" s="4">
        <v>5</v>
      </c>
    </row>
    <row r="35" spans="1:23">
      <c r="B35" s="2" t="s">
        <v>10</v>
      </c>
      <c r="L35" s="4">
        <v>16</v>
      </c>
      <c r="M35" s="4">
        <v>7</v>
      </c>
      <c r="N35" s="4">
        <v>9</v>
      </c>
      <c r="O35" s="4">
        <v>20</v>
      </c>
      <c r="P35" s="4">
        <v>0</v>
      </c>
      <c r="Q35" s="4">
        <v>20</v>
      </c>
      <c r="R35" s="4">
        <v>14</v>
      </c>
      <c r="S35" s="4">
        <v>9</v>
      </c>
      <c r="T35" s="4">
        <v>13</v>
      </c>
      <c r="U35" s="4">
        <v>19</v>
      </c>
      <c r="V35" s="4">
        <v>0</v>
      </c>
      <c r="W35" s="4">
        <v>17</v>
      </c>
    </row>
    <row r="36" spans="1:23">
      <c r="B36" s="2" t="s">
        <v>11</v>
      </c>
      <c r="L36" s="4" t="s">
        <v>23</v>
      </c>
      <c r="M36" s="4" t="s">
        <v>24</v>
      </c>
      <c r="N36" s="4" t="s">
        <v>25</v>
      </c>
      <c r="O36" s="4" t="s">
        <v>26</v>
      </c>
      <c r="P36" s="4" t="s">
        <v>27</v>
      </c>
      <c r="Q36" s="4" t="s">
        <v>28</v>
      </c>
      <c r="R36" s="4" t="s">
        <v>29</v>
      </c>
      <c r="S36" s="4" t="s">
        <v>30</v>
      </c>
      <c r="T36" s="4" t="s">
        <v>31</v>
      </c>
      <c r="U36" s="4" t="s">
        <v>32</v>
      </c>
      <c r="V36" s="4" t="s">
        <v>33</v>
      </c>
      <c r="W36" s="4" t="s">
        <v>34</v>
      </c>
    </row>
    <row r="37" spans="1:23">
      <c r="B37" t="s">
        <v>3</v>
      </c>
      <c r="L37" s="4">
        <v>1</v>
      </c>
      <c r="M37" s="4">
        <v>1</v>
      </c>
      <c r="N37" s="4">
        <v>5</v>
      </c>
      <c r="O37" s="4">
        <v>6</v>
      </c>
      <c r="P37" s="4">
        <v>0</v>
      </c>
      <c r="Q37" s="4">
        <v>1</v>
      </c>
      <c r="R37" s="4">
        <v>10</v>
      </c>
      <c r="S37" s="4">
        <v>2</v>
      </c>
      <c r="T37" s="4">
        <v>1</v>
      </c>
      <c r="U37" s="4">
        <v>7</v>
      </c>
      <c r="V37" s="4">
        <v>0</v>
      </c>
      <c r="W37" s="4">
        <v>5</v>
      </c>
    </row>
    <row r="38" spans="1:23">
      <c r="L38" s="4">
        <v>14</v>
      </c>
      <c r="M38" s="4">
        <v>7</v>
      </c>
      <c r="N38" s="4">
        <v>8</v>
      </c>
      <c r="O38" s="4">
        <v>20</v>
      </c>
      <c r="P38" s="4">
        <v>0</v>
      </c>
      <c r="Q38" s="4">
        <v>20</v>
      </c>
      <c r="R38" s="4">
        <v>14</v>
      </c>
      <c r="S38" s="4">
        <v>9</v>
      </c>
      <c r="T38" s="4">
        <v>13</v>
      </c>
      <c r="U38" s="4">
        <v>19</v>
      </c>
      <c r="V38" s="4">
        <v>0</v>
      </c>
      <c r="W38" s="4">
        <v>17</v>
      </c>
    </row>
    <row r="39" spans="1:23">
      <c r="A39" t="s">
        <v>18</v>
      </c>
      <c r="B39" t="s">
        <v>14</v>
      </c>
      <c r="L39" s="4" t="s">
        <v>23</v>
      </c>
      <c r="M39" s="4" t="s">
        <v>24</v>
      </c>
      <c r="N39" s="4" t="s">
        <v>25</v>
      </c>
      <c r="O39" s="4" t="s">
        <v>26</v>
      </c>
      <c r="P39" s="4" t="s">
        <v>27</v>
      </c>
      <c r="Q39" s="4" t="s">
        <v>28</v>
      </c>
      <c r="R39" s="4" t="s">
        <v>29</v>
      </c>
      <c r="S39" s="4" t="s">
        <v>30</v>
      </c>
      <c r="T39" s="4" t="s">
        <v>31</v>
      </c>
      <c r="U39" s="4" t="s">
        <v>32</v>
      </c>
      <c r="V39" s="4" t="s">
        <v>33</v>
      </c>
      <c r="W39" s="4" t="s">
        <v>34</v>
      </c>
    </row>
    <row r="40" spans="1:23">
      <c r="A40" t="s">
        <v>19</v>
      </c>
      <c r="B40" t="s">
        <v>15</v>
      </c>
      <c r="L40" s="4">
        <v>1</v>
      </c>
      <c r="M40" s="4">
        <v>1</v>
      </c>
      <c r="N40" s="4">
        <v>6</v>
      </c>
      <c r="O40" s="4">
        <v>6</v>
      </c>
      <c r="P40" s="4">
        <v>0</v>
      </c>
      <c r="Q40" s="4">
        <v>1</v>
      </c>
      <c r="R40" s="4">
        <v>10</v>
      </c>
      <c r="S40" s="4">
        <v>2</v>
      </c>
      <c r="T40" s="4">
        <v>1</v>
      </c>
      <c r="U40" s="4">
        <v>7</v>
      </c>
      <c r="V40" s="4">
        <v>0</v>
      </c>
      <c r="W40" s="4">
        <v>6</v>
      </c>
    </row>
    <row r="41" spans="1:23">
      <c r="A41" t="s">
        <v>20</v>
      </c>
      <c r="B41" t="s">
        <v>16</v>
      </c>
      <c r="L41" s="4">
        <v>16</v>
      </c>
      <c r="M41" s="4">
        <v>7</v>
      </c>
      <c r="N41" s="4">
        <v>8</v>
      </c>
      <c r="O41" s="4">
        <v>19</v>
      </c>
      <c r="P41" s="4">
        <v>0</v>
      </c>
      <c r="Q41" s="4">
        <v>20</v>
      </c>
      <c r="R41" s="4">
        <v>14</v>
      </c>
      <c r="S41" s="4">
        <v>9</v>
      </c>
      <c r="T41" s="4">
        <v>13</v>
      </c>
      <c r="U41" s="4">
        <v>19</v>
      </c>
      <c r="V41" s="4">
        <v>0</v>
      </c>
      <c r="W41" s="4">
        <v>17</v>
      </c>
    </row>
    <row r="42" spans="1:23">
      <c r="L42" s="4" t="s">
        <v>23</v>
      </c>
      <c r="M42" s="4" t="s">
        <v>24</v>
      </c>
      <c r="N42" s="4" t="s">
        <v>25</v>
      </c>
      <c r="O42" s="4" t="s">
        <v>26</v>
      </c>
      <c r="P42" s="4" t="s">
        <v>27</v>
      </c>
      <c r="Q42" s="4" t="s">
        <v>28</v>
      </c>
      <c r="R42" s="4" t="s">
        <v>29</v>
      </c>
      <c r="S42" s="4" t="s">
        <v>30</v>
      </c>
      <c r="T42" s="4" t="s">
        <v>31</v>
      </c>
      <c r="U42" s="4" t="s">
        <v>32</v>
      </c>
      <c r="V42" s="4" t="s">
        <v>33</v>
      </c>
      <c r="W42" s="4" t="s">
        <v>34</v>
      </c>
    </row>
    <row r="43" spans="1:23">
      <c r="L43" s="4">
        <v>2</v>
      </c>
      <c r="M43" s="4">
        <v>1</v>
      </c>
      <c r="N43" s="4">
        <v>6</v>
      </c>
      <c r="O43" s="4">
        <v>6</v>
      </c>
      <c r="P43" s="4">
        <v>0</v>
      </c>
      <c r="Q43" s="4">
        <v>1</v>
      </c>
      <c r="R43" s="4">
        <v>10</v>
      </c>
      <c r="S43" s="4">
        <v>2</v>
      </c>
      <c r="T43" s="4">
        <v>1</v>
      </c>
      <c r="U43" s="4">
        <v>7</v>
      </c>
      <c r="V43" s="4">
        <v>0</v>
      </c>
      <c r="W43" s="4">
        <v>6</v>
      </c>
    </row>
    <row r="44" spans="1:23">
      <c r="L44" s="4">
        <v>17</v>
      </c>
      <c r="M44" s="4">
        <v>8</v>
      </c>
      <c r="N44" s="4">
        <v>9</v>
      </c>
      <c r="O44" s="4">
        <v>20</v>
      </c>
      <c r="P44" s="4">
        <v>0</v>
      </c>
      <c r="Q44" s="4">
        <v>20</v>
      </c>
      <c r="R44" s="4">
        <v>14</v>
      </c>
      <c r="S44" s="4">
        <v>9</v>
      </c>
      <c r="T44" s="4">
        <v>13</v>
      </c>
      <c r="U44" s="4">
        <v>19</v>
      </c>
      <c r="V44" s="4">
        <v>0</v>
      </c>
      <c r="W44" s="4">
        <v>17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AH45"/>
  <sheetViews>
    <sheetView tabSelected="1" topLeftCell="E2" workbookViewId="0">
      <selection activeCell="T17" sqref="T17"/>
    </sheetView>
  </sheetViews>
  <sheetFormatPr baseColWidth="10" defaultRowHeight="20"/>
  <sheetData>
    <row r="2" spans="2:20">
      <c r="B2" t="s">
        <v>21</v>
      </c>
      <c r="K2" t="s">
        <v>8</v>
      </c>
    </row>
    <row r="3" spans="2:20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20">
      <c r="C4" t="s">
        <v>6</v>
      </c>
      <c r="D4" t="s">
        <v>7</v>
      </c>
      <c r="E4" s="1">
        <v>0.2</v>
      </c>
      <c r="F4" s="1">
        <v>0.4</v>
      </c>
      <c r="G4" t="s">
        <v>4</v>
      </c>
      <c r="H4" t="s">
        <v>5</v>
      </c>
      <c r="I4" t="s">
        <v>9</v>
      </c>
      <c r="L4" t="s">
        <v>6</v>
      </c>
      <c r="M4" t="s">
        <v>7</v>
      </c>
      <c r="N4" s="1">
        <v>0.2</v>
      </c>
      <c r="O4" s="1">
        <v>0.4</v>
      </c>
      <c r="P4" t="s">
        <v>4</v>
      </c>
      <c r="Q4" t="s">
        <v>5</v>
      </c>
      <c r="R4" t="s">
        <v>9</v>
      </c>
    </row>
    <row r="5" spans="2:20">
      <c r="B5" s="2" t="s">
        <v>10</v>
      </c>
      <c r="C5">
        <f>ROUND(AVERAGE(seed1!C5,seed2!C5,seed3!C5,seed4!C5,seed5!C5),4)</f>
        <v>3.7774000000000001</v>
      </c>
      <c r="D5">
        <f>ROUND(AVERAGE(seed1!D5,seed2!D5,seed3!D5,seed4!D5,seed5!D5),4)</f>
        <v>3.8573</v>
      </c>
      <c r="E5">
        <f>ROUND(AVERAGE(seed1!E5,seed2!E5,seed3!E5,seed4!E5,seed5!E5),4)</f>
        <v>3.9369000000000001</v>
      </c>
      <c r="F5">
        <f>ROUND(AVERAGE(seed1!F5,seed2!F5,seed3!F5,seed4!F5,seed5!F5),4)</f>
        <v>4.0381999999999998</v>
      </c>
      <c r="G5">
        <f>ROUND(AVERAGE(seed1!G5,seed2!G5,seed3!G5,seed4!G5,seed5!G5),4)</f>
        <v>4.3136999999999999</v>
      </c>
      <c r="H5">
        <f>ROUND(AVERAGE(seed1!H5,seed2!H5,seed3!H5,seed4!H5,seed5!H5),4)</f>
        <v>4.7611999999999997</v>
      </c>
      <c r="I5">
        <f>ROUND(AVERAGE(seed1!I5,seed2!I5,seed3!I5,seed4!I5,seed5!I5),4)</f>
        <v>4.7656000000000001</v>
      </c>
      <c r="K5" s="2" t="s">
        <v>10</v>
      </c>
      <c r="L5" t="e">
        <f>ROUND(AVERAGE(seed1!L5,seed2!L5,seed3!L5,seed4!L5,seed5!L5),4)</f>
        <v>#DIV/0!</v>
      </c>
      <c r="M5" t="e">
        <f>ROUND(AVERAGE(seed1!M5,seed2!M5,seed3!M5,seed4!M5,seed5!M5),4)</f>
        <v>#DIV/0!</v>
      </c>
      <c r="N5" t="e">
        <f>ROUND(AVERAGE(seed1!N5,seed2!N5,seed3!N5,seed4!N5,seed5!N5),4)</f>
        <v>#DIV/0!</v>
      </c>
      <c r="O5" t="e">
        <f>ROUND(AVERAGE(seed1!O5,seed2!O5,seed3!O5,seed4!O5,seed5!O5),4)</f>
        <v>#DIV/0!</v>
      </c>
      <c r="P5" t="e">
        <f>ROUND(AVERAGE(seed1!P5,seed2!P5,seed3!P5,seed4!P5,seed5!P5),4)</f>
        <v>#DIV/0!</v>
      </c>
      <c r="Q5" t="e">
        <f>ROUND(AVERAGE(seed1!Q5,seed2!Q5,seed3!Q5,seed4!Q5,seed5!Q5),4)</f>
        <v>#DIV/0!</v>
      </c>
      <c r="R5" t="e">
        <f>ROUND(AVERAGE(seed1!R5,seed2!R5,seed3!R5,seed4!R5,seed5!R5),4)</f>
        <v>#DIV/0!</v>
      </c>
    </row>
    <row r="6" spans="2:20">
      <c r="B6" s="2" t="s">
        <v>11</v>
      </c>
      <c r="C6">
        <f>ROUND(AVERAGE(seed1!C6,seed2!C6,seed3!C6,seed4!C6,seed5!C6),4)</f>
        <v>4.3110999999999997</v>
      </c>
      <c r="D6">
        <f>ROUND(AVERAGE(seed1!D6,seed2!D6,seed3!D6,seed4!D6,seed5!D6),4)</f>
        <v>4.3402000000000003</v>
      </c>
      <c r="E6">
        <f>ROUND(AVERAGE(seed1!E6,seed2!E6,seed3!E6,seed4!E6,seed5!E6),4)</f>
        <v>4.4118000000000004</v>
      </c>
      <c r="F6">
        <f>ROUND(AVERAGE(seed1!F6,seed2!F6,seed3!F6,seed4!F6,seed5!F6),4)</f>
        <v>4.5076000000000001</v>
      </c>
      <c r="G6">
        <f>ROUND(AVERAGE(seed1!G6,seed2!G6,seed3!G6,seed4!G6,seed5!G6),4)</f>
        <v>4.5885999999999996</v>
      </c>
      <c r="H6">
        <f>ROUND(AVERAGE(seed1!H6,seed2!H6,seed3!H6,seed4!H6,seed5!H6),4)</f>
        <v>5.0494000000000003</v>
      </c>
      <c r="I6">
        <f>ROUND(AVERAGE(seed1!I6,seed2!I6,seed3!I6,seed4!I6,seed5!I6),4)</f>
        <v>5.2138</v>
      </c>
      <c r="K6" s="2" t="s">
        <v>11</v>
      </c>
      <c r="L6" t="e">
        <f>ROUND(AVERAGE(seed1!L6,seed2!L6,seed3!L6,seed4!L6,seed5!L6),4)</f>
        <v>#DIV/0!</v>
      </c>
      <c r="M6" t="e">
        <f>ROUND(AVERAGE(seed1!M6,seed2!M6,seed3!M6,seed4!M6,seed5!M6),4)</f>
        <v>#DIV/0!</v>
      </c>
      <c r="N6" t="e">
        <f>ROUND(AVERAGE(seed1!N6,seed2!N6,seed3!N6,seed4!N6,seed5!N6),4)</f>
        <v>#DIV/0!</v>
      </c>
      <c r="O6" t="e">
        <f>ROUND(AVERAGE(seed1!O6,seed2!O6,seed3!O6,seed4!O6,seed5!O6),4)</f>
        <v>#DIV/0!</v>
      </c>
      <c r="P6" t="e">
        <f>ROUND(AVERAGE(seed1!P6,seed2!P6,seed3!P6,seed4!P6,seed5!P6),4)</f>
        <v>#DIV/0!</v>
      </c>
      <c r="Q6" t="e">
        <f>ROUND(AVERAGE(seed1!Q6,seed2!Q6,seed3!Q6,seed4!Q6,seed5!Q6),4)</f>
        <v>#DIV/0!</v>
      </c>
      <c r="R6" t="e">
        <f>ROUND(AVERAGE(seed1!R6,seed2!R6,seed3!R6,seed4!R6,seed5!R6),4)</f>
        <v>#DIV/0!</v>
      </c>
    </row>
    <row r="7" spans="2:20">
      <c r="B7" t="s">
        <v>1</v>
      </c>
      <c r="C7">
        <f>ROUND(AVERAGE(seed1!C7,seed2!C7,seed3!C7,seed4!C7,seed5!C7),4)</f>
        <v>4.1645000000000003</v>
      </c>
      <c r="D7">
        <f>ROUND(AVERAGE(seed1!D7,seed2!D7,seed3!D7,seed4!D7,seed5!D7),4)</f>
        <v>4.2035999999999998</v>
      </c>
      <c r="E7">
        <f>ROUND(AVERAGE(seed1!E7,seed2!E7,seed3!E7,seed4!E7,seed5!E7),4)</f>
        <v>4.2725999999999997</v>
      </c>
      <c r="F7">
        <f>ROUND(AVERAGE(seed1!F7,seed2!F7,seed3!F7,seed4!F7,seed5!F7),4)</f>
        <v>4.3516000000000004</v>
      </c>
      <c r="G7">
        <f>ROUND(AVERAGE(seed1!G7,seed2!G7,seed3!G7,seed4!G7,seed5!G7),4)</f>
        <v>4.5217000000000001</v>
      </c>
      <c r="H7">
        <f>ROUND(AVERAGE(seed1!H7,seed2!H7,seed3!H7,seed4!H7,seed5!H7),4)</f>
        <v>4.9683000000000002</v>
      </c>
      <c r="I7">
        <f>ROUND(AVERAGE(seed1!I7,seed2!I7,seed3!I7,seed4!I7,seed5!I7),4)</f>
        <v>5.0819999999999999</v>
      </c>
      <c r="K7" t="s">
        <v>1</v>
      </c>
      <c r="L7" t="e">
        <f>ROUND(AVERAGE(seed1!L7,seed2!L7,seed3!L7,seed4!L7,seed5!L7),4)</f>
        <v>#DIV/0!</v>
      </c>
      <c r="M7" t="e">
        <f>ROUND(AVERAGE(seed1!M7,seed2!M7,seed3!M7,seed4!M7,seed5!M7),4)</f>
        <v>#DIV/0!</v>
      </c>
      <c r="N7" t="e">
        <f>ROUND(AVERAGE(seed1!N7,seed2!N7,seed3!N7,seed4!N7,seed5!N7),4)</f>
        <v>#DIV/0!</v>
      </c>
      <c r="O7" t="e">
        <f>ROUND(AVERAGE(seed1!O7,seed2!O7,seed3!O7,seed4!O7,seed5!O7),4)</f>
        <v>#DIV/0!</v>
      </c>
      <c r="P7" t="e">
        <f>ROUND(AVERAGE(seed1!P7,seed2!P7,seed3!P7,seed4!P7,seed5!P7),4)</f>
        <v>#DIV/0!</v>
      </c>
      <c r="Q7" t="e">
        <f>ROUND(AVERAGE(seed1!Q7,seed2!Q7,seed3!Q7,seed4!Q7,seed5!Q7),4)</f>
        <v>#DIV/0!</v>
      </c>
      <c r="R7" t="e">
        <f>ROUND(AVERAGE(seed1!R7,seed2!R7,seed3!R7,seed4!R7,seed5!R7),4)</f>
        <v>#DIV/0!</v>
      </c>
    </row>
    <row r="8" spans="2:20">
      <c r="B8" s="2" t="s">
        <v>10</v>
      </c>
      <c r="C8">
        <f>ROUND(AVERAGE(seed1!C8,seed2!C8,seed3!C8,seed4!C8,seed5!C8),4)</f>
        <v>3.0880999999999998</v>
      </c>
      <c r="D8">
        <f>ROUND(AVERAGE(seed1!D8,seed2!D8,seed3!D8,seed4!D8,seed5!D8),4)</f>
        <v>3.3384</v>
      </c>
      <c r="E8">
        <f>ROUND(AVERAGE(seed1!E8,seed2!E8,seed3!E8,seed4!E8,seed5!E8),4)</f>
        <v>3.4178000000000002</v>
      </c>
      <c r="F8">
        <f>ROUND(AVERAGE(seed1!F8,seed2!F8,seed3!F8,seed4!F8,seed5!F8),4)</f>
        <v>3.3384999999999998</v>
      </c>
      <c r="G8">
        <f>ROUND(AVERAGE(seed1!G8,seed2!G8,seed3!G8,seed4!G8,seed5!G8),4)</f>
        <v>3.6320000000000001</v>
      </c>
      <c r="H8">
        <f>ROUND(AVERAGE(seed1!H8,seed2!H8,seed3!H8,seed4!H8,seed5!H8),4)</f>
        <v>3.9594</v>
      </c>
      <c r="I8">
        <f>ROUND(AVERAGE(seed1!I8,seed2!I8,seed3!I8,seed4!I8,seed5!I8),4)</f>
        <v>4.0567000000000002</v>
      </c>
      <c r="K8" s="2" t="s">
        <v>10</v>
      </c>
      <c r="L8" t="e">
        <f>ROUND(AVERAGE(seed1!L8,seed2!L8,seed3!L8,seed4!L8,seed5!L8),4)</f>
        <v>#DIV/0!</v>
      </c>
      <c r="M8" t="e">
        <f>ROUND(AVERAGE(seed1!M8,seed2!M8,seed3!M8,seed4!M8,seed5!M8),4)</f>
        <v>#DIV/0!</v>
      </c>
      <c r="N8" t="e">
        <f>ROUND(AVERAGE(seed1!N8,seed2!N8,seed3!N8,seed4!N8,seed5!N8),4)</f>
        <v>#DIV/0!</v>
      </c>
      <c r="O8" t="e">
        <f>ROUND(AVERAGE(seed1!O8,seed2!O8,seed3!O8,seed4!O8,seed5!O8),4)</f>
        <v>#DIV/0!</v>
      </c>
      <c r="P8" t="e">
        <f>ROUND(AVERAGE(seed1!P8,seed2!P8,seed3!P8,seed4!P8,seed5!P8),4)</f>
        <v>#DIV/0!</v>
      </c>
      <c r="Q8" t="e">
        <f>ROUND(AVERAGE(seed1!Q8,seed2!Q8,seed3!Q8,seed4!Q8,seed5!Q8),4)</f>
        <v>#DIV/0!</v>
      </c>
      <c r="R8" t="e">
        <f>ROUND(AVERAGE(seed1!R8,seed2!R8,seed3!R8,seed4!R8,seed5!R8),4)</f>
        <v>#DIV/0!</v>
      </c>
    </row>
    <row r="9" spans="2:20">
      <c r="B9" s="2" t="s">
        <v>11</v>
      </c>
      <c r="C9">
        <f>ROUND(AVERAGE(seed1!C9,seed2!C9,seed3!C9,seed4!C9,seed5!C9),4)</f>
        <v>3.6063000000000001</v>
      </c>
      <c r="D9">
        <f>ROUND(AVERAGE(seed1!D9,seed2!D9,seed3!D9,seed4!D9,seed5!D9),4)</f>
        <v>3.5552000000000001</v>
      </c>
      <c r="E9">
        <f>ROUND(AVERAGE(seed1!E9,seed2!E9,seed3!E9,seed4!E9,seed5!E9),4)</f>
        <v>3.6621999999999999</v>
      </c>
      <c r="F9">
        <f>ROUND(AVERAGE(seed1!F9,seed2!F9,seed3!F9,seed4!F9,seed5!F9),4)</f>
        <v>3.4841000000000002</v>
      </c>
      <c r="G9">
        <f>ROUND(AVERAGE(seed1!G9,seed2!G9,seed3!G9,seed4!G9,seed5!G9),4)</f>
        <v>3.9009</v>
      </c>
      <c r="H9">
        <f>ROUND(AVERAGE(seed1!H9,seed2!H9,seed3!H9,seed4!H9,seed5!H9),4)</f>
        <v>4.0312000000000001</v>
      </c>
      <c r="I9">
        <f>ROUND(AVERAGE(seed1!I9,seed2!I9,seed3!I9,seed4!I9,seed5!I9),4)</f>
        <v>4.2214</v>
      </c>
      <c r="K9" s="2" t="s">
        <v>11</v>
      </c>
      <c r="L9" t="e">
        <f>ROUND(AVERAGE(seed1!L9,seed2!L9,seed3!L9,seed4!L9,seed5!L9),4)</f>
        <v>#DIV/0!</v>
      </c>
      <c r="M9" t="e">
        <f>ROUND(AVERAGE(seed1!M9,seed2!M9,seed3!M9,seed4!M9,seed5!M9),4)</f>
        <v>#DIV/0!</v>
      </c>
      <c r="N9" t="e">
        <f>ROUND(AVERAGE(seed1!N9,seed2!N9,seed3!N9,seed4!N9,seed5!N9),4)</f>
        <v>#DIV/0!</v>
      </c>
      <c r="O9" t="e">
        <f>ROUND(AVERAGE(seed1!O9,seed2!O9,seed3!O9,seed4!O9,seed5!O9),4)</f>
        <v>#DIV/0!</v>
      </c>
      <c r="P9" t="e">
        <f>ROUND(AVERAGE(seed1!P9,seed2!P9,seed3!P9,seed4!P9,seed5!P9),4)</f>
        <v>#DIV/0!</v>
      </c>
      <c r="Q9" t="e">
        <f>ROUND(AVERAGE(seed1!Q9,seed2!Q9,seed3!Q9,seed4!Q9,seed5!Q9),4)</f>
        <v>#DIV/0!</v>
      </c>
      <c r="R9" t="e">
        <f>ROUND(AVERAGE(seed1!R9,seed2!R9,seed3!R9,seed4!R9,seed5!R9),4)</f>
        <v>#DIV/0!</v>
      </c>
    </row>
    <row r="10" spans="2:20">
      <c r="B10" t="s">
        <v>22</v>
      </c>
      <c r="C10">
        <f>ROUND(AVERAGE(seed1!C10,seed2!C10,seed3!C10,seed4!C10,seed5!C10),4)</f>
        <v>3.4247000000000001</v>
      </c>
      <c r="D10">
        <f>ROUND(AVERAGE(seed1!D10,seed2!D10,seed3!D10,seed4!D10,seed5!D10),4)</f>
        <v>3.4820000000000002</v>
      </c>
      <c r="E10">
        <f>ROUND(AVERAGE(seed1!E10,seed2!E10,seed3!E10,seed4!E10,seed5!E10),4)</f>
        <v>3.5615000000000001</v>
      </c>
      <c r="F10">
        <f>ROUND(AVERAGE(seed1!F10,seed2!F10,seed3!F10,seed4!F10,seed5!F10),4)</f>
        <v>3.4239000000000002</v>
      </c>
      <c r="G10">
        <f>ROUND(AVERAGE(seed1!G10,seed2!G10,seed3!G10,seed4!G10,seed5!G10),4)</f>
        <v>3.8178000000000001</v>
      </c>
      <c r="H10">
        <f>ROUND(AVERAGE(seed1!H10,seed2!H10,seed3!H10,seed4!H10,seed5!H10),4)</f>
        <v>4.0076000000000001</v>
      </c>
      <c r="I10">
        <f>ROUND(AVERAGE(seed1!I10,seed2!I10,seed3!I10,seed4!I10,seed5!I10),4)</f>
        <v>4.1677</v>
      </c>
      <c r="K10" t="s">
        <v>22</v>
      </c>
      <c r="L10" t="e">
        <f>ROUND(AVERAGE(seed1!L10,seed2!L10,seed3!L10,seed4!L10,seed5!L10),4)</f>
        <v>#DIV/0!</v>
      </c>
      <c r="M10" t="e">
        <f>ROUND(AVERAGE(seed1!M10,seed2!M10,seed3!M10,seed4!M10,seed5!M10),4)</f>
        <v>#DIV/0!</v>
      </c>
      <c r="N10" t="e">
        <f>ROUND(AVERAGE(seed1!N10,seed2!N10,seed3!N10,seed4!N10,seed5!N10),4)</f>
        <v>#DIV/0!</v>
      </c>
      <c r="O10" t="e">
        <f>ROUND(AVERAGE(seed1!O10,seed2!O10,seed3!O10,seed4!O10,seed5!O10),4)</f>
        <v>#DIV/0!</v>
      </c>
      <c r="P10" t="e">
        <f>ROUND(AVERAGE(seed1!P10,seed2!P10,seed3!P10,seed4!P10,seed5!P10),4)</f>
        <v>#DIV/0!</v>
      </c>
      <c r="Q10" t="e">
        <f>ROUND(AVERAGE(seed1!Q10,seed2!Q10,seed3!Q10,seed4!Q10,seed5!Q10),4)</f>
        <v>#DIV/0!</v>
      </c>
      <c r="R10" t="e">
        <f>ROUND(AVERAGE(seed1!R10,seed2!R10,seed3!R10,seed4!R10,seed5!R10),4)</f>
        <v>#DIV/0!</v>
      </c>
    </row>
    <row r="11" spans="2:20">
      <c r="B11" s="2" t="s">
        <v>10</v>
      </c>
      <c r="C11">
        <f>ROUND(AVERAGE(seed1!C11,seed2!C11,seed3!C11,seed4!C11,seed5!C11),4)</f>
        <v>2.9207000000000001</v>
      </c>
      <c r="D11">
        <f>ROUND(AVERAGE(seed1!D11,seed2!D11,seed3!D11,seed4!D11,seed5!D11),4)</f>
        <v>4.6242999999999999</v>
      </c>
      <c r="E11">
        <f>ROUND(AVERAGE(seed1!E11,seed2!E11,seed3!E11,seed4!E11,seed5!E11),4)</f>
        <v>3.9761000000000002</v>
      </c>
      <c r="F11">
        <f>ROUND(AVERAGE(seed1!F11,seed2!F11,seed3!F11,seed4!F11,seed5!F11),4)</f>
        <v>3.3906000000000001</v>
      </c>
      <c r="G11">
        <f>ROUND(AVERAGE(seed1!G11,seed2!G11,seed3!G11,seed4!G11,seed5!G11),4)</f>
        <v>3.5503</v>
      </c>
      <c r="H11">
        <f>ROUND(AVERAGE(seed1!H11,seed2!H11,seed3!H11,seed4!H11,seed5!H11),4)</f>
        <v>4.0629999999999997</v>
      </c>
      <c r="I11">
        <f>ROUND(AVERAGE(seed1!I11,seed2!I11,seed3!I11,seed4!I11,seed5!I11),4)</f>
        <v>5.1458000000000004</v>
      </c>
      <c r="K11" s="2" t="s">
        <v>10</v>
      </c>
      <c r="L11" t="e">
        <f>ROUND(AVERAGE(seed1!L11,seed2!L11,seed3!L11,seed4!L11,seed5!L11),4)</f>
        <v>#DIV/0!</v>
      </c>
      <c r="M11" t="e">
        <f>ROUND(AVERAGE(seed1!M11,seed2!M11,seed3!M11,seed4!M11,seed5!M11),4)</f>
        <v>#DIV/0!</v>
      </c>
      <c r="N11" t="e">
        <f>ROUND(AVERAGE(seed1!N11,seed2!N11,seed3!N11,seed4!N11,seed5!N11),4)</f>
        <v>#DIV/0!</v>
      </c>
      <c r="O11" t="e">
        <f>ROUND(AVERAGE(seed1!O11,seed2!O11,seed3!O11,seed4!O11,seed5!O11),4)</f>
        <v>#DIV/0!</v>
      </c>
      <c r="P11" t="e">
        <f>ROUND(AVERAGE(seed1!P11,seed2!P11,seed3!P11,seed4!P11,seed5!P11),4)</f>
        <v>#DIV/0!</v>
      </c>
      <c r="Q11" t="e">
        <f>ROUND(AVERAGE(seed1!Q11,seed2!Q11,seed3!Q11,seed4!Q11,seed5!Q11),4)</f>
        <v>#DIV/0!</v>
      </c>
      <c r="R11" t="e">
        <f>ROUND(AVERAGE(seed1!R11,seed2!R11,seed3!R11,seed4!R11,seed5!R11),4)</f>
        <v>#DIV/0!</v>
      </c>
    </row>
    <row r="12" spans="2:20">
      <c r="B12" s="2" t="s">
        <v>11</v>
      </c>
      <c r="C12">
        <f>ROUND(AVERAGE(seed1!C12,seed2!C12,seed3!C12,seed4!C12,seed5!C12),4)</f>
        <v>3.1272000000000002</v>
      </c>
      <c r="D12">
        <f>ROUND(AVERAGE(seed1!D12,seed2!D12,seed3!D12,seed4!D12,seed5!D12),4)</f>
        <v>4.8331</v>
      </c>
      <c r="E12">
        <f>ROUND(AVERAGE(seed1!E12,seed2!E12,seed3!E12,seed4!E12,seed5!E12),4)</f>
        <v>3.8224</v>
      </c>
      <c r="F12">
        <f>ROUND(AVERAGE(seed1!F12,seed2!F12,seed3!F12,seed4!F12,seed5!F12),4)</f>
        <v>3.4439000000000002</v>
      </c>
      <c r="G12">
        <f>ROUND(AVERAGE(seed1!G12,seed2!G12,seed3!G12,seed4!G12,seed5!G12),4)</f>
        <v>3.9430000000000001</v>
      </c>
      <c r="H12">
        <f>ROUND(AVERAGE(seed1!H12,seed2!H12,seed3!H12,seed4!H12,seed5!H12),4)</f>
        <v>4.8277999999999999</v>
      </c>
      <c r="I12">
        <f>ROUND(AVERAGE(seed1!I12,seed2!I12,seed3!I12,seed4!I12,seed5!I12),4)</f>
        <v>5.0407000000000002</v>
      </c>
      <c r="K12" s="2" t="s">
        <v>11</v>
      </c>
      <c r="L12" t="e">
        <f>ROUND(AVERAGE(seed1!L12,seed2!L12,seed3!L12,seed4!L12,seed5!L12),4)</f>
        <v>#DIV/0!</v>
      </c>
      <c r="M12" t="e">
        <f>ROUND(AVERAGE(seed1!M12,seed2!M12,seed3!M12,seed4!M12,seed5!M12),4)</f>
        <v>#DIV/0!</v>
      </c>
      <c r="N12" t="e">
        <f>ROUND(AVERAGE(seed1!N12,seed2!N12,seed3!N12,seed4!N12,seed5!N12),4)</f>
        <v>#DIV/0!</v>
      </c>
      <c r="O12" t="e">
        <f>ROUND(AVERAGE(seed1!O12,seed2!O12,seed3!O12,seed4!O12,seed5!O12),4)</f>
        <v>#DIV/0!</v>
      </c>
      <c r="P12" t="e">
        <f>ROUND(AVERAGE(seed1!P12,seed2!P12,seed3!P12,seed4!P12,seed5!P12),4)</f>
        <v>#DIV/0!</v>
      </c>
      <c r="Q12" t="e">
        <f>ROUND(AVERAGE(seed1!Q12,seed2!Q12,seed3!Q12,seed4!Q12,seed5!Q12),4)</f>
        <v>#DIV/0!</v>
      </c>
      <c r="R12" t="e">
        <f>ROUND(AVERAGE(seed1!R12,seed2!R12,seed3!R12,seed4!R12,seed5!R12),4)</f>
        <v>#DIV/0!</v>
      </c>
    </row>
    <row r="13" spans="2:20">
      <c r="B13" t="s">
        <v>2</v>
      </c>
      <c r="C13">
        <f>ROUND(AVERAGE(seed1!C13,seed2!C13,seed3!C13,seed4!C13,seed5!C13),4)</f>
        <v>3.012</v>
      </c>
      <c r="D13">
        <f>ROUND(AVERAGE(seed1!D13,seed2!D13,seed3!D13,seed4!D13,seed5!D13),4)</f>
        <v>4.5023</v>
      </c>
      <c r="E13">
        <f>ROUND(AVERAGE(seed1!E13,seed2!E13,seed3!E13,seed4!E13,seed5!E13),4)</f>
        <v>3.5021</v>
      </c>
      <c r="F13">
        <f>ROUND(AVERAGE(seed1!F13,seed2!F13,seed3!F13,seed4!F13,seed5!F13),4)</f>
        <v>3.3580999999999999</v>
      </c>
      <c r="G13">
        <f>ROUND(AVERAGE(seed1!G13,seed2!G13,seed3!G13,seed4!G13,seed5!G13),4)</f>
        <v>3.8424999999999998</v>
      </c>
      <c r="H13">
        <f>ROUND(AVERAGE(seed1!H13,seed2!H13,seed3!H13,seed4!H13,seed5!H13),4)</f>
        <v>4.5697000000000001</v>
      </c>
      <c r="I13">
        <f>ROUND(AVERAGE(seed1!I13,seed2!I13,seed3!I13,seed4!I13,seed5!I13),4)</f>
        <v>5.0461</v>
      </c>
      <c r="K13" t="s">
        <v>2</v>
      </c>
      <c r="L13" t="e">
        <f>ROUND(AVERAGE(seed1!L13,seed2!L13,seed3!L13,seed4!L13,seed5!L13),4)</f>
        <v>#DIV/0!</v>
      </c>
      <c r="M13" t="e">
        <f>ROUND(AVERAGE(seed1!M13,seed2!M13,seed3!M13,seed4!M13,seed5!M13),4)</f>
        <v>#DIV/0!</v>
      </c>
      <c r="N13" t="e">
        <f>ROUND(AVERAGE(seed1!N13,seed2!N13,seed3!N13,seed4!N13,seed5!N13),4)</f>
        <v>#DIV/0!</v>
      </c>
      <c r="O13" t="e">
        <f>ROUND(AVERAGE(seed1!O13,seed2!O13,seed3!O13,seed4!O13,seed5!O13),4)</f>
        <v>#DIV/0!</v>
      </c>
      <c r="P13" t="e">
        <f>ROUND(AVERAGE(seed1!P13,seed2!P13,seed3!P13,seed4!P13,seed5!P13),4)</f>
        <v>#DIV/0!</v>
      </c>
      <c r="Q13" t="e">
        <f>ROUND(AVERAGE(seed1!Q13,seed2!Q13,seed3!Q13,seed4!Q13,seed5!Q13),4)</f>
        <v>#DIV/0!</v>
      </c>
      <c r="R13" t="e">
        <f>ROUND(AVERAGE(seed1!R13,seed2!R13,seed3!R13,seed4!R13,seed5!R13),4)</f>
        <v>#DIV/0!</v>
      </c>
    </row>
    <row r="14" spans="2:20">
      <c r="B14" s="2" t="s">
        <v>10</v>
      </c>
      <c r="C14">
        <f>ROUND(AVERAGE(seed1!C14,seed2!C14,seed3!C14,seed4!C14,seed5!C14),4)</f>
        <v>4.8003999999999998</v>
      </c>
      <c r="D14">
        <f>ROUND(AVERAGE(seed1!D14,seed2!D14,seed3!D14,seed4!D14,seed5!D14),4)</f>
        <v>5.1487999999999996</v>
      </c>
      <c r="E14">
        <f>ROUND(AVERAGE(seed1!E14,seed2!E14,seed3!E14,seed4!E14,seed5!E14),4)</f>
        <v>5.1105</v>
      </c>
      <c r="F14">
        <f>ROUND(AVERAGE(seed1!F14,seed2!F14,seed3!F14,seed4!F14,seed5!F14),4)</f>
        <v>5.0841000000000003</v>
      </c>
      <c r="G14">
        <f>ROUND(AVERAGE(seed1!G14,seed2!G14,seed3!G14,seed4!G14,seed5!G14),4)</f>
        <v>5.4448999999999996</v>
      </c>
      <c r="H14">
        <f>ROUND(AVERAGE(seed1!H14,seed2!H14,seed3!H14,seed4!H14,seed5!H14),4)</f>
        <v>5.8464999999999998</v>
      </c>
      <c r="I14">
        <f>ROUND(AVERAGE(seed1!I14,seed2!I14,seed3!I14,seed4!I14,seed5!I14),4)</f>
        <v>6.0270000000000001</v>
      </c>
      <c r="K14" s="2" t="s">
        <v>10</v>
      </c>
      <c r="L14" t="e">
        <f>ROUND(AVERAGE(seed1!L14,seed2!L14,seed3!L14,seed4!L14,seed5!L14),4)</f>
        <v>#DIV/0!</v>
      </c>
      <c r="M14" t="e">
        <f>ROUND(AVERAGE(seed1!M14,seed2!M14,seed3!M14,seed4!M14,seed5!M14),4)</f>
        <v>#DIV/0!</v>
      </c>
      <c r="N14" t="e">
        <f>ROUND(AVERAGE(seed1!N14,seed2!N14,seed3!N14,seed4!N14,seed5!N14),4)</f>
        <v>#DIV/0!</v>
      </c>
      <c r="O14" t="e">
        <f>ROUND(AVERAGE(seed1!O14,seed2!O14,seed3!O14,seed4!O14,seed5!O14),4)</f>
        <v>#DIV/0!</v>
      </c>
      <c r="P14" t="e">
        <f>ROUND(AVERAGE(seed1!P14,seed2!P14,seed3!P14,seed4!P14,seed5!P14),4)</f>
        <v>#DIV/0!</v>
      </c>
      <c r="Q14" t="e">
        <f>ROUND(AVERAGE(seed1!Q14,seed2!Q14,seed3!Q14,seed4!Q14,seed5!Q14),4)</f>
        <v>#DIV/0!</v>
      </c>
      <c r="R14" t="e">
        <f>ROUND(AVERAGE(seed1!R14,seed2!R14,seed3!R14,seed4!R14,seed5!R14),4)</f>
        <v>#DIV/0!</v>
      </c>
    </row>
    <row r="15" spans="2:20">
      <c r="B15" s="2" t="s">
        <v>11</v>
      </c>
      <c r="C15">
        <f>ROUND(AVERAGE(seed1!C15,seed2!C15,seed3!C15,seed4!C15,seed5!C15),4)</f>
        <v>5.5149999999999997</v>
      </c>
      <c r="D15">
        <f>ROUND(AVERAGE(seed1!D15,seed2!D15,seed3!D15,seed4!D15,seed5!D15),4)</f>
        <v>5.8189000000000002</v>
      </c>
      <c r="E15">
        <f>ROUND(AVERAGE(seed1!E15,seed2!E15,seed3!E15,seed4!E15,seed5!E15),4)</f>
        <v>5.7464000000000004</v>
      </c>
      <c r="F15">
        <f>ROUND(AVERAGE(seed1!F15,seed2!F15,seed3!F15,seed4!F15,seed5!F15),4)</f>
        <v>5.6158999999999999</v>
      </c>
      <c r="G15">
        <f>ROUND(AVERAGE(seed1!G15,seed2!G15,seed3!G15,seed4!G15,seed5!G15),4)</f>
        <v>6.0233999999999996</v>
      </c>
      <c r="H15">
        <f>ROUND(AVERAGE(seed1!H15,seed2!H15,seed3!H15,seed4!H15,seed5!H15),4)</f>
        <v>6.4493</v>
      </c>
      <c r="I15">
        <f>ROUND(AVERAGE(seed1!I15,seed2!I15,seed3!I15,seed4!I15,seed5!I15),4)</f>
        <v>6.6047000000000002</v>
      </c>
      <c r="K15" s="2" t="s">
        <v>11</v>
      </c>
      <c r="L15" t="e">
        <f>ROUND(AVERAGE(seed1!L15,seed2!L15,seed3!L15,seed4!L15,seed5!L15),4)</f>
        <v>#DIV/0!</v>
      </c>
      <c r="M15" t="e">
        <f>ROUND(AVERAGE(seed1!M15,seed2!M15,seed3!M15,seed4!M15,seed5!M15),4)</f>
        <v>#DIV/0!</v>
      </c>
      <c r="N15" t="e">
        <f>ROUND(AVERAGE(seed1!N15,seed2!N15,seed3!N15,seed4!N15,seed5!N15),4)</f>
        <v>#DIV/0!</v>
      </c>
      <c r="O15" t="e">
        <f>ROUND(AVERAGE(seed1!O15,seed2!O15,seed3!O15,seed4!O15,seed5!O15),4)</f>
        <v>#DIV/0!</v>
      </c>
      <c r="P15" t="e">
        <f>ROUND(AVERAGE(seed1!P15,seed2!P15,seed3!P15,seed4!P15,seed5!P15),4)</f>
        <v>#DIV/0!</v>
      </c>
      <c r="Q15" t="e">
        <f>ROUND(AVERAGE(seed1!Q15,seed2!Q15,seed3!Q15,seed4!Q15,seed5!Q15),4)</f>
        <v>#DIV/0!</v>
      </c>
      <c r="R15" t="e">
        <f>ROUND(AVERAGE(seed1!R15,seed2!R15,seed3!R15,seed4!R15,seed5!R15),4)</f>
        <v>#DIV/0!</v>
      </c>
      <c r="T15">
        <f>(I16-G16)*2/(G16+I16)</f>
        <v>9.4244241803611864E-2</v>
      </c>
    </row>
    <row r="16" spans="2:20">
      <c r="B16" t="s">
        <v>3</v>
      </c>
      <c r="C16">
        <f>ROUND(AVERAGE(seed1!C16,seed2!C16,seed3!C16,seed4!C16,seed5!C16),4)</f>
        <v>5.3037000000000001</v>
      </c>
      <c r="D16">
        <f>ROUND(AVERAGE(seed1!D16,seed2!D16,seed3!D16,seed4!D16,seed5!D16),4)</f>
        <v>5.6246</v>
      </c>
      <c r="E16">
        <f>ROUND(AVERAGE(seed1!E16,seed2!E16,seed3!E16,seed4!E16,seed5!E16),4)</f>
        <v>5.5533999999999999</v>
      </c>
      <c r="F16">
        <f>ROUND(AVERAGE(seed1!F16,seed2!F16,seed3!F16,seed4!F16,seed5!F16),4)</f>
        <v>5.4630999999999998</v>
      </c>
      <c r="G16">
        <f>ROUND(AVERAGE(seed1!G16,seed2!G16,seed3!G16,seed4!G16,seed5!G16),4)</f>
        <v>5.8621999999999996</v>
      </c>
      <c r="H16">
        <f>ROUND(AVERAGE(seed1!H16,seed2!H16,seed3!H16,seed4!H16,seed5!H16),4)</f>
        <v>6.2789000000000001</v>
      </c>
      <c r="I16">
        <f>ROUND(AVERAGE(seed1!I16,seed2!I16,seed3!I16,seed4!I16,seed5!I16),4)</f>
        <v>6.4420000000000002</v>
      </c>
      <c r="K16" t="s">
        <v>3</v>
      </c>
      <c r="L16" t="e">
        <f>ROUND(AVERAGE(seed1!L16,seed2!L16,seed3!L16,seed4!L16,seed5!L16),4)</f>
        <v>#DIV/0!</v>
      </c>
      <c r="M16" t="e">
        <f>ROUND(AVERAGE(seed1!M16,seed2!M16,seed3!M16,seed4!M16,seed5!M16),4)</f>
        <v>#DIV/0!</v>
      </c>
      <c r="N16" t="e">
        <f>ROUND(AVERAGE(seed1!N16,seed2!N16,seed3!N16,seed4!N16,seed5!N16),4)</f>
        <v>#DIV/0!</v>
      </c>
      <c r="O16" t="e">
        <f>ROUND(AVERAGE(seed1!O16,seed2!O16,seed3!O16,seed4!O16,seed5!O16),4)</f>
        <v>#DIV/0!</v>
      </c>
      <c r="P16" t="e">
        <f>ROUND(AVERAGE(seed1!P16,seed2!P16,seed3!P16,seed4!P16,seed5!P16),4)</f>
        <v>#DIV/0!</v>
      </c>
      <c r="Q16" t="e">
        <f>ROUND(AVERAGE(seed1!Q16,seed2!Q16,seed3!Q16,seed4!Q16,seed5!Q16),4)</f>
        <v>#DIV/0!</v>
      </c>
      <c r="R16" t="e">
        <f>ROUND(AVERAGE(seed1!R16,seed2!R16,seed3!R16,seed4!R16,seed5!R16),4)</f>
        <v>#DIV/0!</v>
      </c>
      <c r="T16">
        <f>(H16-G16)*2/(G16+H16)</f>
        <v>6.8642874204149634E-2</v>
      </c>
    </row>
    <row r="17" spans="2:28">
      <c r="B17" s="2" t="s">
        <v>13</v>
      </c>
      <c r="C17">
        <f>ROUND(AVERAGE(C7,C10,C13),4)</f>
        <v>3.5337000000000001</v>
      </c>
      <c r="D17">
        <f t="shared" ref="D17:I17" si="0">ROUND(AVERAGE(D7,D10,D13),4)</f>
        <v>4.0625999999999998</v>
      </c>
      <c r="E17">
        <f t="shared" si="0"/>
        <v>3.7787000000000002</v>
      </c>
      <c r="F17">
        <f t="shared" si="0"/>
        <v>3.7111999999999998</v>
      </c>
      <c r="G17">
        <f t="shared" si="0"/>
        <v>4.0606999999999998</v>
      </c>
      <c r="H17">
        <f t="shared" si="0"/>
        <v>4.5152000000000001</v>
      </c>
      <c r="I17">
        <f t="shared" si="0"/>
        <v>4.7652999999999999</v>
      </c>
      <c r="K17" s="2" t="s">
        <v>13</v>
      </c>
      <c r="L17" t="e">
        <f>ROUND(AVERAGE(L7,L10,L13),4)</f>
        <v>#DIV/0!</v>
      </c>
      <c r="M17" t="e">
        <f t="shared" ref="M17:R17" si="1">ROUND(AVERAGE(M7,M10,M13),4)</f>
        <v>#DIV/0!</v>
      </c>
      <c r="N17" t="e">
        <f t="shared" si="1"/>
        <v>#DIV/0!</v>
      </c>
      <c r="O17" t="e">
        <f t="shared" si="1"/>
        <v>#DIV/0!</v>
      </c>
      <c r="P17" t="e">
        <f t="shared" si="1"/>
        <v>#DIV/0!</v>
      </c>
      <c r="Q17" t="e">
        <f t="shared" si="1"/>
        <v>#DIV/0!</v>
      </c>
      <c r="R17" t="e">
        <f t="shared" si="1"/>
        <v>#DIV/0!</v>
      </c>
    </row>
    <row r="18" spans="2:28">
      <c r="B18" t="s">
        <v>14</v>
      </c>
      <c r="C18" t="e">
        <f>ROUND(AVERAGE(seed1!C18,seed2!C18,seed3!C18,seed4!C18,seed5!C18),1)</f>
        <v>#DIV/0!</v>
      </c>
      <c r="D18" t="e">
        <f>ROUND(AVERAGE(seed1!D18,seed2!D18,seed3!D18,seed4!D18,seed5!D18),1)</f>
        <v>#DIV/0!</v>
      </c>
      <c r="E18" t="e">
        <f>ROUND(AVERAGE(seed1!E18,seed2!E18,seed3!E18,seed4!E18,seed5!E18),1)</f>
        <v>#DIV/0!</v>
      </c>
      <c r="F18" t="e">
        <f>ROUND(AVERAGE(seed1!F18,seed2!F18,seed3!F18,seed4!F18,seed5!F18),1)</f>
        <v>#DIV/0!</v>
      </c>
      <c r="G18" t="e">
        <f>ROUND(AVERAGE(seed1!G18,seed2!G18,seed3!G18,seed4!G18,seed5!G18),1)</f>
        <v>#DIV/0!</v>
      </c>
      <c r="H18" t="e">
        <f>ROUND(AVERAGE(seed1!H18,seed2!H18,seed3!H18,seed4!H18,seed5!H18),1)</f>
        <v>#DIV/0!</v>
      </c>
      <c r="I18" t="e">
        <f>ROUND(AVERAGE(seed1!I18,seed2!I18,seed3!I18,seed4!I18,seed5!I18),1)</f>
        <v>#DIV/0!</v>
      </c>
      <c r="K18" t="s">
        <v>14</v>
      </c>
      <c r="L18" t="e">
        <f>ROUND(AVERAGE(seed1!L18,seed2!L18,seed3!L18,seed4!L18,seed5!L18),1)</f>
        <v>#DIV/0!</v>
      </c>
      <c r="M18" t="e">
        <f>ROUND(AVERAGE(seed1!M18,seed2!M18,seed3!M18,seed4!M18,seed5!M18),1)</f>
        <v>#DIV/0!</v>
      </c>
      <c r="N18" t="e">
        <f>ROUND(AVERAGE(seed1!N18,seed2!N18,seed3!N18,seed4!N18,seed5!N18),1)</f>
        <v>#DIV/0!</v>
      </c>
      <c r="O18" t="e">
        <f>ROUND(AVERAGE(seed1!O18,seed2!O18,seed3!O18,seed4!O18,seed5!O18),1)</f>
        <v>#DIV/0!</v>
      </c>
      <c r="P18" t="e">
        <f>ROUND(AVERAGE(seed1!P18,seed2!P18,seed3!P18,seed4!P18,seed5!P18),1)</f>
        <v>#DIV/0!</v>
      </c>
      <c r="Q18" t="e">
        <f>ROUND(AVERAGE(seed1!Q18,seed2!Q18,seed3!Q18,seed4!Q18,seed5!Q18),1)</f>
        <v>#DIV/0!</v>
      </c>
      <c r="R18" t="e">
        <f>ROUND(AVERAGE(seed1!R18,seed2!R18,seed3!R18,seed4!R18,seed5!R18),1)</f>
        <v>#DIV/0!</v>
      </c>
    </row>
    <row r="19" spans="2:28">
      <c r="B19" t="s">
        <v>15</v>
      </c>
      <c r="C19" t="e">
        <f>ROUND(AVERAGE(seed1!C19,seed2!C19,seed3!C19,seed4!C19,seed5!C19),1)</f>
        <v>#DIV/0!</v>
      </c>
      <c r="D19" t="e">
        <f>ROUND(AVERAGE(seed1!D19,seed2!D19,seed3!D19,seed4!D19,seed5!D19),1)</f>
        <v>#DIV/0!</v>
      </c>
      <c r="E19" t="e">
        <f>ROUND(AVERAGE(seed1!E19,seed2!E19,seed3!E19,seed4!E19,seed5!E19),1)</f>
        <v>#DIV/0!</v>
      </c>
      <c r="F19" t="e">
        <f>ROUND(AVERAGE(seed1!F19,seed2!F19,seed3!F19,seed4!F19,seed5!F19),1)</f>
        <v>#DIV/0!</v>
      </c>
      <c r="G19" t="e">
        <f>ROUND(AVERAGE(seed1!G19,seed2!G19,seed3!G19,seed4!G19,seed5!G19),1)</f>
        <v>#DIV/0!</v>
      </c>
      <c r="H19" t="e">
        <f>ROUND(AVERAGE(seed1!H19,seed2!H19,seed3!H19,seed4!H19,seed5!H19),1)</f>
        <v>#DIV/0!</v>
      </c>
      <c r="I19" t="e">
        <f>ROUND(AVERAGE(seed1!I19,seed2!I19,seed3!I19,seed4!I19,seed5!I19),1)</f>
        <v>#DIV/0!</v>
      </c>
      <c r="K19" t="s">
        <v>15</v>
      </c>
      <c r="L19" t="e">
        <f>ROUND(AVERAGE(seed1!L19,seed2!L19,seed3!L19,seed4!L19,seed5!L19),1)</f>
        <v>#DIV/0!</v>
      </c>
      <c r="M19" t="e">
        <f>ROUND(AVERAGE(seed1!M19,seed2!M19,seed3!M19,seed4!M19,seed5!M19),1)</f>
        <v>#DIV/0!</v>
      </c>
      <c r="N19" t="e">
        <f>ROUND(AVERAGE(seed1!N19,seed2!N19,seed3!N19,seed4!N19,seed5!N19),1)</f>
        <v>#DIV/0!</v>
      </c>
      <c r="O19" t="e">
        <f>ROUND(AVERAGE(seed1!O19,seed2!O19,seed3!O19,seed4!O19,seed5!O19),1)</f>
        <v>#DIV/0!</v>
      </c>
      <c r="P19" t="e">
        <f>ROUND(AVERAGE(seed1!P19,seed2!P19,seed3!P19,seed4!P19,seed5!P19),1)</f>
        <v>#DIV/0!</v>
      </c>
      <c r="Q19" t="e">
        <f>ROUND(AVERAGE(seed1!Q19,seed2!Q19,seed3!Q19,seed4!Q19,seed5!Q19),1)</f>
        <v>#DIV/0!</v>
      </c>
      <c r="R19" t="e">
        <f>ROUND(AVERAGE(seed1!R19,seed2!R19,seed3!R19,seed4!R19,seed5!R19),1)</f>
        <v>#DIV/0!</v>
      </c>
    </row>
    <row r="20" spans="2:28">
      <c r="B20" t="s">
        <v>16</v>
      </c>
      <c r="C20" t="e">
        <f>ROUND(AVERAGE(seed1!C20,seed2!C20,seed3!C20,seed4!C20,seed5!C20),1)</f>
        <v>#DIV/0!</v>
      </c>
      <c r="D20" t="e">
        <f>ROUND(AVERAGE(seed1!D20,seed2!D20,seed3!D20,seed4!D20,seed5!D20),1)</f>
        <v>#DIV/0!</v>
      </c>
      <c r="E20" t="e">
        <f>ROUND(AVERAGE(seed1!E20,seed2!E20,seed3!E20,seed4!E20,seed5!E20),1)</f>
        <v>#DIV/0!</v>
      </c>
      <c r="F20" t="e">
        <f>ROUND(AVERAGE(seed1!F20,seed2!F20,seed3!F20,seed4!F20,seed5!F20),1)</f>
        <v>#DIV/0!</v>
      </c>
      <c r="G20" t="e">
        <f>ROUND(AVERAGE(seed1!G20,seed2!G20,seed3!G20,seed4!G20,seed5!G20),1)</f>
        <v>#DIV/0!</v>
      </c>
      <c r="H20" t="e">
        <f>ROUND(AVERAGE(seed1!H20,seed2!H20,seed3!H20,seed4!H20,seed5!H20),1)</f>
        <v>#DIV/0!</v>
      </c>
      <c r="I20" t="e">
        <f>ROUND(AVERAGE(seed1!I20,seed2!I20,seed3!I20,seed4!I20,seed5!I20),1)</f>
        <v>#DIV/0!</v>
      </c>
      <c r="K20" t="s">
        <v>16</v>
      </c>
      <c r="L20" t="e">
        <f>ROUND(AVERAGE(seed1!L20,seed2!L20,seed3!L20,seed4!L20,seed5!L20),1)</f>
        <v>#DIV/0!</v>
      </c>
      <c r="M20" t="e">
        <f>ROUND(AVERAGE(seed1!M20,seed2!M20,seed3!M20,seed4!M20,seed5!M20),1)</f>
        <v>#DIV/0!</v>
      </c>
      <c r="N20" t="e">
        <f>ROUND(AVERAGE(seed1!N20,seed2!N20,seed3!N20,seed4!N20,seed5!N20),1)</f>
        <v>#DIV/0!</v>
      </c>
      <c r="O20" t="e">
        <f>ROUND(AVERAGE(seed1!O20,seed2!O20,seed3!O20,seed4!O20,seed5!O20),1)</f>
        <v>#DIV/0!</v>
      </c>
      <c r="P20" t="e">
        <f>ROUND(AVERAGE(seed1!P20,seed2!P20,seed3!P20,seed4!P20,seed5!P20),1)</f>
        <v>#DIV/0!</v>
      </c>
      <c r="Q20" t="e">
        <f>ROUND(AVERAGE(seed1!Q20,seed2!Q20,seed3!Q20,seed4!Q20,seed5!Q20),1)</f>
        <v>#DIV/0!</v>
      </c>
      <c r="R20" t="e">
        <f>ROUND(AVERAGE(seed1!R20,seed2!R20,seed3!R20,seed4!R20,seed5!R20),1)</f>
        <v>#DIV/0!</v>
      </c>
    </row>
    <row r="21" spans="2:28">
      <c r="B21" t="s">
        <v>17</v>
      </c>
      <c r="C21" t="e">
        <f>SUM(C18:C20)</f>
        <v>#DIV/0!</v>
      </c>
      <c r="D21" t="e">
        <f t="shared" ref="D21:I21" si="2">SUM(D18:D20)</f>
        <v>#DIV/0!</v>
      </c>
      <c r="E21" t="e">
        <f t="shared" si="2"/>
        <v>#DIV/0!</v>
      </c>
      <c r="F21" t="e">
        <f t="shared" si="2"/>
        <v>#DIV/0!</v>
      </c>
      <c r="G21" t="e">
        <f t="shared" si="2"/>
        <v>#DIV/0!</v>
      </c>
      <c r="H21" t="e">
        <f t="shared" si="2"/>
        <v>#DIV/0!</v>
      </c>
      <c r="I21" t="e">
        <f t="shared" si="2"/>
        <v>#DIV/0!</v>
      </c>
      <c r="K21" t="s">
        <v>17</v>
      </c>
      <c r="L21" t="e">
        <f>SUM(L18:L20)</f>
        <v>#DIV/0!</v>
      </c>
      <c r="M21" t="e">
        <f t="shared" ref="M21" si="3">SUM(M18:M20)</f>
        <v>#DIV/0!</v>
      </c>
      <c r="N21" t="e">
        <f t="shared" ref="N21" si="4">SUM(N18:N20)</f>
        <v>#DIV/0!</v>
      </c>
      <c r="O21" t="e">
        <f t="shared" ref="O21" si="5">SUM(O18:O20)</f>
        <v>#DIV/0!</v>
      </c>
      <c r="P21" t="e">
        <f t="shared" ref="P21" si="6">SUM(P18:P20)</f>
        <v>#DIV/0!</v>
      </c>
      <c r="Q21" t="e">
        <f t="shared" ref="Q21" si="7">SUM(Q18:Q20)</f>
        <v>#DIV/0!</v>
      </c>
      <c r="R21" t="e">
        <f t="shared" ref="R21" si="8">SUM(R18:R20)</f>
        <v>#DIV/0!</v>
      </c>
    </row>
    <row r="23" spans="2:28">
      <c r="B23" t="s">
        <v>12</v>
      </c>
    </row>
    <row r="24" spans="2:28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L24" s="4" t="s">
        <v>23</v>
      </c>
      <c r="M24" s="4" t="s">
        <v>24</v>
      </c>
      <c r="N24" s="4" t="s">
        <v>25</v>
      </c>
      <c r="O24" s="4" t="s">
        <v>26</v>
      </c>
      <c r="P24" s="4" t="s">
        <v>27</v>
      </c>
      <c r="Q24" s="4" t="s">
        <v>28</v>
      </c>
      <c r="R24" s="4" t="s">
        <v>29</v>
      </c>
      <c r="S24" s="4" t="s">
        <v>30</v>
      </c>
      <c r="T24" s="4" t="s">
        <v>31</v>
      </c>
      <c r="U24" s="4" t="s">
        <v>32</v>
      </c>
      <c r="V24" s="4" t="s">
        <v>33</v>
      </c>
      <c r="W24" s="4" t="s">
        <v>34</v>
      </c>
      <c r="Y24" s="4" t="s">
        <v>35</v>
      </c>
      <c r="Z24" s="4" t="s">
        <v>36</v>
      </c>
      <c r="AA24" s="4" t="s">
        <v>37</v>
      </c>
    </row>
    <row r="25" spans="2:28">
      <c r="C25" t="s">
        <v>6</v>
      </c>
      <c r="D25" t="s">
        <v>7</v>
      </c>
      <c r="E25" s="1">
        <v>0.2</v>
      </c>
      <c r="F25" s="1">
        <v>0.4</v>
      </c>
      <c r="G25" t="s">
        <v>4</v>
      </c>
      <c r="H25" t="s">
        <v>5</v>
      </c>
      <c r="I25" t="s">
        <v>9</v>
      </c>
      <c r="L25">
        <f>ROUND(AVERAGE(seed1!L25,seed2!L25,seed3!L25,seed4!L25,seed5!L25),1)</f>
        <v>3.8</v>
      </c>
      <c r="M25">
        <f>ROUND(AVERAGE(seed1!M25,seed2!M25,seed3!M25,seed4!M25,seed5!M25),1)</f>
        <v>3</v>
      </c>
      <c r="N25">
        <f>ROUND(AVERAGE(seed1!N25,seed2!N25,seed3!N25,seed4!N25,seed5!N25),1)</f>
        <v>5.6</v>
      </c>
      <c r="O25">
        <f>ROUND(AVERAGE(seed1!O25,seed2!O25,seed3!O25,seed4!O25,seed5!O25),1)</f>
        <v>6.8</v>
      </c>
      <c r="P25">
        <f>ROUND(AVERAGE(seed1!P25,seed2!P25,seed3!P25,seed4!P25,seed5!P25),1)</f>
        <v>0</v>
      </c>
      <c r="Q25">
        <f>ROUND(AVERAGE(seed1!Q25,seed2!Q25,seed3!Q25,seed4!Q25,seed5!Q25),1)</f>
        <v>5.6</v>
      </c>
      <c r="R25">
        <f>ROUND(AVERAGE(seed1!R25,seed2!R25,seed3!R25,seed4!R25,seed5!R25),1)</f>
        <v>4.8</v>
      </c>
      <c r="S25">
        <f>ROUND(AVERAGE(seed1!S25,seed2!S25,seed3!S25,seed4!S25,seed5!S25),1)</f>
        <v>3.8</v>
      </c>
      <c r="T25">
        <f>ROUND(AVERAGE(seed1!T25,seed2!T25,seed3!T25,seed4!T25,seed5!T25),1)</f>
        <v>3</v>
      </c>
      <c r="U25">
        <f>ROUND(AVERAGE(seed1!U25,seed2!U25,seed3!U25,seed4!U25,seed5!U25),1)</f>
        <v>5.6</v>
      </c>
      <c r="V25">
        <f>ROUND(AVERAGE(seed1!V25,seed2!V25,seed3!V25,seed4!V25,seed5!V25),1)</f>
        <v>0</v>
      </c>
      <c r="W25">
        <f>ROUND(AVERAGE(seed1!W25,seed2!W25,seed3!W25,seed4!W25,seed5!W25),1)</f>
        <v>5.4</v>
      </c>
      <c r="Y25">
        <f>L25+O25+R25+U25</f>
        <v>21</v>
      </c>
      <c r="Z25">
        <f>N25+W25+T25+Q25</f>
        <v>19.600000000000001</v>
      </c>
      <c r="AA25">
        <f>M25+S25</f>
        <v>6.8</v>
      </c>
    </row>
    <row r="26" spans="2:28">
      <c r="B26" s="2" t="s">
        <v>10</v>
      </c>
      <c r="C26" t="e">
        <f>ROUND(AVERAGE(seed1!C26,seed2!C26,seed3!C26,seed4!C26,seed5!C26),4)</f>
        <v>#DIV/0!</v>
      </c>
      <c r="D26" t="e">
        <f>ROUND(AVERAGE(seed1!D26,seed2!D26,seed3!D26,seed4!D26,seed5!D26),4)</f>
        <v>#DIV/0!</v>
      </c>
      <c r="E26" t="e">
        <f>ROUND(AVERAGE(seed1!E26,seed2!E26,seed3!E26,seed4!E26,seed5!E26),4)</f>
        <v>#DIV/0!</v>
      </c>
      <c r="F26" t="e">
        <f>ROUND(AVERAGE(seed1!F26,seed2!F26,seed3!F26,seed4!F26,seed5!F26),4)</f>
        <v>#DIV/0!</v>
      </c>
      <c r="G26" t="e">
        <f>ROUND(AVERAGE(seed1!G26,seed2!G26,seed3!G26,seed4!G26,seed5!G26),4)</f>
        <v>#DIV/0!</v>
      </c>
      <c r="H26" t="e">
        <f>ROUND(AVERAGE(seed1!H26,seed2!H26,seed3!H26,seed4!H26,seed5!H26),4)</f>
        <v>#DIV/0!</v>
      </c>
      <c r="I26" t="e">
        <f>ROUND(AVERAGE(seed1!I26,seed2!I26,seed3!I26,seed4!I26,seed5!I26),4)</f>
        <v>#DIV/0!</v>
      </c>
      <c r="L26">
        <f>ROUND(AVERAGE(seed1!L26,seed2!L26,seed3!L26,seed4!L26,seed5!L26),1)</f>
        <v>12.8</v>
      </c>
      <c r="M26">
        <f>ROUND(AVERAGE(seed1!M26,seed2!M26,seed3!M26,seed4!M26,seed5!M26),1)</f>
        <v>10</v>
      </c>
      <c r="N26">
        <f>ROUND(AVERAGE(seed1!N26,seed2!N26,seed3!N26,seed4!N26,seed5!N26),1)</f>
        <v>8.4</v>
      </c>
      <c r="O26">
        <f>ROUND(AVERAGE(seed1!O26,seed2!O26,seed3!O26,seed4!O26,seed5!O26),1)</f>
        <v>17.399999999999999</v>
      </c>
      <c r="P26">
        <f>ROUND(AVERAGE(seed1!P26,seed2!P26,seed3!P26,seed4!P26,seed5!P26),1)</f>
        <v>0</v>
      </c>
      <c r="Q26">
        <f>ROUND(AVERAGE(seed1!Q26,seed2!Q26,seed3!Q26,seed4!Q26,seed5!Q26),1)</f>
        <v>18.2</v>
      </c>
      <c r="R26">
        <f>ROUND(AVERAGE(seed1!R26,seed2!R26,seed3!R26,seed4!R26,seed5!R26),1)</f>
        <v>10.8</v>
      </c>
      <c r="S26">
        <f>ROUND(AVERAGE(seed1!S26,seed2!S26,seed3!S26,seed4!S26,seed5!S26),1)</f>
        <v>11.6</v>
      </c>
      <c r="T26">
        <f>ROUND(AVERAGE(seed1!T26,seed2!T26,seed3!T26,seed4!T26,seed5!T26),1)</f>
        <v>13.8</v>
      </c>
      <c r="U26">
        <f>ROUND(AVERAGE(seed1!U26,seed2!U26,seed3!U26,seed4!U26,seed5!U26),1)</f>
        <v>17.399999999999999</v>
      </c>
      <c r="V26">
        <f>ROUND(AVERAGE(seed1!V26,seed2!V26,seed3!V26,seed4!V26,seed5!V26),1)</f>
        <v>0</v>
      </c>
      <c r="W26">
        <f>ROUND(AVERAGE(seed1!W26,seed2!W26,seed3!W26,seed4!W26,seed5!W26),1)</f>
        <v>18.8</v>
      </c>
      <c r="Y26">
        <f>L26+O26+R26+U26</f>
        <v>58.4</v>
      </c>
      <c r="Z26">
        <f>N26+W26+T26+Q26</f>
        <v>59.2</v>
      </c>
      <c r="AA26">
        <f>M26+S26</f>
        <v>21.6</v>
      </c>
    </row>
    <row r="27" spans="2:28">
      <c r="B27" s="2" t="s">
        <v>11</v>
      </c>
      <c r="C27" t="e">
        <f>ROUND(AVERAGE(seed1!C27,seed2!C27,seed3!C27,seed4!C27,seed5!C27),4)</f>
        <v>#DIV/0!</v>
      </c>
      <c r="D27" t="e">
        <f>ROUND(AVERAGE(seed1!D27,seed2!D27,seed3!D27,seed4!D27,seed5!D27),4)</f>
        <v>#DIV/0!</v>
      </c>
      <c r="E27" t="e">
        <f>ROUND(AVERAGE(seed1!E27,seed2!E27,seed3!E27,seed4!E27,seed5!E27),4)</f>
        <v>#DIV/0!</v>
      </c>
      <c r="F27" t="e">
        <f>ROUND(AVERAGE(seed1!F27,seed2!F27,seed3!F27,seed4!F27,seed5!F27),4)</f>
        <v>#DIV/0!</v>
      </c>
      <c r="G27" t="e">
        <f>ROUND(AVERAGE(seed1!G27,seed2!G27,seed3!G27,seed4!G27,seed5!G27),4)</f>
        <v>#DIV/0!</v>
      </c>
      <c r="H27" t="e">
        <f>ROUND(AVERAGE(seed1!H27,seed2!H27,seed3!H27,seed4!H27,seed5!H27),4)</f>
        <v>#DIV/0!</v>
      </c>
      <c r="I27" t="e">
        <f>ROUND(AVERAGE(seed1!I27,seed2!I27,seed3!I27,seed4!I27,seed5!I27),4)</f>
        <v>#DIV/0!</v>
      </c>
      <c r="Y27" s="5">
        <f>Y25+Y26</f>
        <v>79.400000000000006</v>
      </c>
      <c r="Z27" s="5">
        <f t="shared" ref="Z27:AA27" si="9">Z25+Z26</f>
        <v>78.800000000000011</v>
      </c>
      <c r="AA27" s="5">
        <f t="shared" si="9"/>
        <v>28.400000000000002</v>
      </c>
      <c r="AB27">
        <f>SUM(Y27:AA27)</f>
        <v>186.60000000000002</v>
      </c>
    </row>
    <row r="28" spans="2:28">
      <c r="B28" t="s">
        <v>1</v>
      </c>
      <c r="C28" t="e">
        <f>ROUND(AVERAGE(seed1!C28,seed2!C28,seed3!C28,seed4!C28,seed5!C28),4)</f>
        <v>#DIV/0!</v>
      </c>
      <c r="D28" t="e">
        <f>ROUND(AVERAGE(seed1!D28,seed2!D28,seed3!D28,seed4!D28,seed5!D28),4)</f>
        <v>#DIV/0!</v>
      </c>
      <c r="E28" t="e">
        <f>ROUND(AVERAGE(seed1!E28,seed2!E28,seed3!E28,seed4!E28,seed5!E28),4)</f>
        <v>#DIV/0!</v>
      </c>
      <c r="F28" t="e">
        <f>ROUND(AVERAGE(seed1!F28,seed2!F28,seed3!F28,seed4!F28,seed5!F28),4)</f>
        <v>#DIV/0!</v>
      </c>
      <c r="G28" t="e">
        <f>ROUND(AVERAGE(seed1!G28,seed2!G28,seed3!G28,seed4!G28,seed5!G28),4)</f>
        <v>#DIV/0!</v>
      </c>
      <c r="H28" t="e">
        <f>ROUND(AVERAGE(seed1!H28,seed2!H28,seed3!H28,seed4!H28,seed5!H28),4)</f>
        <v>#DIV/0!</v>
      </c>
      <c r="I28" t="e">
        <f>ROUND(AVERAGE(seed1!I28,seed2!I28,seed3!I28,seed4!I28,seed5!I28),4)</f>
        <v>#DIV/0!</v>
      </c>
      <c r="L28">
        <f>ROUND(AVERAGE(seed1!L28,seed2!L28,seed3!L28,seed4!L28,seed5!L28),1)</f>
        <v>3.8</v>
      </c>
      <c r="M28">
        <f>ROUND(AVERAGE(seed1!M28,seed2!M28,seed3!M28,seed4!M28,seed5!M28),1)</f>
        <v>3</v>
      </c>
      <c r="N28">
        <f>ROUND(AVERAGE(seed1!N28,seed2!N28,seed3!N28,seed4!N28,seed5!N28),1)</f>
        <v>5.6</v>
      </c>
      <c r="O28">
        <f>ROUND(AVERAGE(seed1!O28,seed2!O28,seed3!O28,seed4!O28,seed5!O28),1)</f>
        <v>6.6</v>
      </c>
      <c r="P28">
        <f>ROUND(AVERAGE(seed1!P28,seed2!P28,seed3!P28,seed4!P28,seed5!P28),1)</f>
        <v>0</v>
      </c>
      <c r="Q28">
        <f>ROUND(AVERAGE(seed1!Q28,seed2!Q28,seed3!Q28,seed4!Q28,seed5!Q28),1)</f>
        <v>5.4</v>
      </c>
      <c r="R28">
        <f>ROUND(AVERAGE(seed1!R28,seed2!R28,seed3!R28,seed4!R28,seed5!R28),1)</f>
        <v>4.5999999999999996</v>
      </c>
      <c r="S28">
        <f>ROUND(AVERAGE(seed1!S28,seed2!S28,seed3!S28,seed4!S28,seed5!S28),1)</f>
        <v>3.8</v>
      </c>
      <c r="T28">
        <f>ROUND(AVERAGE(seed1!T28,seed2!T28,seed3!T28,seed4!T28,seed5!T28),1)</f>
        <v>3</v>
      </c>
      <c r="U28">
        <f>ROUND(AVERAGE(seed1!U28,seed2!U28,seed3!U28,seed4!U28,seed5!U28),1)</f>
        <v>5.6</v>
      </c>
      <c r="V28">
        <f>ROUND(AVERAGE(seed1!V28,seed2!V28,seed3!V28,seed4!V28,seed5!V28),1)</f>
        <v>0</v>
      </c>
      <c r="W28">
        <f>ROUND(AVERAGE(seed1!W28,seed2!W28,seed3!W28,seed4!W28,seed5!W28),1)</f>
        <v>5.8</v>
      </c>
      <c r="Y28">
        <f>L28+O28+R28+U28</f>
        <v>20.599999999999998</v>
      </c>
      <c r="Z28">
        <f>N28+W28+T28+Q28</f>
        <v>19.799999999999997</v>
      </c>
      <c r="AA28">
        <f>M28+S28</f>
        <v>6.8</v>
      </c>
    </row>
    <row r="29" spans="2:28">
      <c r="B29" s="2" t="s">
        <v>10</v>
      </c>
      <c r="C29" t="e">
        <f>ROUND(AVERAGE(seed1!C29,seed2!C29,seed3!C29,seed4!C29,seed5!C29),4)</f>
        <v>#DIV/0!</v>
      </c>
      <c r="D29" t="e">
        <f>ROUND(AVERAGE(seed1!D29,seed2!D29,seed3!D29,seed4!D29,seed5!D29),4)</f>
        <v>#DIV/0!</v>
      </c>
      <c r="E29" t="e">
        <f>ROUND(AVERAGE(seed1!E29,seed2!E29,seed3!E29,seed4!E29,seed5!E29),4)</f>
        <v>#DIV/0!</v>
      </c>
      <c r="F29" t="e">
        <f>ROUND(AVERAGE(seed1!F29,seed2!F29,seed3!F29,seed4!F29,seed5!F29),4)</f>
        <v>#DIV/0!</v>
      </c>
      <c r="G29" t="e">
        <f>ROUND(AVERAGE(seed1!G29,seed2!G29,seed3!G29,seed4!G29,seed5!G29),4)</f>
        <v>#DIV/0!</v>
      </c>
      <c r="H29" t="e">
        <f>ROUND(AVERAGE(seed1!H29,seed2!H29,seed3!H29,seed4!H29,seed5!H29),4)</f>
        <v>#DIV/0!</v>
      </c>
      <c r="I29" t="e">
        <f>ROUND(AVERAGE(seed1!I29,seed2!I29,seed3!I29,seed4!I29,seed5!I29),4)</f>
        <v>#DIV/0!</v>
      </c>
      <c r="L29">
        <f>ROUND(AVERAGE(seed1!L29,seed2!L29,seed3!L29,seed4!L29,seed5!L29),1)</f>
        <v>12.6</v>
      </c>
      <c r="M29">
        <f>ROUND(AVERAGE(seed1!M29,seed2!M29,seed3!M29,seed4!M29,seed5!M29),1)</f>
        <v>10.199999999999999</v>
      </c>
      <c r="N29">
        <f>ROUND(AVERAGE(seed1!N29,seed2!N29,seed3!N29,seed4!N29,seed5!N29),1)</f>
        <v>8.6</v>
      </c>
      <c r="O29">
        <f>ROUND(AVERAGE(seed1!O29,seed2!O29,seed3!O29,seed4!O29,seed5!O29),1)</f>
        <v>17.2</v>
      </c>
      <c r="P29">
        <f>ROUND(AVERAGE(seed1!P29,seed2!P29,seed3!P29,seed4!P29,seed5!P29),1)</f>
        <v>0</v>
      </c>
      <c r="Q29">
        <f>ROUND(AVERAGE(seed1!Q29,seed2!Q29,seed3!Q29,seed4!Q29,seed5!Q29),1)</f>
        <v>17.8</v>
      </c>
      <c r="R29">
        <f>ROUND(AVERAGE(seed1!R29,seed2!R29,seed3!R29,seed4!R29,seed5!R29),1)</f>
        <v>10.6</v>
      </c>
      <c r="S29">
        <f>ROUND(AVERAGE(seed1!S29,seed2!S29,seed3!S29,seed4!S29,seed5!S29),1)</f>
        <v>11.6</v>
      </c>
      <c r="T29">
        <f>ROUND(AVERAGE(seed1!T29,seed2!T29,seed3!T29,seed4!T29,seed5!T29),1)</f>
        <v>13.8</v>
      </c>
      <c r="U29">
        <f>ROUND(AVERAGE(seed1!U29,seed2!U29,seed3!U29,seed4!U29,seed5!U29),1)</f>
        <v>17.399999999999999</v>
      </c>
      <c r="V29">
        <f>ROUND(AVERAGE(seed1!V29,seed2!V29,seed3!V29,seed4!V29,seed5!V29),1)</f>
        <v>0</v>
      </c>
      <c r="W29">
        <f>ROUND(AVERAGE(seed1!W29,seed2!W29,seed3!W29,seed4!W29,seed5!W29),1)</f>
        <v>18.8</v>
      </c>
      <c r="Y29">
        <f>L29+O29+R29+U29</f>
        <v>57.8</v>
      </c>
      <c r="Z29">
        <f>N29+W29+T29+Q29</f>
        <v>59</v>
      </c>
      <c r="AA29">
        <f>M29+S29</f>
        <v>21.799999999999997</v>
      </c>
    </row>
    <row r="30" spans="2:28">
      <c r="B30" s="2" t="s">
        <v>11</v>
      </c>
      <c r="C30" t="e">
        <f>ROUND(AVERAGE(seed1!C30,seed2!C30,seed3!C30,seed4!C30,seed5!C30),4)</f>
        <v>#DIV/0!</v>
      </c>
      <c r="D30" t="e">
        <f>ROUND(AVERAGE(seed1!D30,seed2!D30,seed3!D30,seed4!D30,seed5!D30),4)</f>
        <v>#DIV/0!</v>
      </c>
      <c r="E30" t="e">
        <f>ROUND(AVERAGE(seed1!E30,seed2!E30,seed3!E30,seed4!E30,seed5!E30),4)</f>
        <v>#DIV/0!</v>
      </c>
      <c r="F30" t="e">
        <f>ROUND(AVERAGE(seed1!F30,seed2!F30,seed3!F30,seed4!F30,seed5!F30),4)</f>
        <v>#DIV/0!</v>
      </c>
      <c r="G30" t="e">
        <f>ROUND(AVERAGE(seed1!G30,seed2!G30,seed3!G30,seed4!G30,seed5!G30),4)</f>
        <v>#DIV/0!</v>
      </c>
      <c r="H30" t="e">
        <f>ROUND(AVERAGE(seed1!H30,seed2!H30,seed3!H30,seed4!H30,seed5!H30),4)</f>
        <v>#DIV/0!</v>
      </c>
      <c r="I30" t="e">
        <f>ROUND(AVERAGE(seed1!I30,seed2!I30,seed3!I30,seed4!I30,seed5!I30),4)</f>
        <v>#DIV/0!</v>
      </c>
      <c r="Y30" s="5">
        <f>Y28+Y29</f>
        <v>78.399999999999991</v>
      </c>
      <c r="Z30" s="5">
        <f t="shared" ref="Z30" si="10">Z28+Z29</f>
        <v>78.8</v>
      </c>
      <c r="AA30" s="5">
        <f t="shared" ref="AA30" si="11">AA28+AA29</f>
        <v>28.599999999999998</v>
      </c>
      <c r="AB30">
        <f>SUM(Y30:AA30)</f>
        <v>185.79999999999998</v>
      </c>
    </row>
    <row r="31" spans="2:28">
      <c r="B31" t="s">
        <v>2</v>
      </c>
      <c r="C31" t="e">
        <f>ROUND(AVERAGE(seed1!C31,seed2!C31,seed3!C31,seed4!C31,seed5!C31),4)</f>
        <v>#DIV/0!</v>
      </c>
      <c r="D31" t="e">
        <f>ROUND(AVERAGE(seed1!D31,seed2!D31,seed3!D31,seed4!D31,seed5!D31),4)</f>
        <v>#DIV/0!</v>
      </c>
      <c r="E31" t="e">
        <f>ROUND(AVERAGE(seed1!E31,seed2!E31,seed3!E31,seed4!E31,seed5!E31),4)</f>
        <v>#DIV/0!</v>
      </c>
      <c r="F31" t="e">
        <f>ROUND(AVERAGE(seed1!F31,seed2!F31,seed3!F31,seed4!F31,seed5!F31),4)</f>
        <v>#DIV/0!</v>
      </c>
      <c r="G31" t="e">
        <f>ROUND(AVERAGE(seed1!G31,seed2!G31,seed3!G31,seed4!G31,seed5!G31),4)</f>
        <v>#DIV/0!</v>
      </c>
      <c r="H31" t="e">
        <f>ROUND(AVERAGE(seed1!H31,seed2!H31,seed3!H31,seed4!H31,seed5!H31),4)</f>
        <v>#DIV/0!</v>
      </c>
      <c r="I31" t="e">
        <f>ROUND(AVERAGE(seed1!I31,seed2!I31,seed3!I31,seed4!I31,seed5!I31),4)</f>
        <v>#DIV/0!</v>
      </c>
      <c r="L31">
        <f>ROUND(AVERAGE(seed1!L31,seed2!L31,seed3!L31,seed4!L31,seed5!L31),1)</f>
        <v>3.6</v>
      </c>
      <c r="M31">
        <f>ROUND(AVERAGE(seed1!M31,seed2!M31,seed3!M31,seed4!M31,seed5!M31),1)</f>
        <v>3</v>
      </c>
      <c r="N31">
        <f>ROUND(AVERAGE(seed1!N31,seed2!N31,seed3!N31,seed4!N31,seed5!N31),1)</f>
        <v>5.2</v>
      </c>
      <c r="O31">
        <f>ROUND(AVERAGE(seed1!O31,seed2!O31,seed3!O31,seed4!O31,seed5!O31),1)</f>
        <v>6.6</v>
      </c>
      <c r="P31">
        <f>ROUND(AVERAGE(seed1!P31,seed2!P31,seed3!P31,seed4!P31,seed5!P31),1)</f>
        <v>0</v>
      </c>
      <c r="Q31">
        <f>ROUND(AVERAGE(seed1!Q31,seed2!Q31,seed3!Q31,seed4!Q31,seed5!Q31),1)</f>
        <v>5.8</v>
      </c>
      <c r="R31">
        <f>ROUND(AVERAGE(seed1!R31,seed2!R31,seed3!R31,seed4!R31,seed5!R31),1)</f>
        <v>4.8</v>
      </c>
      <c r="S31">
        <f>ROUND(AVERAGE(seed1!S31,seed2!S31,seed3!S31,seed4!S31,seed5!S31),1)</f>
        <v>3.8</v>
      </c>
      <c r="T31">
        <f>ROUND(AVERAGE(seed1!T31,seed2!T31,seed3!T31,seed4!T31,seed5!T31),1)</f>
        <v>3</v>
      </c>
      <c r="U31">
        <f>ROUND(AVERAGE(seed1!U31,seed2!U31,seed3!U31,seed4!U31,seed5!U31),1)</f>
        <v>5.6</v>
      </c>
      <c r="V31">
        <f>ROUND(AVERAGE(seed1!V31,seed2!V31,seed3!V31,seed4!V31,seed5!V31),1)</f>
        <v>0</v>
      </c>
      <c r="W31">
        <f>ROUND(AVERAGE(seed1!W31,seed2!W31,seed3!W31,seed4!W31,seed5!W31),1)</f>
        <v>5.8</v>
      </c>
      <c r="Y31">
        <f>L31+O31+R31+U31</f>
        <v>20.6</v>
      </c>
      <c r="Z31">
        <f>N31+W31+T31+Q31</f>
        <v>19.8</v>
      </c>
      <c r="AA31">
        <f>M31+S31</f>
        <v>6.8</v>
      </c>
    </row>
    <row r="32" spans="2:28">
      <c r="B32" s="2" t="s">
        <v>10</v>
      </c>
      <c r="C32" t="e">
        <f>ROUND(AVERAGE(seed1!C32,seed2!C32,seed3!C32,seed4!C32,seed5!C32),4)</f>
        <v>#DIV/0!</v>
      </c>
      <c r="D32" t="e">
        <f>ROUND(AVERAGE(seed1!D32,seed2!D32,seed3!D32,seed4!D32,seed5!D32),4)</f>
        <v>#DIV/0!</v>
      </c>
      <c r="E32" t="e">
        <f>ROUND(AVERAGE(seed1!E32,seed2!E32,seed3!E32,seed4!E32,seed5!E32),4)</f>
        <v>#DIV/0!</v>
      </c>
      <c r="F32" t="e">
        <f>ROUND(AVERAGE(seed1!F32,seed2!F32,seed3!F32,seed4!F32,seed5!F32),4)</f>
        <v>#DIV/0!</v>
      </c>
      <c r="G32" t="e">
        <f>ROUND(AVERAGE(seed1!G32,seed2!G32,seed3!G32,seed4!G32,seed5!G32),4)</f>
        <v>#DIV/0!</v>
      </c>
      <c r="H32" t="e">
        <f>ROUND(AVERAGE(seed1!H32,seed2!H32,seed3!H32,seed4!H32,seed5!H32),4)</f>
        <v>#DIV/0!</v>
      </c>
      <c r="I32" t="e">
        <f>ROUND(AVERAGE(seed1!I32,seed2!I32,seed3!I32,seed4!I32,seed5!I32),4)</f>
        <v>#DIV/0!</v>
      </c>
      <c r="L32">
        <f>ROUND(AVERAGE(seed1!L32,seed2!L32,seed3!L32,seed4!L32,seed5!L32),1)</f>
        <v>12.2</v>
      </c>
      <c r="M32">
        <f>ROUND(AVERAGE(seed1!M32,seed2!M32,seed3!M32,seed4!M32,seed5!M32),1)</f>
        <v>10</v>
      </c>
      <c r="N32">
        <f>ROUND(AVERAGE(seed1!N32,seed2!N32,seed3!N32,seed4!N32,seed5!N32),1)</f>
        <v>8.4</v>
      </c>
      <c r="O32">
        <f>ROUND(AVERAGE(seed1!O32,seed2!O32,seed3!O32,seed4!O32,seed5!O32),1)</f>
        <v>17.399999999999999</v>
      </c>
      <c r="P32">
        <f>ROUND(AVERAGE(seed1!P32,seed2!P32,seed3!P32,seed4!P32,seed5!P32),1)</f>
        <v>0</v>
      </c>
      <c r="Q32">
        <f>ROUND(AVERAGE(seed1!Q32,seed2!Q32,seed3!Q32,seed4!Q32,seed5!Q32),1)</f>
        <v>18</v>
      </c>
      <c r="R32">
        <f>ROUND(AVERAGE(seed1!R32,seed2!R32,seed3!R32,seed4!R32,seed5!R32),1)</f>
        <v>10.8</v>
      </c>
      <c r="S32">
        <f>ROUND(AVERAGE(seed1!S32,seed2!S32,seed3!S32,seed4!S32,seed5!S32),1)</f>
        <v>11.6</v>
      </c>
      <c r="T32">
        <f>ROUND(AVERAGE(seed1!T32,seed2!T32,seed3!T32,seed4!T32,seed5!T32),1)</f>
        <v>13.8</v>
      </c>
      <c r="U32">
        <f>ROUND(AVERAGE(seed1!U32,seed2!U32,seed3!U32,seed4!U32,seed5!U32),1)</f>
        <v>17.8</v>
      </c>
      <c r="V32">
        <f>ROUND(AVERAGE(seed1!V32,seed2!V32,seed3!V32,seed4!V32,seed5!V32),1)</f>
        <v>0</v>
      </c>
      <c r="W32">
        <f>ROUND(AVERAGE(seed1!W32,seed2!W32,seed3!W32,seed4!W32,seed5!W32),1)</f>
        <v>19</v>
      </c>
      <c r="Y32">
        <f>L32+O32+R32+U32</f>
        <v>58.2</v>
      </c>
      <c r="Z32">
        <f>N32+W32+T32+Q32</f>
        <v>59.2</v>
      </c>
      <c r="AA32">
        <f>M32+S32</f>
        <v>21.6</v>
      </c>
    </row>
    <row r="33" spans="2:34">
      <c r="B33" s="2" t="s">
        <v>11</v>
      </c>
      <c r="C33" t="e">
        <f>ROUND(AVERAGE(seed1!C33,seed2!C33,seed3!C33,seed4!C33,seed5!C33),4)</f>
        <v>#DIV/0!</v>
      </c>
      <c r="D33" t="e">
        <f>ROUND(AVERAGE(seed1!D33,seed2!D33,seed3!D33,seed4!D33,seed5!D33),4)</f>
        <v>#DIV/0!</v>
      </c>
      <c r="E33" t="e">
        <f>ROUND(AVERAGE(seed1!E33,seed2!E33,seed3!E33,seed4!E33,seed5!E33),4)</f>
        <v>#DIV/0!</v>
      </c>
      <c r="F33" t="e">
        <f>ROUND(AVERAGE(seed1!F33,seed2!F33,seed3!F33,seed4!F33,seed5!F33),4)</f>
        <v>#DIV/0!</v>
      </c>
      <c r="G33" t="e">
        <f>ROUND(AVERAGE(seed1!G33,seed2!G33,seed3!G33,seed4!G33,seed5!G33),4)</f>
        <v>#DIV/0!</v>
      </c>
      <c r="H33" t="e">
        <f>ROUND(AVERAGE(seed1!H33,seed2!H33,seed3!H33,seed4!H33,seed5!H33),4)</f>
        <v>#DIV/0!</v>
      </c>
      <c r="I33" t="e">
        <f>ROUND(AVERAGE(seed1!I33,seed2!I33,seed3!I33,seed4!I33,seed5!I33),4)</f>
        <v>#DIV/0!</v>
      </c>
      <c r="Y33" s="5">
        <f>Y31+Y32</f>
        <v>78.800000000000011</v>
      </c>
      <c r="Z33" s="5">
        <f t="shared" ref="Z33" si="12">Z31+Z32</f>
        <v>79</v>
      </c>
      <c r="AA33" s="5">
        <f t="shared" ref="AA33" si="13">AA31+AA32</f>
        <v>28.400000000000002</v>
      </c>
      <c r="AB33">
        <f>SUM(Y33:AA33)</f>
        <v>186.20000000000002</v>
      </c>
      <c r="AE33">
        <f>Y27</f>
        <v>79.400000000000006</v>
      </c>
      <c r="AF33">
        <f t="shared" ref="AF33:AH33" si="14">Z27</f>
        <v>78.800000000000011</v>
      </c>
      <c r="AG33">
        <f t="shared" si="14"/>
        <v>28.400000000000002</v>
      </c>
      <c r="AH33">
        <f t="shared" si="14"/>
        <v>186.60000000000002</v>
      </c>
    </row>
    <row r="34" spans="2:34">
      <c r="B34" t="s">
        <v>0</v>
      </c>
      <c r="C34" t="e">
        <f>ROUND(AVERAGE(seed1!C34,seed2!C34,seed3!C34,seed4!C34,seed5!C34),4)</f>
        <v>#DIV/0!</v>
      </c>
      <c r="D34" t="e">
        <f>ROUND(AVERAGE(seed1!D34,seed2!D34,seed3!D34,seed4!D34,seed5!D34),4)</f>
        <v>#DIV/0!</v>
      </c>
      <c r="E34" t="e">
        <f>ROUND(AVERAGE(seed1!E34,seed2!E34,seed3!E34,seed4!E34,seed5!E34),4)</f>
        <v>#DIV/0!</v>
      </c>
      <c r="F34" t="e">
        <f>ROUND(AVERAGE(seed1!F34,seed2!F34,seed3!F34,seed4!F34,seed5!F34),4)</f>
        <v>#DIV/0!</v>
      </c>
      <c r="G34" t="e">
        <f>ROUND(AVERAGE(seed1!G34,seed2!G34,seed3!G34,seed4!G34,seed5!G34),4)</f>
        <v>#DIV/0!</v>
      </c>
      <c r="H34" t="e">
        <f>ROUND(AVERAGE(seed1!H34,seed2!H34,seed3!H34,seed4!H34,seed5!H34),4)</f>
        <v>#DIV/0!</v>
      </c>
      <c r="I34" t="e">
        <f>ROUND(AVERAGE(seed1!I34,seed2!I34,seed3!I34,seed4!I34,seed5!I34),4)</f>
        <v>#DIV/0!</v>
      </c>
      <c r="L34">
        <f>ROUND(AVERAGE(seed1!L34,seed2!L34,seed3!L34,seed4!L34,seed5!L34),1)</f>
        <v>3.8</v>
      </c>
      <c r="M34">
        <f>ROUND(AVERAGE(seed1!M34,seed2!M34,seed3!M34,seed4!M34,seed5!M34),1)</f>
        <v>3.2</v>
      </c>
      <c r="N34">
        <f>ROUND(AVERAGE(seed1!N34,seed2!N34,seed3!N34,seed4!N34,seed5!N34),1)</f>
        <v>5.6</v>
      </c>
      <c r="O34">
        <f>ROUND(AVERAGE(seed1!O34,seed2!O34,seed3!O34,seed4!O34,seed5!O34),1)</f>
        <v>6.8</v>
      </c>
      <c r="P34">
        <f>ROUND(AVERAGE(seed1!P34,seed2!P34,seed3!P34,seed4!P34,seed5!P34),1)</f>
        <v>0</v>
      </c>
      <c r="Q34">
        <f>ROUND(AVERAGE(seed1!Q34,seed2!Q34,seed3!Q34,seed4!Q34,seed5!Q34),1)</f>
        <v>5.8</v>
      </c>
      <c r="R34">
        <f>ROUND(AVERAGE(seed1!R34,seed2!R34,seed3!R34,seed4!R34,seed5!R34),1)</f>
        <v>4.8</v>
      </c>
      <c r="S34">
        <f>ROUND(AVERAGE(seed1!S34,seed2!S34,seed3!S34,seed4!S34,seed5!S34),1)</f>
        <v>3.8</v>
      </c>
      <c r="T34">
        <f>ROUND(AVERAGE(seed1!T34,seed2!T34,seed3!T34,seed4!T34,seed5!T34),1)</f>
        <v>3</v>
      </c>
      <c r="U34">
        <f>ROUND(AVERAGE(seed1!U34,seed2!U34,seed3!U34,seed4!U34,seed5!U34),1)</f>
        <v>5.6</v>
      </c>
      <c r="V34">
        <f>ROUND(AVERAGE(seed1!V34,seed2!V34,seed3!V34,seed4!V34,seed5!V34),1)</f>
        <v>0</v>
      </c>
      <c r="W34">
        <f>ROUND(AVERAGE(seed1!W34,seed2!W34,seed3!W34,seed4!W34,seed5!W34),1)</f>
        <v>5.6</v>
      </c>
      <c r="Y34">
        <f>L34+O34+R34+U34</f>
        <v>21</v>
      </c>
      <c r="Z34">
        <f>N34+W34+T34+Q34</f>
        <v>20</v>
      </c>
      <c r="AA34">
        <f>M34+S34</f>
        <v>7</v>
      </c>
      <c r="AE34">
        <f>Y30</f>
        <v>78.399999999999991</v>
      </c>
      <c r="AF34">
        <f t="shared" ref="AF34:AH34" si="15">Z30</f>
        <v>78.8</v>
      </c>
      <c r="AG34">
        <f t="shared" si="15"/>
        <v>28.599999999999998</v>
      </c>
      <c r="AH34">
        <f t="shared" si="15"/>
        <v>185.79999999999998</v>
      </c>
    </row>
    <row r="35" spans="2:34">
      <c r="B35" s="2" t="s">
        <v>10</v>
      </c>
      <c r="C35" t="e">
        <f>ROUND(AVERAGE(seed1!C35,seed2!C35,seed3!C35,seed4!C35,seed5!C35),4)</f>
        <v>#DIV/0!</v>
      </c>
      <c r="D35" t="e">
        <f>ROUND(AVERAGE(seed1!D35,seed2!D35,seed3!D35,seed4!D35,seed5!D35),4)</f>
        <v>#DIV/0!</v>
      </c>
      <c r="E35" t="e">
        <f>ROUND(AVERAGE(seed1!E35,seed2!E35,seed3!E35,seed4!E35,seed5!E35),4)</f>
        <v>#DIV/0!</v>
      </c>
      <c r="F35" t="e">
        <f>ROUND(AVERAGE(seed1!F35,seed2!F35,seed3!F35,seed4!F35,seed5!F35),4)</f>
        <v>#DIV/0!</v>
      </c>
      <c r="G35" t="e">
        <f>ROUND(AVERAGE(seed1!G35,seed2!G35,seed3!G35,seed4!G35,seed5!G35),4)</f>
        <v>#DIV/0!</v>
      </c>
      <c r="H35" t="e">
        <f>ROUND(AVERAGE(seed1!H35,seed2!H35,seed3!H35,seed4!H35,seed5!H35),4)</f>
        <v>#DIV/0!</v>
      </c>
      <c r="I35" t="e">
        <f>ROUND(AVERAGE(seed1!I35,seed2!I35,seed3!I35,seed4!I35,seed5!I35),4)</f>
        <v>#DIV/0!</v>
      </c>
      <c r="L35">
        <f>ROUND(AVERAGE(seed1!L35,seed2!L35,seed3!L35,seed4!L35,seed5!L35),1)</f>
        <v>12.4</v>
      </c>
      <c r="M35">
        <f>ROUND(AVERAGE(seed1!M35,seed2!M35,seed3!M35,seed4!M35,seed5!M35),1)</f>
        <v>10</v>
      </c>
      <c r="N35">
        <f>ROUND(AVERAGE(seed1!N35,seed2!N35,seed3!N35,seed4!N35,seed5!N35),1)</f>
        <v>9.4</v>
      </c>
      <c r="O35">
        <f>ROUND(AVERAGE(seed1!O35,seed2!O35,seed3!O35,seed4!O35,seed5!O35),1)</f>
        <v>17.600000000000001</v>
      </c>
      <c r="P35">
        <f>ROUND(AVERAGE(seed1!P35,seed2!P35,seed3!P35,seed4!P35,seed5!P35),1)</f>
        <v>0</v>
      </c>
      <c r="Q35">
        <f>ROUND(AVERAGE(seed1!Q35,seed2!Q35,seed3!Q35,seed4!Q35,seed5!Q35),1)</f>
        <v>18.2</v>
      </c>
      <c r="R35">
        <f>ROUND(AVERAGE(seed1!R35,seed2!R35,seed3!R35,seed4!R35,seed5!R35),1)</f>
        <v>10.8</v>
      </c>
      <c r="S35">
        <f>ROUND(AVERAGE(seed1!S35,seed2!S35,seed3!S35,seed4!S35,seed5!S35),1)</f>
        <v>11.6</v>
      </c>
      <c r="T35">
        <f>ROUND(AVERAGE(seed1!T35,seed2!T35,seed3!T35,seed4!T35,seed5!T35),1)</f>
        <v>13.8</v>
      </c>
      <c r="U35">
        <f>ROUND(AVERAGE(seed1!U35,seed2!U35,seed3!U35,seed4!U35,seed5!U35),1)</f>
        <v>17.600000000000001</v>
      </c>
      <c r="V35">
        <f>ROUND(AVERAGE(seed1!V35,seed2!V35,seed3!V35,seed4!V35,seed5!V35),1)</f>
        <v>0</v>
      </c>
      <c r="W35">
        <f>ROUND(AVERAGE(seed1!W35,seed2!W35,seed3!W35,seed4!W35,seed5!W35),1)</f>
        <v>19.2</v>
      </c>
      <c r="Y35">
        <f>L35+O35+R35+U35</f>
        <v>58.4</v>
      </c>
      <c r="Z35">
        <f>N35+W35+T35+Q35</f>
        <v>60.600000000000009</v>
      </c>
      <c r="AA35">
        <f>M35+S35</f>
        <v>21.6</v>
      </c>
      <c r="AE35">
        <f>Y33</f>
        <v>78.800000000000011</v>
      </c>
      <c r="AF35">
        <f t="shared" ref="AF35:AH35" si="16">Z33</f>
        <v>79</v>
      </c>
      <c r="AG35">
        <f t="shared" si="16"/>
        <v>28.400000000000002</v>
      </c>
      <c r="AH35">
        <f t="shared" si="16"/>
        <v>186.20000000000002</v>
      </c>
    </row>
    <row r="36" spans="2:34">
      <c r="B36" s="2" t="s">
        <v>11</v>
      </c>
      <c r="C36" t="e">
        <f>ROUND(AVERAGE(seed1!C36,seed2!C36,seed3!C36,seed4!C36,seed5!C36),4)</f>
        <v>#DIV/0!</v>
      </c>
      <c r="D36" t="e">
        <f>ROUND(AVERAGE(seed1!D36,seed2!D36,seed3!D36,seed4!D36,seed5!D36),4)</f>
        <v>#DIV/0!</v>
      </c>
      <c r="E36" t="e">
        <f>ROUND(AVERAGE(seed1!E36,seed2!E36,seed3!E36,seed4!E36,seed5!E36),4)</f>
        <v>#DIV/0!</v>
      </c>
      <c r="F36" t="e">
        <f>ROUND(AVERAGE(seed1!F36,seed2!F36,seed3!F36,seed4!F36,seed5!F36),4)</f>
        <v>#DIV/0!</v>
      </c>
      <c r="G36" t="e">
        <f>ROUND(AVERAGE(seed1!G36,seed2!G36,seed3!G36,seed4!G36,seed5!G36),4)</f>
        <v>#DIV/0!</v>
      </c>
      <c r="H36" t="e">
        <f>ROUND(AVERAGE(seed1!H36,seed2!H36,seed3!H36,seed4!H36,seed5!H36),4)</f>
        <v>#DIV/0!</v>
      </c>
      <c r="I36" t="e">
        <f>ROUND(AVERAGE(seed1!I36,seed2!I36,seed3!I36,seed4!I36,seed5!I36),4)</f>
        <v>#DIV/0!</v>
      </c>
      <c r="Y36" s="5">
        <f>Y34+Y35</f>
        <v>79.400000000000006</v>
      </c>
      <c r="Z36" s="5">
        <f t="shared" ref="Z36" si="17">Z34+Z35</f>
        <v>80.600000000000009</v>
      </c>
      <c r="AA36" s="5">
        <f t="shared" ref="AA36" si="18">AA34+AA35</f>
        <v>28.6</v>
      </c>
      <c r="AB36">
        <f>SUM(Y36:AA36)</f>
        <v>188.6</v>
      </c>
      <c r="AE36">
        <f>Y36</f>
        <v>79.400000000000006</v>
      </c>
      <c r="AF36">
        <f t="shared" ref="AF36:AH36" si="19">Z36</f>
        <v>80.600000000000009</v>
      </c>
      <c r="AG36">
        <f t="shared" si="19"/>
        <v>28.6</v>
      </c>
      <c r="AH36">
        <f t="shared" si="19"/>
        <v>188.6</v>
      </c>
    </row>
    <row r="37" spans="2:34">
      <c r="B37" t="s">
        <v>3</v>
      </c>
      <c r="C37" t="e">
        <f>ROUND(AVERAGE(seed1!C37,seed2!C37,seed3!C37,seed4!C37,seed5!C37),4)</f>
        <v>#DIV/0!</v>
      </c>
      <c r="D37" t="e">
        <f>ROUND(AVERAGE(seed1!D37,seed2!D37,seed3!D37,seed4!D37,seed5!D37),4)</f>
        <v>#DIV/0!</v>
      </c>
      <c r="E37" t="e">
        <f>ROUND(AVERAGE(seed1!E37,seed2!E37,seed3!E37,seed4!E37,seed5!E37),4)</f>
        <v>#DIV/0!</v>
      </c>
      <c r="F37" t="e">
        <f>ROUND(AVERAGE(seed1!F37,seed2!F37,seed3!F37,seed4!F37,seed5!F37),4)</f>
        <v>#DIV/0!</v>
      </c>
      <c r="G37" t="e">
        <f>ROUND(AVERAGE(seed1!G37,seed2!G37,seed3!G37,seed4!G37,seed5!G37),4)</f>
        <v>#DIV/0!</v>
      </c>
      <c r="H37" t="e">
        <f>ROUND(AVERAGE(seed1!H37,seed2!H37,seed3!H37,seed4!H37,seed5!H37),4)</f>
        <v>#DIV/0!</v>
      </c>
      <c r="I37" t="e">
        <f>ROUND(AVERAGE(seed1!I37,seed2!I37,seed3!I37,seed4!I37,seed5!I37),4)</f>
        <v>#DIV/0!</v>
      </c>
      <c r="L37">
        <f>ROUND(AVERAGE(seed1!L37,seed2!L37,seed3!L37,seed4!L37,seed5!L37),1)</f>
        <v>4.2</v>
      </c>
      <c r="M37">
        <f>ROUND(AVERAGE(seed1!M37,seed2!M37,seed3!M37,seed4!M37,seed5!M37),1)</f>
        <v>3.2</v>
      </c>
      <c r="N37">
        <f>ROUND(AVERAGE(seed1!N37,seed2!N37,seed3!N37,seed4!N37,seed5!N37),1)</f>
        <v>5.6</v>
      </c>
      <c r="O37">
        <f>ROUND(AVERAGE(seed1!O37,seed2!O37,seed3!O37,seed4!O37,seed5!O37),1)</f>
        <v>6.8</v>
      </c>
      <c r="P37">
        <f>ROUND(AVERAGE(seed1!P37,seed2!P37,seed3!P37,seed4!P37,seed5!P37),1)</f>
        <v>0</v>
      </c>
      <c r="Q37">
        <f>ROUND(AVERAGE(seed1!Q37,seed2!Q37,seed3!Q37,seed4!Q37,seed5!Q37),1)</f>
        <v>6</v>
      </c>
      <c r="R37">
        <f>ROUND(AVERAGE(seed1!R37,seed2!R37,seed3!R37,seed4!R37,seed5!R37),1)</f>
        <v>4.8</v>
      </c>
      <c r="S37">
        <f>ROUND(AVERAGE(seed1!S37,seed2!S37,seed3!S37,seed4!S37,seed5!S37),1)</f>
        <v>3.8</v>
      </c>
      <c r="T37">
        <f>ROUND(AVERAGE(seed1!T37,seed2!T37,seed3!T37,seed4!T37,seed5!T37),1)</f>
        <v>3</v>
      </c>
      <c r="U37">
        <f>ROUND(AVERAGE(seed1!U37,seed2!U37,seed3!U37,seed4!U37,seed5!U37),1)</f>
        <v>5.6</v>
      </c>
      <c r="V37">
        <f>ROUND(AVERAGE(seed1!V37,seed2!V37,seed3!V37,seed4!V37,seed5!V37),1)</f>
        <v>0</v>
      </c>
      <c r="W37">
        <f>ROUND(AVERAGE(seed1!W37,seed2!W37,seed3!W37,seed4!W37,seed5!W37),1)</f>
        <v>5.6</v>
      </c>
      <c r="Y37">
        <f>L37+O37+R37+U37</f>
        <v>21.4</v>
      </c>
      <c r="Z37">
        <f>N37+W37+T37+Q37</f>
        <v>20.2</v>
      </c>
      <c r="AA37">
        <f>M37+S37</f>
        <v>7</v>
      </c>
      <c r="AE37">
        <f>Y39</f>
        <v>79.399999999999991</v>
      </c>
      <c r="AF37">
        <f t="shared" ref="AF37:AH37" si="20">Z39</f>
        <v>80</v>
      </c>
      <c r="AG37">
        <f t="shared" si="20"/>
        <v>28.799999999999997</v>
      </c>
      <c r="AH37">
        <f t="shared" si="20"/>
        <v>188.2</v>
      </c>
    </row>
    <row r="38" spans="2:34">
      <c r="B38" s="2" t="s">
        <v>13</v>
      </c>
      <c r="C38" t="e">
        <f>ROUND(AVERAGE(C28,C31,C34),4)</f>
        <v>#DIV/0!</v>
      </c>
      <c r="D38" t="e">
        <f t="shared" ref="D38:I38" si="21">ROUND(AVERAGE(D28,D31,D34),4)</f>
        <v>#DIV/0!</v>
      </c>
      <c r="E38" t="e">
        <f t="shared" si="21"/>
        <v>#DIV/0!</v>
      </c>
      <c r="F38" t="e">
        <f t="shared" si="21"/>
        <v>#DIV/0!</v>
      </c>
      <c r="G38" t="e">
        <f t="shared" si="21"/>
        <v>#DIV/0!</v>
      </c>
      <c r="H38" t="e">
        <f t="shared" si="21"/>
        <v>#DIV/0!</v>
      </c>
      <c r="I38" t="e">
        <f t="shared" si="21"/>
        <v>#DIV/0!</v>
      </c>
      <c r="L38">
        <f>ROUND(AVERAGE(seed1!L38,seed2!L38,seed3!L38,seed4!L38,seed5!L38),1)</f>
        <v>12.4</v>
      </c>
      <c r="M38">
        <f>ROUND(AVERAGE(seed1!M38,seed2!M38,seed3!M38,seed4!M38,seed5!M38),1)</f>
        <v>10.199999999999999</v>
      </c>
      <c r="N38">
        <f>ROUND(AVERAGE(seed1!N38,seed2!N38,seed3!N38,seed4!N38,seed5!N38),1)</f>
        <v>8.6</v>
      </c>
      <c r="O38">
        <f>ROUND(AVERAGE(seed1!O38,seed2!O38,seed3!O38,seed4!O38,seed5!O38),1)</f>
        <v>17.399999999999999</v>
      </c>
      <c r="P38">
        <f>ROUND(AVERAGE(seed1!P38,seed2!P38,seed3!P38,seed4!P38,seed5!P38),1)</f>
        <v>0</v>
      </c>
      <c r="Q38">
        <f>ROUND(AVERAGE(seed1!Q38,seed2!Q38,seed3!Q38,seed4!Q38,seed5!Q38),1)</f>
        <v>18.399999999999999</v>
      </c>
      <c r="R38">
        <f>ROUND(AVERAGE(seed1!R38,seed2!R38,seed3!R38,seed4!R38,seed5!R38),1)</f>
        <v>10.8</v>
      </c>
      <c r="S38">
        <f>ROUND(AVERAGE(seed1!S38,seed2!S38,seed3!S38,seed4!S38,seed5!S38),1)</f>
        <v>11.6</v>
      </c>
      <c r="T38">
        <f>ROUND(AVERAGE(seed1!T38,seed2!T38,seed3!T38,seed4!T38,seed5!T38),1)</f>
        <v>13.8</v>
      </c>
      <c r="U38">
        <f>ROUND(AVERAGE(seed1!U38,seed2!U38,seed3!U38,seed4!U38,seed5!U38),1)</f>
        <v>17.399999999999999</v>
      </c>
      <c r="V38">
        <f>ROUND(AVERAGE(seed1!V38,seed2!V38,seed3!V38,seed4!V38,seed5!V38),1)</f>
        <v>0</v>
      </c>
      <c r="W38">
        <f>ROUND(AVERAGE(seed1!W38,seed2!W38,seed3!W38,seed4!W38,seed5!W38),1)</f>
        <v>19</v>
      </c>
      <c r="Y38">
        <f>L38+O38+R38+U38</f>
        <v>57.999999999999993</v>
      </c>
      <c r="Z38">
        <f>N38+W38+T38+Q38</f>
        <v>59.800000000000004</v>
      </c>
      <c r="AA38">
        <f>M38+S38</f>
        <v>21.799999999999997</v>
      </c>
      <c r="AE38">
        <f>Y42</f>
        <v>79.599999999999994</v>
      </c>
      <c r="AF38">
        <f t="shared" ref="AF38:AH38" si="22">Z42</f>
        <v>79.800000000000011</v>
      </c>
      <c r="AG38">
        <f t="shared" si="22"/>
        <v>28.799999999999997</v>
      </c>
      <c r="AH38">
        <f t="shared" si="22"/>
        <v>188.2</v>
      </c>
    </row>
    <row r="39" spans="2:34">
      <c r="B39" t="s">
        <v>14</v>
      </c>
      <c r="C39" t="e">
        <f>ROUND(AVERAGE(seed1!C39,seed2!C39,seed3!C39,seed4!C39,seed5!C39),1)</f>
        <v>#DIV/0!</v>
      </c>
      <c r="D39" t="e">
        <f>ROUND(AVERAGE(seed1!D39,seed2!D39,seed3!D39,seed4!D39,seed5!D39),1)</f>
        <v>#DIV/0!</v>
      </c>
      <c r="E39" t="e">
        <f>ROUND(AVERAGE(seed1!E39,seed2!E39,seed3!E39,seed4!E39,seed5!E39),1)</f>
        <v>#DIV/0!</v>
      </c>
      <c r="F39" t="e">
        <f>ROUND(AVERAGE(seed1!F39,seed2!F39,seed3!F39,seed4!F39,seed5!F39),1)</f>
        <v>#DIV/0!</v>
      </c>
      <c r="G39" t="e">
        <f>ROUND(AVERAGE(seed1!G39,seed2!G39,seed3!G39,seed4!G39,seed5!G39),1)</f>
        <v>#DIV/0!</v>
      </c>
      <c r="H39" t="e">
        <f>ROUND(AVERAGE(seed1!H39,seed2!H39,seed3!H39,seed4!H39,seed5!H39),1)</f>
        <v>#DIV/0!</v>
      </c>
      <c r="I39" t="e">
        <f>ROUND(AVERAGE(seed1!I39,seed2!I39,seed3!I39,seed4!I39,seed5!I39),1)</f>
        <v>#DIV/0!</v>
      </c>
      <c r="Y39" s="5">
        <f>Y37+Y38</f>
        <v>79.399999999999991</v>
      </c>
      <c r="Z39" s="5">
        <f t="shared" ref="Z39" si="23">Z37+Z38</f>
        <v>80</v>
      </c>
      <c r="AA39" s="5">
        <f t="shared" ref="AA39" si="24">AA37+AA38</f>
        <v>28.799999999999997</v>
      </c>
      <c r="AB39">
        <f>SUM(Y39:AA39)</f>
        <v>188.2</v>
      </c>
      <c r="AE39">
        <f>Y45</f>
        <v>79.800000000000011</v>
      </c>
      <c r="AF39">
        <f t="shared" ref="AF39:AH39" si="25">Z45</f>
        <v>80.599999999999994</v>
      </c>
      <c r="AG39">
        <f t="shared" si="25"/>
        <v>29.2</v>
      </c>
      <c r="AH39">
        <f t="shared" si="25"/>
        <v>189.6</v>
      </c>
    </row>
    <row r="40" spans="2:34">
      <c r="B40" t="s">
        <v>15</v>
      </c>
      <c r="C40" t="e">
        <f>ROUND(AVERAGE(seed1!C40,seed2!C40,seed3!C40,seed4!C40,seed5!C40),1)</f>
        <v>#DIV/0!</v>
      </c>
      <c r="D40" t="e">
        <f>ROUND(AVERAGE(seed1!D40,seed2!D40,seed3!D40,seed4!D40,seed5!D40),1)</f>
        <v>#DIV/0!</v>
      </c>
      <c r="E40" t="e">
        <f>ROUND(AVERAGE(seed1!E40,seed2!E40,seed3!E40,seed4!E40,seed5!E40),1)</f>
        <v>#DIV/0!</v>
      </c>
      <c r="F40" t="e">
        <f>ROUND(AVERAGE(seed1!F40,seed2!F40,seed3!F40,seed4!F40,seed5!F40),1)</f>
        <v>#DIV/0!</v>
      </c>
      <c r="G40" t="e">
        <f>ROUND(AVERAGE(seed1!G40,seed2!G40,seed3!G40,seed4!G40,seed5!G40),1)</f>
        <v>#DIV/0!</v>
      </c>
      <c r="H40" t="e">
        <f>ROUND(AVERAGE(seed1!H40,seed2!H40,seed3!H40,seed4!H40,seed5!H40),1)</f>
        <v>#DIV/0!</v>
      </c>
      <c r="I40" t="e">
        <f>ROUND(AVERAGE(seed1!I40,seed2!I40,seed3!I40,seed4!I40,seed5!I40),1)</f>
        <v>#DIV/0!</v>
      </c>
      <c r="L40">
        <f>ROUND(AVERAGE(seed1!L40,seed2!L40,seed3!L40,seed4!L40,seed5!L40),1)</f>
        <v>4</v>
      </c>
      <c r="M40">
        <f>ROUND(AVERAGE(seed1!M40,seed2!M40,seed3!M40,seed4!M40,seed5!M40),1)</f>
        <v>3.2</v>
      </c>
      <c r="N40">
        <f>ROUND(AVERAGE(seed1!N40,seed2!N40,seed3!N40,seed4!N40,seed5!N40),1)</f>
        <v>5.6</v>
      </c>
      <c r="O40">
        <f>ROUND(AVERAGE(seed1!O40,seed2!O40,seed3!O40,seed4!O40,seed5!O40),1)</f>
        <v>6.8</v>
      </c>
      <c r="P40">
        <f>ROUND(AVERAGE(seed1!P40,seed2!P40,seed3!P40,seed4!P40,seed5!P40),1)</f>
        <v>0</v>
      </c>
      <c r="Q40">
        <f>ROUND(AVERAGE(seed1!Q40,seed2!Q40,seed3!Q40,seed4!Q40,seed5!Q40),1)</f>
        <v>5.8</v>
      </c>
      <c r="R40">
        <f>ROUND(AVERAGE(seed1!R40,seed2!R40,seed3!R40,seed4!R40,seed5!R40),1)</f>
        <v>4.8</v>
      </c>
      <c r="S40">
        <f>ROUND(AVERAGE(seed1!S40,seed2!S40,seed3!S40,seed4!S40,seed5!S40),1)</f>
        <v>3.8</v>
      </c>
      <c r="T40">
        <f>ROUND(AVERAGE(seed1!T40,seed2!T40,seed3!T40,seed4!T40,seed5!T40),1)</f>
        <v>3</v>
      </c>
      <c r="U40">
        <f>ROUND(AVERAGE(seed1!U40,seed2!U40,seed3!U40,seed4!U40,seed5!U40),1)</f>
        <v>5.6</v>
      </c>
      <c r="V40">
        <f>ROUND(AVERAGE(seed1!V40,seed2!V40,seed3!V40,seed4!V40,seed5!V40),1)</f>
        <v>0</v>
      </c>
      <c r="W40">
        <f>ROUND(AVERAGE(seed1!W40,seed2!W40,seed3!W40,seed4!W40,seed5!W40),1)</f>
        <v>5.8</v>
      </c>
      <c r="Y40">
        <f>L40+O40+R40+U40</f>
        <v>21.200000000000003</v>
      </c>
      <c r="Z40">
        <f>N40+W40+T40+Q40</f>
        <v>20.2</v>
      </c>
      <c r="AA40">
        <f>M40+S40</f>
        <v>7</v>
      </c>
    </row>
    <row r="41" spans="2:34">
      <c r="B41" t="s">
        <v>16</v>
      </c>
      <c r="C41" t="e">
        <f>ROUND(AVERAGE(seed1!C41,seed2!C41,seed3!C41,seed4!C41,seed5!C41),1)</f>
        <v>#DIV/0!</v>
      </c>
      <c r="D41" t="e">
        <f>ROUND(AVERAGE(seed1!D41,seed2!D41,seed3!D41,seed4!D41,seed5!D41),1)</f>
        <v>#DIV/0!</v>
      </c>
      <c r="E41" t="e">
        <f>ROUND(AVERAGE(seed1!E41,seed2!E41,seed3!E41,seed4!E41,seed5!E41),1)</f>
        <v>#DIV/0!</v>
      </c>
      <c r="F41" t="e">
        <f>ROUND(AVERAGE(seed1!F41,seed2!F41,seed3!F41,seed4!F41,seed5!F41),1)</f>
        <v>#DIV/0!</v>
      </c>
      <c r="G41" t="e">
        <f>ROUND(AVERAGE(seed1!G41,seed2!G41,seed3!G41,seed4!G41,seed5!G41),1)</f>
        <v>#DIV/0!</v>
      </c>
      <c r="H41" t="e">
        <f>ROUND(AVERAGE(seed1!H41,seed2!H41,seed3!H41,seed4!H41,seed5!H41),1)</f>
        <v>#DIV/0!</v>
      </c>
      <c r="I41" t="e">
        <f>ROUND(AVERAGE(seed1!I41,seed2!I41,seed3!I41,seed4!I41,seed5!I41),1)</f>
        <v>#DIV/0!</v>
      </c>
      <c r="L41">
        <f>ROUND(AVERAGE(seed1!L41,seed2!L41,seed3!L41,seed4!L41,seed5!L41),1)</f>
        <v>12.8</v>
      </c>
      <c r="M41">
        <f>ROUND(AVERAGE(seed1!M41,seed2!M41,seed3!M41,seed4!M41,seed5!M41),1)</f>
        <v>10.199999999999999</v>
      </c>
      <c r="N41">
        <f>ROUND(AVERAGE(seed1!N41,seed2!N41,seed3!N41,seed4!N41,seed5!N41),1)</f>
        <v>8.6</v>
      </c>
      <c r="O41">
        <f>ROUND(AVERAGE(seed1!O41,seed2!O41,seed3!O41,seed4!O41,seed5!O41),1)</f>
        <v>17.2</v>
      </c>
      <c r="P41">
        <f>ROUND(AVERAGE(seed1!P41,seed2!P41,seed3!P41,seed4!P41,seed5!P41),1)</f>
        <v>0</v>
      </c>
      <c r="Q41">
        <f>ROUND(AVERAGE(seed1!Q41,seed2!Q41,seed3!Q41,seed4!Q41,seed5!Q41),1)</f>
        <v>18.2</v>
      </c>
      <c r="R41">
        <f>ROUND(AVERAGE(seed1!R41,seed2!R41,seed3!R41,seed4!R41,seed5!R41),1)</f>
        <v>10.8</v>
      </c>
      <c r="S41">
        <f>ROUND(AVERAGE(seed1!S41,seed2!S41,seed3!S41,seed4!S41,seed5!S41),1)</f>
        <v>11.6</v>
      </c>
      <c r="T41">
        <f>ROUND(AVERAGE(seed1!T41,seed2!T41,seed3!T41,seed4!T41,seed5!T41),1)</f>
        <v>13.8</v>
      </c>
      <c r="U41">
        <f>ROUND(AVERAGE(seed1!U41,seed2!U41,seed3!U41,seed4!U41,seed5!U41),1)</f>
        <v>17.600000000000001</v>
      </c>
      <c r="V41">
        <f>ROUND(AVERAGE(seed1!V41,seed2!V41,seed3!V41,seed4!V41,seed5!V41),1)</f>
        <v>0</v>
      </c>
      <c r="W41">
        <f>ROUND(AVERAGE(seed1!W41,seed2!W41,seed3!W41,seed4!W41,seed5!W41),1)</f>
        <v>19</v>
      </c>
      <c r="Y41">
        <f>L41+O41+R41+U41</f>
        <v>58.4</v>
      </c>
      <c r="Z41">
        <f>N41+W41+T41+Q41</f>
        <v>59.600000000000009</v>
      </c>
      <c r="AA41">
        <f>M41+S41</f>
        <v>21.799999999999997</v>
      </c>
    </row>
    <row r="42" spans="2:34">
      <c r="B42" t="s">
        <v>17</v>
      </c>
      <c r="C42" t="e">
        <f>SUM(C39:C41)</f>
        <v>#DIV/0!</v>
      </c>
      <c r="D42" t="e">
        <f t="shared" ref="D42" si="26">SUM(D39:D41)</f>
        <v>#DIV/0!</v>
      </c>
      <c r="E42" t="e">
        <f t="shared" ref="E42" si="27">SUM(E39:E41)</f>
        <v>#DIV/0!</v>
      </c>
      <c r="F42" t="e">
        <f t="shared" ref="F42" si="28">SUM(F39:F41)</f>
        <v>#DIV/0!</v>
      </c>
      <c r="G42" t="e">
        <f t="shared" ref="G42" si="29">SUM(G39:G41)</f>
        <v>#DIV/0!</v>
      </c>
      <c r="H42" t="e">
        <f t="shared" ref="H42" si="30">SUM(H39:H41)</f>
        <v>#DIV/0!</v>
      </c>
      <c r="I42" t="e">
        <f t="shared" ref="I42" si="31">SUM(I39:I41)</f>
        <v>#DIV/0!</v>
      </c>
      <c r="Y42" s="5">
        <f>Y40+Y41</f>
        <v>79.599999999999994</v>
      </c>
      <c r="Z42" s="5">
        <f t="shared" ref="Z42" si="32">Z40+Z41</f>
        <v>79.800000000000011</v>
      </c>
      <c r="AA42" s="5">
        <f t="shared" ref="AA42" si="33">AA40+AA41</f>
        <v>28.799999999999997</v>
      </c>
      <c r="AB42">
        <f>SUM(Y42:AA42)</f>
        <v>188.2</v>
      </c>
    </row>
    <row r="43" spans="2:34">
      <c r="L43">
        <f>ROUND(AVERAGE(seed1!L43,seed2!L43,seed3!L43,seed4!L43,seed5!L43),1)</f>
        <v>4.4000000000000004</v>
      </c>
      <c r="M43">
        <f>ROUND(AVERAGE(seed1!M43,seed2!M43,seed3!M43,seed4!M43,seed5!M43),1)</f>
        <v>3.2</v>
      </c>
      <c r="N43">
        <f>ROUND(AVERAGE(seed1!N43,seed2!N43,seed3!N43,seed4!N43,seed5!N43),1)</f>
        <v>5.8</v>
      </c>
      <c r="O43">
        <f>ROUND(AVERAGE(seed1!O43,seed2!O43,seed3!O43,seed4!O43,seed5!O43),1)</f>
        <v>6.8</v>
      </c>
      <c r="P43">
        <f>ROUND(AVERAGE(seed1!P43,seed2!P43,seed3!P43,seed4!P43,seed5!P43),1)</f>
        <v>0</v>
      </c>
      <c r="Q43">
        <f>ROUND(AVERAGE(seed1!Q43,seed2!Q43,seed3!Q43,seed4!Q43,seed5!Q43),1)</f>
        <v>6</v>
      </c>
      <c r="R43">
        <f>ROUND(AVERAGE(seed1!R43,seed2!R43,seed3!R43,seed4!R43,seed5!R43),1)</f>
        <v>4.8</v>
      </c>
      <c r="S43">
        <f>ROUND(AVERAGE(seed1!S43,seed2!S43,seed3!S43,seed4!S43,seed5!S43),1)</f>
        <v>3.8</v>
      </c>
      <c r="T43">
        <f>ROUND(AVERAGE(seed1!T43,seed2!T43,seed3!T43,seed4!T43,seed5!T43),1)</f>
        <v>3</v>
      </c>
      <c r="U43">
        <f>ROUND(AVERAGE(seed1!U43,seed2!U43,seed3!U43,seed4!U43,seed5!U43),1)</f>
        <v>5.6</v>
      </c>
      <c r="V43">
        <f>ROUND(AVERAGE(seed1!V43,seed2!V43,seed3!V43,seed4!V43,seed5!V43),1)</f>
        <v>0</v>
      </c>
      <c r="W43">
        <f>ROUND(AVERAGE(seed1!W43,seed2!W43,seed3!W43,seed4!W43,seed5!W43),1)</f>
        <v>5.6</v>
      </c>
      <c r="Y43">
        <f>L43+O43+R43+U43</f>
        <v>21.6</v>
      </c>
      <c r="Z43">
        <f>N43+W43+T43+Q43</f>
        <v>20.399999999999999</v>
      </c>
      <c r="AA43">
        <f>M43+S43</f>
        <v>7</v>
      </c>
    </row>
    <row r="44" spans="2:34">
      <c r="L44">
        <f>ROUND(AVERAGE(seed1!L44,seed2!L44,seed3!L44,seed4!L44,seed5!L44),1)</f>
        <v>13</v>
      </c>
      <c r="M44">
        <f>ROUND(AVERAGE(seed1!M44,seed2!M44,seed3!M44,seed4!M44,seed5!M44),1)</f>
        <v>10.6</v>
      </c>
      <c r="N44">
        <f>ROUND(AVERAGE(seed1!N44,seed2!N44,seed3!N44,seed4!N44,seed5!N44),1)</f>
        <v>9.4</v>
      </c>
      <c r="O44">
        <f>ROUND(AVERAGE(seed1!O44,seed2!O44,seed3!O44,seed4!O44,seed5!O44),1)</f>
        <v>17.2</v>
      </c>
      <c r="P44">
        <f>ROUND(AVERAGE(seed1!P44,seed2!P44,seed3!P44,seed4!P44,seed5!P44),1)</f>
        <v>0</v>
      </c>
      <c r="Q44">
        <f>ROUND(AVERAGE(seed1!Q44,seed2!Q44,seed3!Q44,seed4!Q44,seed5!Q44),1)</f>
        <v>18.399999999999999</v>
      </c>
      <c r="R44">
        <f>ROUND(AVERAGE(seed1!R44,seed2!R44,seed3!R44,seed4!R44,seed5!R44),1)</f>
        <v>10.8</v>
      </c>
      <c r="S44">
        <f>ROUND(AVERAGE(seed1!S44,seed2!S44,seed3!S44,seed4!S44,seed5!S44),1)</f>
        <v>11.6</v>
      </c>
      <c r="T44">
        <f>ROUND(AVERAGE(seed1!T44,seed2!T44,seed3!T44,seed4!T44,seed5!T44),1)</f>
        <v>13.6</v>
      </c>
      <c r="U44">
        <f>ROUND(AVERAGE(seed1!U44,seed2!U44,seed3!U44,seed4!U44,seed5!U44),1)</f>
        <v>17.2</v>
      </c>
      <c r="V44">
        <f>ROUND(AVERAGE(seed1!V44,seed2!V44,seed3!V44,seed4!V44,seed5!V44),1)</f>
        <v>0</v>
      </c>
      <c r="W44">
        <f>ROUND(AVERAGE(seed1!W44,seed2!W44,seed3!W44,seed4!W44,seed5!W44),1)</f>
        <v>18.8</v>
      </c>
      <c r="Y44">
        <f>L44+O44+R44+U44</f>
        <v>58.2</v>
      </c>
      <c r="Z44">
        <f>N44+W44+T44+Q44</f>
        <v>60.2</v>
      </c>
      <c r="AA44">
        <f>M44+S44</f>
        <v>22.2</v>
      </c>
    </row>
    <row r="45" spans="2:34">
      <c r="Y45" s="5">
        <f>Y43+Y44</f>
        <v>79.800000000000011</v>
      </c>
      <c r="Z45" s="5">
        <f t="shared" ref="Z45" si="34">Z43+Z44</f>
        <v>80.599999999999994</v>
      </c>
      <c r="AA45" s="5">
        <f t="shared" ref="AA45" si="35">AA43+AA44</f>
        <v>29.2</v>
      </c>
      <c r="AB45">
        <f>SUM(Y45:AA45)</f>
        <v>189.6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seed4</vt:lpstr>
      <vt:lpstr>seed5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2026-02-05T06:01:55Z</dcterms:modified>
</cp:coreProperties>
</file>