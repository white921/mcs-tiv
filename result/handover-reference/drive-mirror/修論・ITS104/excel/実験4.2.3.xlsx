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013A5B71-271D-5B45-A088-C413A563B1DB}" xr6:coauthVersionLast="47" xr6:coauthVersionMax="47" xr10:uidLastSave="{00000000-0000-0000-0000-000000000000}"/>
  <bookViews>
    <workbookView xWindow="2100" yWindow="1300" windowWidth="26700" windowHeight="14560" xr2:uid="{C5CA4C6E-6361-2F40-A2A3-1A2A3BC48401}"/>
  </bookViews>
  <sheets>
    <sheet name="seed1" sheetId="1" r:id="rId1"/>
    <sheet name="seed2" sheetId="3" r:id="rId2"/>
    <sheet name="seed3" sheetId="4" r:id="rId3"/>
    <sheet name="seed4" sheetId="5" r:id="rId4"/>
    <sheet name="seed5" sheetId="6" r:id="rId5"/>
    <sheet name="平均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20" i="1"/>
  <c r="I20" i="4"/>
  <c r="I19" i="4"/>
  <c r="I18" i="4"/>
  <c r="H20" i="4"/>
  <c r="H19" i="4"/>
  <c r="H18" i="4"/>
  <c r="G20" i="4"/>
  <c r="G19" i="4"/>
  <c r="G18" i="4"/>
  <c r="F20" i="4"/>
  <c r="F19" i="4"/>
  <c r="F18" i="4"/>
  <c r="E20" i="4"/>
  <c r="E19" i="4"/>
  <c r="E18" i="4"/>
  <c r="D20" i="4"/>
  <c r="D19" i="4"/>
  <c r="D18" i="4"/>
  <c r="C20" i="4"/>
  <c r="C19" i="4"/>
  <c r="C18" i="4"/>
  <c r="I20" i="3"/>
  <c r="I19" i="3"/>
  <c r="I18" i="3"/>
  <c r="H20" i="3"/>
  <c r="H19" i="3"/>
  <c r="H18" i="3"/>
  <c r="G20" i="3"/>
  <c r="G19" i="3"/>
  <c r="G18" i="3"/>
  <c r="F20" i="3"/>
  <c r="F19" i="3"/>
  <c r="F18" i="3"/>
  <c r="E20" i="3"/>
  <c r="E19" i="3"/>
  <c r="E18" i="3"/>
  <c r="D20" i="3"/>
  <c r="D19" i="3"/>
  <c r="D18" i="3"/>
  <c r="C20" i="3"/>
  <c r="C19" i="3"/>
  <c r="C18" i="3"/>
  <c r="I20" i="1"/>
  <c r="I19" i="1"/>
  <c r="I18" i="1"/>
  <c r="H20" i="1"/>
  <c r="H19" i="1"/>
  <c r="H18" i="1"/>
  <c r="G19" i="1"/>
  <c r="F20" i="1"/>
  <c r="F19" i="1"/>
  <c r="F18" i="1"/>
  <c r="E20" i="1"/>
  <c r="E19" i="1"/>
  <c r="E18" i="1"/>
  <c r="D20" i="1"/>
  <c r="D19" i="1"/>
  <c r="D18" i="1"/>
  <c r="C20" i="1"/>
  <c r="C19" i="1"/>
  <c r="C18" i="1"/>
  <c r="D42" i="2"/>
  <c r="C42" i="2"/>
  <c r="I41" i="2"/>
  <c r="H41" i="2"/>
  <c r="G41" i="2"/>
  <c r="F41" i="2"/>
  <c r="E41" i="2"/>
  <c r="D41" i="2"/>
  <c r="C41" i="2"/>
  <c r="I40" i="2"/>
  <c r="H40" i="2"/>
  <c r="G40" i="2"/>
  <c r="F40" i="2"/>
  <c r="E40" i="2"/>
  <c r="D40" i="2"/>
  <c r="C40" i="2"/>
  <c r="I39" i="2"/>
  <c r="I42" i="2" s="1"/>
  <c r="H39" i="2"/>
  <c r="H42" i="2" s="1"/>
  <c r="G39" i="2"/>
  <c r="G42" i="2" s="1"/>
  <c r="F39" i="2"/>
  <c r="F42" i="2" s="1"/>
  <c r="E39" i="2"/>
  <c r="E42" i="2" s="1"/>
  <c r="D39" i="2"/>
  <c r="C39" i="2"/>
  <c r="Q21" i="2"/>
  <c r="O21" i="2"/>
  <c r="N21" i="2"/>
  <c r="R20" i="2"/>
  <c r="Q20" i="2"/>
  <c r="P20" i="2"/>
  <c r="O20" i="2"/>
  <c r="N20" i="2"/>
  <c r="M20" i="2"/>
  <c r="L20" i="2"/>
  <c r="R19" i="2"/>
  <c r="Q19" i="2"/>
  <c r="P19" i="2"/>
  <c r="O19" i="2"/>
  <c r="N19" i="2"/>
  <c r="M19" i="2"/>
  <c r="L19" i="2"/>
  <c r="R18" i="2"/>
  <c r="R21" i="2" s="1"/>
  <c r="Q18" i="2"/>
  <c r="P18" i="2"/>
  <c r="P21" i="2" s="1"/>
  <c r="O18" i="2"/>
  <c r="N18" i="2"/>
  <c r="M18" i="2"/>
  <c r="M21" i="2" s="1"/>
  <c r="L18" i="2"/>
  <c r="L21" i="2" s="1"/>
  <c r="C19" i="2"/>
  <c r="D19" i="2"/>
  <c r="E19" i="2"/>
  <c r="F19" i="2"/>
  <c r="G19" i="2"/>
  <c r="H19" i="2"/>
  <c r="I19" i="2"/>
  <c r="C20" i="2"/>
  <c r="D20" i="2"/>
  <c r="E20" i="2"/>
  <c r="F20" i="2"/>
  <c r="G20" i="2"/>
  <c r="H20" i="2"/>
  <c r="I20" i="2"/>
  <c r="D18" i="2"/>
  <c r="E18" i="2"/>
  <c r="F18" i="2"/>
  <c r="G18" i="2"/>
  <c r="H18" i="2"/>
  <c r="I18" i="2"/>
  <c r="C18" i="2"/>
  <c r="R16" i="2"/>
  <c r="Q16" i="2"/>
  <c r="P16" i="2"/>
  <c r="O16" i="2"/>
  <c r="N16" i="2"/>
  <c r="M16" i="2"/>
  <c r="L16" i="2"/>
  <c r="R15" i="2"/>
  <c r="Q15" i="2"/>
  <c r="P15" i="2"/>
  <c r="O15" i="2"/>
  <c r="N15" i="2"/>
  <c r="M15" i="2"/>
  <c r="L15" i="2"/>
  <c r="R14" i="2"/>
  <c r="Q14" i="2"/>
  <c r="P14" i="2"/>
  <c r="O14" i="2"/>
  <c r="N14" i="2"/>
  <c r="M14" i="2"/>
  <c r="L14" i="2"/>
  <c r="R13" i="2"/>
  <c r="Q13" i="2"/>
  <c r="P13" i="2"/>
  <c r="O13" i="2"/>
  <c r="N13" i="2"/>
  <c r="M13" i="2"/>
  <c r="L13" i="2"/>
  <c r="R12" i="2"/>
  <c r="Q12" i="2"/>
  <c r="P12" i="2"/>
  <c r="O12" i="2"/>
  <c r="N12" i="2"/>
  <c r="M12" i="2"/>
  <c r="L12" i="2"/>
  <c r="R11" i="2"/>
  <c r="Q11" i="2"/>
  <c r="P11" i="2"/>
  <c r="O11" i="2"/>
  <c r="N11" i="2"/>
  <c r="M11" i="2"/>
  <c r="L11" i="2"/>
  <c r="R10" i="2"/>
  <c r="Q10" i="2"/>
  <c r="P10" i="2"/>
  <c r="O10" i="2"/>
  <c r="N10" i="2"/>
  <c r="M10" i="2"/>
  <c r="L10" i="2"/>
  <c r="R9" i="2"/>
  <c r="Q9" i="2"/>
  <c r="P9" i="2"/>
  <c r="O9" i="2"/>
  <c r="N9" i="2"/>
  <c r="M9" i="2"/>
  <c r="L9" i="2"/>
  <c r="R8" i="2"/>
  <c r="Q8" i="2"/>
  <c r="P8" i="2"/>
  <c r="O8" i="2"/>
  <c r="N8" i="2"/>
  <c r="M8" i="2"/>
  <c r="L8" i="2"/>
  <c r="R7" i="2"/>
  <c r="R17" i="2" s="1"/>
  <c r="Q7" i="2"/>
  <c r="Q17" i="2" s="1"/>
  <c r="P7" i="2"/>
  <c r="P17" i="2" s="1"/>
  <c r="O7" i="2"/>
  <c r="O17" i="2" s="1"/>
  <c r="N7" i="2"/>
  <c r="N17" i="2" s="1"/>
  <c r="M7" i="2"/>
  <c r="M17" i="2" s="1"/>
  <c r="L7" i="2"/>
  <c r="L17" i="2" s="1"/>
  <c r="R6" i="2"/>
  <c r="Q6" i="2"/>
  <c r="P6" i="2"/>
  <c r="O6" i="2"/>
  <c r="N6" i="2"/>
  <c r="M6" i="2"/>
  <c r="L6" i="2"/>
  <c r="R5" i="2"/>
  <c r="Q5" i="2"/>
  <c r="P5" i="2"/>
  <c r="O5" i="2"/>
  <c r="N5" i="2"/>
  <c r="M5" i="2"/>
  <c r="L5" i="2"/>
  <c r="I37" i="2"/>
  <c r="H37" i="2"/>
  <c r="G37" i="2"/>
  <c r="F37" i="2"/>
  <c r="E37" i="2"/>
  <c r="D37" i="2"/>
  <c r="C37" i="2"/>
  <c r="I36" i="2"/>
  <c r="H36" i="2"/>
  <c r="G36" i="2"/>
  <c r="F36" i="2"/>
  <c r="E36" i="2"/>
  <c r="D36" i="2"/>
  <c r="C36" i="2"/>
  <c r="I35" i="2"/>
  <c r="H35" i="2"/>
  <c r="G35" i="2"/>
  <c r="F35" i="2"/>
  <c r="E35" i="2"/>
  <c r="D35" i="2"/>
  <c r="C35" i="2"/>
  <c r="I34" i="2"/>
  <c r="H34" i="2"/>
  <c r="G34" i="2"/>
  <c r="F34" i="2"/>
  <c r="E34" i="2"/>
  <c r="D34" i="2"/>
  <c r="C34" i="2"/>
  <c r="I33" i="2"/>
  <c r="H33" i="2"/>
  <c r="G33" i="2"/>
  <c r="F33" i="2"/>
  <c r="E33" i="2"/>
  <c r="D33" i="2"/>
  <c r="C33" i="2"/>
  <c r="I32" i="2"/>
  <c r="H32" i="2"/>
  <c r="G32" i="2"/>
  <c r="F32" i="2"/>
  <c r="E32" i="2"/>
  <c r="D32" i="2"/>
  <c r="C32" i="2"/>
  <c r="I31" i="2"/>
  <c r="H31" i="2"/>
  <c r="G31" i="2"/>
  <c r="F31" i="2"/>
  <c r="E31" i="2"/>
  <c r="D31" i="2"/>
  <c r="C31" i="2"/>
  <c r="I30" i="2"/>
  <c r="H30" i="2"/>
  <c r="G30" i="2"/>
  <c r="F30" i="2"/>
  <c r="E30" i="2"/>
  <c r="D30" i="2"/>
  <c r="C30" i="2"/>
  <c r="I29" i="2"/>
  <c r="H29" i="2"/>
  <c r="G29" i="2"/>
  <c r="F29" i="2"/>
  <c r="E29" i="2"/>
  <c r="D29" i="2"/>
  <c r="C29" i="2"/>
  <c r="I28" i="2"/>
  <c r="I38" i="2" s="1"/>
  <c r="H28" i="2"/>
  <c r="H38" i="2" s="1"/>
  <c r="G28" i="2"/>
  <c r="G38" i="2" s="1"/>
  <c r="F28" i="2"/>
  <c r="F38" i="2" s="1"/>
  <c r="E28" i="2"/>
  <c r="E38" i="2" s="1"/>
  <c r="D28" i="2"/>
  <c r="D38" i="2" s="1"/>
  <c r="C28" i="2"/>
  <c r="C38" i="2" s="1"/>
  <c r="I27" i="2"/>
  <c r="H27" i="2"/>
  <c r="G27" i="2"/>
  <c r="F27" i="2"/>
  <c r="E27" i="2"/>
  <c r="D27" i="2"/>
  <c r="C27" i="2"/>
  <c r="I26" i="2"/>
  <c r="H26" i="2"/>
  <c r="G26" i="2"/>
  <c r="F26" i="2"/>
  <c r="E26" i="2"/>
  <c r="D26" i="2"/>
  <c r="C26" i="2"/>
  <c r="D5" i="2"/>
  <c r="E5" i="2"/>
  <c r="F5" i="2"/>
  <c r="G5" i="2"/>
  <c r="H5" i="2"/>
  <c r="I5" i="2"/>
  <c r="D6" i="2"/>
  <c r="E6" i="2"/>
  <c r="F6" i="2"/>
  <c r="G6" i="2"/>
  <c r="H6" i="2"/>
  <c r="I6" i="2"/>
  <c r="D7" i="2"/>
  <c r="E7" i="2"/>
  <c r="F7" i="2"/>
  <c r="G7" i="2"/>
  <c r="H7" i="2"/>
  <c r="I7" i="2"/>
  <c r="D8" i="2"/>
  <c r="E8" i="2"/>
  <c r="F8" i="2"/>
  <c r="G8" i="2"/>
  <c r="H8" i="2"/>
  <c r="I8" i="2"/>
  <c r="D9" i="2"/>
  <c r="E9" i="2"/>
  <c r="F9" i="2"/>
  <c r="G9" i="2"/>
  <c r="H9" i="2"/>
  <c r="I9" i="2"/>
  <c r="D10" i="2"/>
  <c r="E10" i="2"/>
  <c r="F10" i="2"/>
  <c r="G10" i="2"/>
  <c r="H10" i="2"/>
  <c r="I10" i="2"/>
  <c r="D11" i="2"/>
  <c r="E11" i="2"/>
  <c r="F11" i="2"/>
  <c r="G11" i="2"/>
  <c r="H11" i="2"/>
  <c r="I11" i="2"/>
  <c r="D12" i="2"/>
  <c r="E12" i="2"/>
  <c r="F12" i="2"/>
  <c r="G12" i="2"/>
  <c r="H12" i="2"/>
  <c r="I12" i="2"/>
  <c r="D13" i="2"/>
  <c r="E13" i="2"/>
  <c r="F13" i="2"/>
  <c r="G13" i="2"/>
  <c r="H13" i="2"/>
  <c r="I13" i="2"/>
  <c r="D14" i="2"/>
  <c r="E14" i="2"/>
  <c r="F14" i="2"/>
  <c r="G14" i="2"/>
  <c r="H14" i="2"/>
  <c r="I14" i="2"/>
  <c r="D15" i="2"/>
  <c r="E15" i="2"/>
  <c r="F15" i="2"/>
  <c r="G15" i="2"/>
  <c r="H15" i="2"/>
  <c r="I15" i="2"/>
  <c r="D16" i="2"/>
  <c r="E16" i="2"/>
  <c r="F16" i="2"/>
  <c r="G16" i="2"/>
  <c r="H16" i="2"/>
  <c r="I16" i="2"/>
  <c r="C6" i="2"/>
  <c r="C7" i="2"/>
  <c r="C8" i="2"/>
  <c r="C9" i="2"/>
  <c r="C10" i="2"/>
  <c r="C11" i="2"/>
  <c r="C12" i="2"/>
  <c r="C13" i="2"/>
  <c r="C14" i="2"/>
  <c r="C15" i="2"/>
  <c r="C16" i="2"/>
  <c r="C5" i="2"/>
  <c r="I21" i="2" l="1"/>
  <c r="F21" i="2"/>
  <c r="C21" i="2"/>
  <c r="H21" i="2"/>
  <c r="G21" i="2"/>
  <c r="E21" i="2"/>
  <c r="D21" i="2"/>
  <c r="H17" i="2"/>
  <c r="D17" i="2"/>
  <c r="F17" i="2"/>
  <c r="E17" i="2"/>
  <c r="I17" i="2"/>
  <c r="C17" i="2"/>
  <c r="G17" i="2"/>
</calcChain>
</file>

<file path=xl/sharedStrings.xml><?xml version="1.0" encoding="utf-8"?>
<sst xmlns="http://schemas.openxmlformats.org/spreadsheetml/2006/main" count="384" uniqueCount="19">
  <si>
    <t>400/400/400</t>
    <phoneticPr fontId="1"/>
  </si>
  <si>
    <t>直進</t>
    <rPh sb="0" eb="2">
      <t>チョク</t>
    </rPh>
    <phoneticPr fontId="1"/>
  </si>
  <si>
    <t>右折</t>
    <rPh sb="0" eb="2">
      <t>ウセテゥ</t>
    </rPh>
    <phoneticPr fontId="1"/>
  </si>
  <si>
    <t>左折</t>
    <rPh sb="0" eb="2">
      <t>サセテゥ</t>
    </rPh>
    <phoneticPr fontId="1"/>
  </si>
  <si>
    <t>合計</t>
    <rPh sb="0" eb="2">
      <t>ゴウケイ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</si>
  <si>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</si>
  <si>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</si>
  <si>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</si>
  <si>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</si>
  <si>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600/600/600</t>
    <phoneticPr fontId="1"/>
  </si>
  <si>
    <t>性能込み</t>
    <rPh sb="0" eb="2">
      <t>セイノウ</t>
    </rPh>
    <rPh sb="2" eb="3">
      <t>コミ</t>
    </rPh>
    <phoneticPr fontId="1"/>
  </si>
  <si>
    <t>（Bus）</t>
    <phoneticPr fontId="1"/>
  </si>
  <si>
    <t>（Car）</t>
    <phoneticPr fontId="1"/>
  </si>
  <si>
    <t>500/500/500</t>
    <phoneticPr fontId="1"/>
  </si>
  <si>
    <t>交差点前_平均</t>
    <rPh sb="0" eb="4">
      <t>コウサ</t>
    </rPh>
    <rPh sb="5" eb="7">
      <t>ヘイキn</t>
    </rPh>
    <phoneticPr fontId="1"/>
  </si>
  <si>
    <t>通過台数_L</t>
    <rPh sb="0" eb="2">
      <t>ツウカ</t>
    </rPh>
    <rPh sb="2" eb="4">
      <t>ダイスウ</t>
    </rPh>
    <phoneticPr fontId="1"/>
  </si>
  <si>
    <t>通過台数_R</t>
    <rPh sb="0" eb="1">
      <t>ツウカ</t>
    </rPh>
    <phoneticPr fontId="1"/>
  </si>
  <si>
    <t>通過台数_B</t>
    <rPh sb="0" eb="4">
      <t>ツウカ</t>
    </rPh>
    <phoneticPr fontId="1"/>
  </si>
  <si>
    <t>通過台数_合計</t>
    <rPh sb="0" eb="4">
      <t>ツウカ</t>
    </rPh>
    <rPh sb="5" eb="7">
      <t>ゴウケイ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</si>
</sst>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B2:R41"/>
  <sheetViews>
    <sheetView tabSelected="1" topLeftCell="A8" workbookViewId="0">
      <selection activeCell="G23" sqref="G23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v>4.3620000000000001</v>
      </c>
      <c r="D5">
        <v>5.3526999999999996</v>
      </c>
      <c r="E5">
        <v>5.7695999999999996</v>
      </c>
      <c r="F5">
        <v>6.2873999999999999</v>
      </c>
      <c r="G5">
        <v>1.0673999999999999</v>
      </c>
      <c r="H5">
        <v>5.8086000000000002</v>
      </c>
      <c r="I5">
        <v>6.2248000000000001</v>
      </c>
      <c r="K5" s="2" t="s">
        <v>11</v>
      </c>
    </row>
    <row r="6" spans="2:18">
      <c r="B6" s="2" t="s">
        <v>12</v>
      </c>
      <c r="C6">
        <v>4.2093999999999996</v>
      </c>
      <c r="D6">
        <v>4.5380000000000003</v>
      </c>
      <c r="E6">
        <v>5.0673000000000004</v>
      </c>
      <c r="F6">
        <v>5.2849000000000004</v>
      </c>
      <c r="G6">
        <v>0.95899999999999996</v>
      </c>
      <c r="H6">
        <v>5.4283000000000001</v>
      </c>
      <c r="I6">
        <v>5.5869999999999997</v>
      </c>
      <c r="K6" s="2" t="s">
        <v>12</v>
      </c>
    </row>
    <row r="7" spans="2:18">
      <c r="B7" t="s">
        <v>2</v>
      </c>
      <c r="C7">
        <v>4.2367999999999997</v>
      </c>
      <c r="D7">
        <v>4.67</v>
      </c>
      <c r="E7">
        <v>5.1844999999999999</v>
      </c>
      <c r="F7">
        <v>5.4455</v>
      </c>
      <c r="G7">
        <v>0.97650000000000003</v>
      </c>
      <c r="H7">
        <v>5.4947999999999997</v>
      </c>
      <c r="I7">
        <v>5.6948999999999996</v>
      </c>
      <c r="K7" t="s">
        <v>2</v>
      </c>
    </row>
    <row r="8" spans="2:18">
      <c r="B8" s="2" t="s">
        <v>11</v>
      </c>
      <c r="C8">
        <v>5.6436000000000002</v>
      </c>
      <c r="D8">
        <v>3.3077999999999999</v>
      </c>
      <c r="E8">
        <v>5.0435999999999996</v>
      </c>
      <c r="F8">
        <v>4.6444999999999999</v>
      </c>
      <c r="G8">
        <v>1.2238</v>
      </c>
      <c r="H8">
        <v>4.9302000000000001</v>
      </c>
      <c r="I8">
        <v>5.5575000000000001</v>
      </c>
      <c r="K8" s="2" t="s">
        <v>11</v>
      </c>
    </row>
    <row r="9" spans="2:18">
      <c r="B9" s="2" t="s">
        <v>12</v>
      </c>
      <c r="C9">
        <v>5.8792</v>
      </c>
      <c r="D9">
        <v>3.1147</v>
      </c>
      <c r="E9">
        <v>4.4961000000000002</v>
      </c>
      <c r="F9">
        <v>4.8300999999999998</v>
      </c>
      <c r="G9">
        <v>1.6772</v>
      </c>
      <c r="H9">
        <v>5.6730999999999998</v>
      </c>
      <c r="I9">
        <v>5.7897999999999996</v>
      </c>
      <c r="K9" s="2" t="s">
        <v>12</v>
      </c>
    </row>
    <row r="10" spans="2:18">
      <c r="B10" t="s">
        <v>3</v>
      </c>
      <c r="C10">
        <v>5.8144</v>
      </c>
      <c r="D10">
        <v>3.1650999999999998</v>
      </c>
      <c r="E10">
        <v>4.6294000000000004</v>
      </c>
      <c r="F10">
        <v>4.7790999999999997</v>
      </c>
      <c r="G10">
        <v>1.5239</v>
      </c>
      <c r="H10">
        <v>5.4541000000000004</v>
      </c>
      <c r="I10">
        <v>5.7260999999999997</v>
      </c>
      <c r="K10" t="s">
        <v>3</v>
      </c>
    </row>
    <row r="11" spans="2:18">
      <c r="B11" s="2" t="s">
        <v>11</v>
      </c>
      <c r="C11">
        <v>3.4247999999999998</v>
      </c>
      <c r="D11">
        <v>7.4477000000000002</v>
      </c>
      <c r="E11">
        <v>8.9809000000000001</v>
      </c>
      <c r="F11">
        <v>7.3804999999999996</v>
      </c>
      <c r="G11">
        <v>0.97399999999999998</v>
      </c>
      <c r="H11">
        <v>4.8609</v>
      </c>
      <c r="I11">
        <v>6.3475000000000001</v>
      </c>
      <c r="K11" s="2" t="s">
        <v>11</v>
      </c>
    </row>
    <row r="12" spans="2:18">
      <c r="B12" s="2" t="s">
        <v>12</v>
      </c>
      <c r="C12">
        <v>5.1456</v>
      </c>
      <c r="D12">
        <v>6.3226000000000004</v>
      </c>
      <c r="E12">
        <v>9.0814000000000004</v>
      </c>
      <c r="F12">
        <v>7.9819000000000004</v>
      </c>
      <c r="G12">
        <v>2.1467999999999998</v>
      </c>
      <c r="H12">
        <v>7.2983000000000002</v>
      </c>
      <c r="I12">
        <v>7.6451000000000002</v>
      </c>
      <c r="K12" s="2" t="s">
        <v>12</v>
      </c>
    </row>
    <row r="13" spans="2:18">
      <c r="B13" t="s">
        <v>1</v>
      </c>
      <c r="C13">
        <v>4.9245999999999999</v>
      </c>
      <c r="D13">
        <v>6.4090999999999996</v>
      </c>
      <c r="E13">
        <v>9.0723000000000003</v>
      </c>
      <c r="F13">
        <v>7.9242999999999997</v>
      </c>
      <c r="G13">
        <v>1.9457</v>
      </c>
      <c r="H13">
        <v>6.9852999999999996</v>
      </c>
      <c r="I13">
        <v>7.5077999999999996</v>
      </c>
      <c r="K13" t="s">
        <v>1</v>
      </c>
    </row>
    <row r="14" spans="2:18">
      <c r="B14" s="2" t="s">
        <v>11</v>
      </c>
      <c r="C14">
        <v>6.3505000000000003</v>
      </c>
      <c r="D14">
        <v>5.8409000000000004</v>
      </c>
      <c r="E14">
        <v>7.1877000000000004</v>
      </c>
      <c r="F14">
        <v>6.9795999999999996</v>
      </c>
      <c r="G14">
        <v>1.923</v>
      </c>
      <c r="H14">
        <v>6.7385000000000002</v>
      </c>
      <c r="I14">
        <v>7.29</v>
      </c>
      <c r="K14" s="2" t="s">
        <v>11</v>
      </c>
    </row>
    <row r="15" spans="2:18">
      <c r="B15" s="2" t="s">
        <v>12</v>
      </c>
      <c r="C15">
        <v>7.0099</v>
      </c>
      <c r="D15">
        <v>6.43</v>
      </c>
      <c r="E15">
        <v>7.8074000000000003</v>
      </c>
      <c r="F15">
        <v>7.8198999999999996</v>
      </c>
      <c r="G15">
        <v>2.4243000000000001</v>
      </c>
      <c r="H15">
        <v>8.0189000000000004</v>
      </c>
      <c r="I15">
        <v>8.2028999999999996</v>
      </c>
      <c r="K15" s="2" t="s">
        <v>12</v>
      </c>
    </row>
    <row r="16" spans="2:18">
      <c r="B16" t="s">
        <v>4</v>
      </c>
      <c r="C16">
        <v>6.8826000000000001</v>
      </c>
      <c r="D16">
        <v>6.3163999999999998</v>
      </c>
      <c r="E16">
        <v>7.6889000000000003</v>
      </c>
      <c r="F16">
        <v>7.6561000000000003</v>
      </c>
      <c r="G16" s="3">
        <v>2.3136000000000001</v>
      </c>
      <c r="H16">
        <v>7.7564000000000002</v>
      </c>
      <c r="I16">
        <v>8.0238999999999994</v>
      </c>
      <c r="K16" t="s">
        <v>4</v>
      </c>
    </row>
    <row r="18" spans="2:11">
      <c r="B18" t="s">
        <v>15</v>
      </c>
      <c r="C18">
        <f>9+53</f>
        <v>62</v>
      </c>
      <c r="D18">
        <f>9+53</f>
        <v>62</v>
      </c>
      <c r="E18">
        <f>9+53</f>
        <v>62</v>
      </c>
      <c r="F18">
        <f>9+53</f>
        <v>62</v>
      </c>
      <c r="G18">
        <f>3+25</f>
        <v>28</v>
      </c>
      <c r="H18">
        <f>9+53</f>
        <v>62</v>
      </c>
      <c r="I18">
        <f>9+53</f>
        <v>62</v>
      </c>
      <c r="K18" t="s">
        <v>15</v>
      </c>
    </row>
    <row r="19" spans="2:11">
      <c r="B19" t="s">
        <v>16</v>
      </c>
      <c r="C19">
        <f>10+53</f>
        <v>63</v>
      </c>
      <c r="D19">
        <f>10+52</f>
        <v>62</v>
      </c>
      <c r="E19">
        <f>10+53</f>
        <v>63</v>
      </c>
      <c r="F19">
        <f>10+53</f>
        <v>63</v>
      </c>
      <c r="G19">
        <f>9+52</f>
        <v>61</v>
      </c>
      <c r="H19">
        <f>10+53</f>
        <v>63</v>
      </c>
      <c r="I19">
        <f>10+53</f>
        <v>63</v>
      </c>
      <c r="K19" t="s">
        <v>16</v>
      </c>
    </row>
    <row r="20" spans="2:11">
      <c r="B20" t="s">
        <v>17</v>
      </c>
      <c r="C20">
        <f>15+49</f>
        <v>64</v>
      </c>
      <c r="D20">
        <f>15+48</f>
        <v>63</v>
      </c>
      <c r="E20">
        <f>15+49</f>
        <v>64</v>
      </c>
      <c r="F20">
        <f>15+49</f>
        <v>64</v>
      </c>
      <c r="G20">
        <f>10+31</f>
        <v>41</v>
      </c>
      <c r="H20">
        <f>15+49</f>
        <v>64</v>
      </c>
      <c r="I20">
        <f>15+49</f>
        <v>64</v>
      </c>
      <c r="K20" t="s">
        <v>17</v>
      </c>
    </row>
    <row r="23" spans="2:11">
      <c r="B23" t="s">
        <v>13</v>
      </c>
    </row>
    <row r="24" spans="2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2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2:11">
      <c r="B26" s="2" t="s">
        <v>11</v>
      </c>
    </row>
    <row r="27" spans="2:11">
      <c r="B27" s="2" t="s">
        <v>12</v>
      </c>
    </row>
    <row r="28" spans="2:11">
      <c r="B28" t="s">
        <v>2</v>
      </c>
    </row>
    <row r="29" spans="2:11">
      <c r="B29" s="2" t="s">
        <v>11</v>
      </c>
    </row>
    <row r="30" spans="2:11">
      <c r="B30" s="2" t="s">
        <v>12</v>
      </c>
    </row>
    <row r="31" spans="2:11">
      <c r="B31" t="s">
        <v>3</v>
      </c>
    </row>
    <row r="32" spans="2:11">
      <c r="B32" s="2" t="s">
        <v>11</v>
      </c>
    </row>
    <row r="33" spans="2:2">
      <c r="B33" s="2" t="s">
        <v>12</v>
      </c>
    </row>
    <row r="34" spans="2:2">
      <c r="B34" t="s">
        <v>1</v>
      </c>
    </row>
    <row r="35" spans="2:2">
      <c r="B35" s="2" t="s">
        <v>11</v>
      </c>
    </row>
    <row r="36" spans="2:2">
      <c r="B36" s="2" t="s">
        <v>12</v>
      </c>
    </row>
    <row r="37" spans="2:2">
      <c r="B37" t="s">
        <v>4</v>
      </c>
    </row>
    <row r="39" spans="2:2">
      <c r="B39" t="s">
        <v>15</v>
      </c>
    </row>
    <row r="40" spans="2:2">
      <c r="B40" t="s">
        <v>16</v>
      </c>
    </row>
    <row r="41" spans="2:2">
      <c r="B41" t="s">
        <v>17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B2:R41"/>
  <sheetViews>
    <sheetView topLeftCell="A3" workbookViewId="0">
      <selection activeCell="I21" sqref="I21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v>3.6858</v>
      </c>
      <c r="D5">
        <v>5.5342000000000002</v>
      </c>
      <c r="E5">
        <v>5.8193999999999999</v>
      </c>
      <c r="F5">
        <v>6.0575000000000001</v>
      </c>
      <c r="G5">
        <v>5.8921000000000001</v>
      </c>
      <c r="H5">
        <v>6.1374000000000004</v>
      </c>
      <c r="I5">
        <v>6.3979999999999997</v>
      </c>
      <c r="K5" s="2" t="s">
        <v>11</v>
      </c>
    </row>
    <row r="6" spans="2:18">
      <c r="B6" s="2" t="s">
        <v>12</v>
      </c>
      <c r="C6">
        <v>3.9908000000000001</v>
      </c>
      <c r="D6">
        <v>4.8845999999999998</v>
      </c>
      <c r="E6">
        <v>6.1193999999999997</v>
      </c>
      <c r="F6">
        <v>6.1871999999999998</v>
      </c>
      <c r="G6">
        <v>5.8536999999999999</v>
      </c>
      <c r="H6">
        <v>6.1665000000000001</v>
      </c>
      <c r="I6">
        <v>6.0542999999999996</v>
      </c>
      <c r="K6" s="2" t="s">
        <v>12</v>
      </c>
    </row>
    <row r="7" spans="2:18">
      <c r="B7" t="s">
        <v>2</v>
      </c>
      <c r="C7">
        <v>3.9239000000000002</v>
      </c>
      <c r="D7">
        <v>5.0058999999999996</v>
      </c>
      <c r="E7">
        <v>6.0552999999999999</v>
      </c>
      <c r="F7">
        <v>6.1600999999999999</v>
      </c>
      <c r="G7">
        <v>5.8615000000000004</v>
      </c>
      <c r="H7">
        <v>6.1604999999999999</v>
      </c>
      <c r="I7">
        <v>6.1223000000000001</v>
      </c>
      <c r="K7" t="s">
        <v>2</v>
      </c>
    </row>
    <row r="8" spans="2:18">
      <c r="B8" s="2" t="s">
        <v>11</v>
      </c>
      <c r="C8">
        <v>5.38</v>
      </c>
      <c r="D8">
        <v>4.3875000000000002</v>
      </c>
      <c r="E8">
        <v>4.9165999999999999</v>
      </c>
      <c r="F8">
        <v>4.9901999999999997</v>
      </c>
      <c r="G8">
        <v>4.7888999999999999</v>
      </c>
      <c r="H8">
        <v>5.8274999999999997</v>
      </c>
      <c r="I8">
        <v>5.8696000000000002</v>
      </c>
      <c r="K8" s="2" t="s">
        <v>11</v>
      </c>
    </row>
    <row r="9" spans="2:18">
      <c r="B9" s="2" t="s">
        <v>12</v>
      </c>
      <c r="C9">
        <v>4.3971</v>
      </c>
      <c r="D9">
        <v>4.1172000000000004</v>
      </c>
      <c r="E9">
        <v>5.2145000000000001</v>
      </c>
      <c r="F9">
        <v>5.2683999999999997</v>
      </c>
      <c r="G9">
        <v>5.2302</v>
      </c>
      <c r="H9">
        <v>5.6642999999999999</v>
      </c>
      <c r="I9">
        <v>5.8888999999999996</v>
      </c>
      <c r="K9" s="2" t="s">
        <v>12</v>
      </c>
    </row>
    <row r="10" spans="2:18">
      <c r="B10" t="s">
        <v>3</v>
      </c>
      <c r="C10">
        <v>4.5900999999999996</v>
      </c>
      <c r="D10">
        <v>4.1767000000000003</v>
      </c>
      <c r="E10">
        <v>5.1420000000000003</v>
      </c>
      <c r="F10">
        <v>5.2009999999999996</v>
      </c>
      <c r="G10">
        <v>5.1220999999999997</v>
      </c>
      <c r="H10">
        <v>5.7009999999999996</v>
      </c>
      <c r="I10">
        <v>5.8845000000000001</v>
      </c>
      <c r="K10" t="s">
        <v>3</v>
      </c>
    </row>
    <row r="11" spans="2:18">
      <c r="B11" s="2" t="s">
        <v>11</v>
      </c>
      <c r="C11">
        <v>3.1362000000000001</v>
      </c>
      <c r="D11">
        <v>9.3756000000000004</v>
      </c>
      <c r="E11">
        <v>8.9475999999999996</v>
      </c>
      <c r="F11">
        <v>8.2169000000000008</v>
      </c>
      <c r="G11">
        <v>5.9638999999999998</v>
      </c>
      <c r="H11">
        <v>7.7088000000000001</v>
      </c>
      <c r="I11">
        <v>7.0080999999999998</v>
      </c>
      <c r="K11" s="2" t="s">
        <v>11</v>
      </c>
    </row>
    <row r="12" spans="2:18">
      <c r="B12" s="2" t="s">
        <v>12</v>
      </c>
      <c r="C12">
        <v>5.1180000000000003</v>
      </c>
      <c r="D12">
        <v>8.8163</v>
      </c>
      <c r="E12">
        <v>8.3512000000000004</v>
      </c>
      <c r="F12">
        <v>8.2507999999999999</v>
      </c>
      <c r="G12">
        <v>6.8731999999999998</v>
      </c>
      <c r="H12">
        <v>8.0808</v>
      </c>
      <c r="I12">
        <v>8</v>
      </c>
      <c r="K12" s="2" t="s">
        <v>12</v>
      </c>
    </row>
    <row r="13" spans="2:18">
      <c r="B13" t="s">
        <v>1</v>
      </c>
      <c r="C13">
        <v>4.5393999999999997</v>
      </c>
      <c r="D13">
        <v>8.9229000000000003</v>
      </c>
      <c r="E13">
        <v>8.4643999999999995</v>
      </c>
      <c r="F13">
        <v>8.2439</v>
      </c>
      <c r="G13">
        <v>6.6680999999999999</v>
      </c>
      <c r="H13">
        <v>8.0030999999999999</v>
      </c>
      <c r="I13">
        <v>7.7782999999999998</v>
      </c>
      <c r="K13" t="s">
        <v>1</v>
      </c>
    </row>
    <row r="14" spans="2:18">
      <c r="B14" s="2" t="s">
        <v>11</v>
      </c>
      <c r="C14">
        <v>5.4555999999999996</v>
      </c>
      <c r="D14">
        <v>7.3552</v>
      </c>
      <c r="E14">
        <v>7.6208</v>
      </c>
      <c r="F14">
        <v>7.6664000000000003</v>
      </c>
      <c r="G14">
        <v>6.8779000000000003</v>
      </c>
      <c r="H14">
        <v>7.8555000000000001</v>
      </c>
      <c r="I14">
        <v>7.7667000000000002</v>
      </c>
      <c r="K14" s="2" t="s">
        <v>11</v>
      </c>
    </row>
    <row r="15" spans="2:18">
      <c r="B15" s="2" t="s">
        <v>12</v>
      </c>
      <c r="C15">
        <v>6.3372999999999999</v>
      </c>
      <c r="D15">
        <v>7.3967000000000001</v>
      </c>
      <c r="E15">
        <v>8.1928000000000001</v>
      </c>
      <c r="F15">
        <v>8.2420000000000009</v>
      </c>
      <c r="G15">
        <v>7.7798999999999996</v>
      </c>
      <c r="H15">
        <v>8.3325999999999993</v>
      </c>
      <c r="I15">
        <v>8.3874999999999993</v>
      </c>
      <c r="K15" s="2" t="s">
        <v>12</v>
      </c>
    </row>
    <row r="16" spans="2:18">
      <c r="B16" t="s">
        <v>4</v>
      </c>
      <c r="C16">
        <v>6.1262999999999996</v>
      </c>
      <c r="D16">
        <v>7.3878000000000004</v>
      </c>
      <c r="E16">
        <v>8.0641999999999996</v>
      </c>
      <c r="F16">
        <v>8.1127000000000002</v>
      </c>
      <c r="G16">
        <v>7.5682999999999998</v>
      </c>
      <c r="H16">
        <v>8.2262000000000004</v>
      </c>
      <c r="I16">
        <v>8.2471999999999994</v>
      </c>
      <c r="K16" t="s">
        <v>4</v>
      </c>
    </row>
    <row r="18" spans="2:11">
      <c r="B18" t="s">
        <v>15</v>
      </c>
      <c r="C18">
        <f>17+44</f>
        <v>61</v>
      </c>
      <c r="D18">
        <f>18+45</f>
        <v>63</v>
      </c>
      <c r="E18">
        <f>18+45</f>
        <v>63</v>
      </c>
      <c r="F18">
        <f>17+45</f>
        <v>62</v>
      </c>
      <c r="G18">
        <f>17+44</f>
        <v>61</v>
      </c>
      <c r="H18">
        <f>18+45</f>
        <v>63</v>
      </c>
      <c r="I18">
        <f>18+45</f>
        <v>63</v>
      </c>
      <c r="K18" t="s">
        <v>15</v>
      </c>
    </row>
    <row r="19" spans="2:11">
      <c r="B19" t="s">
        <v>16</v>
      </c>
      <c r="C19">
        <f>12+51</f>
        <v>63</v>
      </c>
      <c r="D19">
        <f>12+50</f>
        <v>62</v>
      </c>
      <c r="E19">
        <f>12+51</f>
        <v>63</v>
      </c>
      <c r="F19">
        <f>12+52</f>
        <v>64</v>
      </c>
      <c r="G19">
        <f>12+51</f>
        <v>63</v>
      </c>
      <c r="H19">
        <f>12+51</f>
        <v>63</v>
      </c>
      <c r="I19">
        <f>12+51</f>
        <v>63</v>
      </c>
      <c r="K19" t="s">
        <v>16</v>
      </c>
    </row>
    <row r="20" spans="2:11">
      <c r="B20" t="s">
        <v>17</v>
      </c>
      <c r="C20">
        <f>10+51</f>
        <v>61</v>
      </c>
      <c r="D20">
        <f>10+51</f>
        <v>61</v>
      </c>
      <c r="E20">
        <f>10+51</f>
        <v>61</v>
      </c>
      <c r="F20">
        <f>10+51</f>
        <v>61</v>
      </c>
      <c r="G20">
        <f>10+51</f>
        <v>61</v>
      </c>
      <c r="H20">
        <f>10+51</f>
        <v>61</v>
      </c>
      <c r="I20">
        <f>10+51</f>
        <v>61</v>
      </c>
      <c r="K20" t="s">
        <v>17</v>
      </c>
    </row>
    <row r="23" spans="2:11">
      <c r="B23" t="s">
        <v>13</v>
      </c>
    </row>
    <row r="24" spans="2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2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2:11">
      <c r="B26" s="2" t="s">
        <v>11</v>
      </c>
    </row>
    <row r="27" spans="2:11">
      <c r="B27" s="2" t="s">
        <v>12</v>
      </c>
    </row>
    <row r="28" spans="2:11">
      <c r="B28" t="s">
        <v>2</v>
      </c>
    </row>
    <row r="29" spans="2:11">
      <c r="B29" s="2" t="s">
        <v>11</v>
      </c>
    </row>
    <row r="30" spans="2:11">
      <c r="B30" s="2" t="s">
        <v>12</v>
      </c>
    </row>
    <row r="31" spans="2:11">
      <c r="B31" t="s">
        <v>3</v>
      </c>
    </row>
    <row r="32" spans="2:11">
      <c r="B32" s="2" t="s">
        <v>11</v>
      </c>
    </row>
    <row r="33" spans="2:2">
      <c r="B33" s="2" t="s">
        <v>12</v>
      </c>
    </row>
    <row r="34" spans="2:2">
      <c r="B34" t="s">
        <v>1</v>
      </c>
    </row>
    <row r="35" spans="2:2">
      <c r="B35" s="2" t="s">
        <v>11</v>
      </c>
    </row>
    <row r="36" spans="2:2">
      <c r="B36" s="2" t="s">
        <v>12</v>
      </c>
    </row>
    <row r="37" spans="2:2">
      <c r="B37" t="s">
        <v>4</v>
      </c>
    </row>
    <row r="39" spans="2:2">
      <c r="B39" t="s">
        <v>15</v>
      </c>
    </row>
    <row r="40" spans="2:2">
      <c r="B40" t="s">
        <v>16</v>
      </c>
    </row>
    <row r="41" spans="2:2">
      <c r="B41" t="s">
        <v>17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B2:R41"/>
  <sheetViews>
    <sheetView workbookViewId="0">
      <selection activeCell="I21" sqref="I21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v>5.2012</v>
      </c>
      <c r="D5">
        <v>4.4328000000000003</v>
      </c>
      <c r="E5">
        <v>5.3396999999999997</v>
      </c>
      <c r="F5">
        <v>5.4268000000000001</v>
      </c>
      <c r="G5">
        <v>6.149</v>
      </c>
      <c r="H5">
        <v>6.0552999999999999</v>
      </c>
      <c r="I5">
        <v>6.1120999999999999</v>
      </c>
      <c r="K5" s="2" t="s">
        <v>11</v>
      </c>
    </row>
    <row r="6" spans="2:18">
      <c r="B6" s="2" t="s">
        <v>12</v>
      </c>
      <c r="C6">
        <v>4.9362000000000004</v>
      </c>
      <c r="D6">
        <v>4.4523999999999999</v>
      </c>
      <c r="E6">
        <v>5.07775</v>
      </c>
      <c r="F6">
        <v>5.1967999999999996</v>
      </c>
      <c r="G6">
        <v>5.8209999999999997</v>
      </c>
      <c r="H6">
        <v>5.5143000000000004</v>
      </c>
      <c r="I6">
        <v>5.6443000000000003</v>
      </c>
      <c r="K6" s="2" t="s">
        <v>12</v>
      </c>
    </row>
    <row r="7" spans="2:18">
      <c r="B7" t="s">
        <v>2</v>
      </c>
      <c r="C7">
        <v>5.0236999999999998</v>
      </c>
      <c r="D7">
        <v>4.4457000000000004</v>
      </c>
      <c r="E7">
        <v>5.2270000000000003</v>
      </c>
      <c r="F7">
        <v>5.2729999999999997</v>
      </c>
      <c r="G7">
        <v>5.9295999999999998</v>
      </c>
      <c r="H7">
        <v>5.6886999999999999</v>
      </c>
      <c r="I7">
        <v>5.7960000000000003</v>
      </c>
      <c r="K7" t="s">
        <v>2</v>
      </c>
    </row>
    <row r="8" spans="2:18">
      <c r="B8" s="2" t="s">
        <v>11</v>
      </c>
      <c r="C8">
        <v>5.5909000000000004</v>
      </c>
      <c r="D8">
        <v>4.0891999999999999</v>
      </c>
      <c r="E8">
        <v>4.1711999999999998</v>
      </c>
      <c r="F8">
        <v>4.4271000000000003</v>
      </c>
      <c r="G8">
        <v>5.4513999999999996</v>
      </c>
      <c r="H8">
        <v>5.6444000000000001</v>
      </c>
      <c r="I8">
        <v>5.2149000000000001</v>
      </c>
      <c r="K8" s="2" t="s">
        <v>11</v>
      </c>
    </row>
    <row r="9" spans="2:18">
      <c r="B9" s="2" t="s">
        <v>12</v>
      </c>
      <c r="C9">
        <v>5.8254999999999999</v>
      </c>
      <c r="D9">
        <v>3.8925000000000001</v>
      </c>
      <c r="E9">
        <v>4.5125000000000002</v>
      </c>
      <c r="F9">
        <v>4.4717000000000002</v>
      </c>
      <c r="G9">
        <v>5.6087999999999996</v>
      </c>
      <c r="H9">
        <v>5.2857000000000003</v>
      </c>
      <c r="I9">
        <v>4.9267000000000003</v>
      </c>
      <c r="K9" s="2" t="s">
        <v>12</v>
      </c>
    </row>
    <row r="10" spans="2:18">
      <c r="B10" t="s">
        <v>3</v>
      </c>
      <c r="C10">
        <v>5.7683</v>
      </c>
      <c r="D10">
        <v>3.9373</v>
      </c>
      <c r="E10">
        <v>4.4268000000000001</v>
      </c>
      <c r="F10">
        <v>4.4611999999999998</v>
      </c>
      <c r="G10">
        <v>5.5708000000000002</v>
      </c>
      <c r="H10">
        <v>5.3662999999999998</v>
      </c>
      <c r="I10">
        <v>4.9919000000000002</v>
      </c>
      <c r="K10" t="s">
        <v>3</v>
      </c>
    </row>
    <row r="11" spans="2:18">
      <c r="B11" s="2" t="s">
        <v>11</v>
      </c>
      <c r="C11">
        <v>4.8315000000000001</v>
      </c>
      <c r="D11">
        <v>7.9701000000000004</v>
      </c>
      <c r="E11">
        <v>7.56</v>
      </c>
      <c r="F11">
        <v>7.7446999999999999</v>
      </c>
      <c r="G11">
        <v>6.2774999999999999</v>
      </c>
      <c r="H11">
        <v>6.46</v>
      </c>
      <c r="I11">
        <v>6.7685000000000004</v>
      </c>
      <c r="K11" s="2" t="s">
        <v>11</v>
      </c>
    </row>
    <row r="12" spans="2:18">
      <c r="B12" s="2" t="s">
        <v>12</v>
      </c>
      <c r="C12">
        <v>4.9505999999999997</v>
      </c>
      <c r="D12">
        <v>7.2487000000000004</v>
      </c>
      <c r="E12">
        <v>7.7882999999999996</v>
      </c>
      <c r="F12">
        <v>7.7518000000000002</v>
      </c>
      <c r="G12">
        <v>7.1294000000000004</v>
      </c>
      <c r="H12">
        <v>7.2953000000000001</v>
      </c>
      <c r="I12">
        <v>6.5846</v>
      </c>
      <c r="K12" s="2" t="s">
        <v>12</v>
      </c>
    </row>
    <row r="13" spans="2:18">
      <c r="B13" t="s">
        <v>1</v>
      </c>
      <c r="C13">
        <v>4.9066999999999998</v>
      </c>
      <c r="D13">
        <v>7.4941000000000004</v>
      </c>
      <c r="E13">
        <v>7.7039999999999997</v>
      </c>
      <c r="F13">
        <v>7.7492000000000001</v>
      </c>
      <c r="G13">
        <v>6.7953999999999999</v>
      </c>
      <c r="H13">
        <v>6.9688999999999997</v>
      </c>
      <c r="I13">
        <v>6.6501000000000001</v>
      </c>
      <c r="K13" t="s">
        <v>1</v>
      </c>
    </row>
    <row r="14" spans="2:18">
      <c r="B14" s="2" t="s">
        <v>11</v>
      </c>
      <c r="C14">
        <v>6.7492999999999999</v>
      </c>
      <c r="D14">
        <v>6.9645000000000001</v>
      </c>
      <c r="E14">
        <v>7.3036000000000003</v>
      </c>
      <c r="F14">
        <v>7.3811</v>
      </c>
      <c r="G14">
        <v>7.4273999999999996</v>
      </c>
      <c r="H14">
        <v>7.5971000000000002</v>
      </c>
      <c r="I14">
        <v>7.5627000000000004</v>
      </c>
      <c r="K14" s="2" t="s">
        <v>11</v>
      </c>
    </row>
    <row r="15" spans="2:18">
      <c r="B15" s="2" t="s">
        <v>12</v>
      </c>
      <c r="C15">
        <v>7.1158000000000001</v>
      </c>
      <c r="D15">
        <v>6.7979000000000003</v>
      </c>
      <c r="E15">
        <v>7.4161999999999999</v>
      </c>
      <c r="F15">
        <v>7.4071999999999996</v>
      </c>
      <c r="G15">
        <v>7.9650999999999996</v>
      </c>
      <c r="H15">
        <v>7.8261000000000003</v>
      </c>
      <c r="I15">
        <v>7.4858000000000002</v>
      </c>
      <c r="K15" s="2" t="s">
        <v>12</v>
      </c>
    </row>
    <row r="16" spans="2:18">
      <c r="B16" t="s">
        <v>4</v>
      </c>
      <c r="C16">
        <v>6.9965000000000002</v>
      </c>
      <c r="D16">
        <v>6.8491999999999997</v>
      </c>
      <c r="E16">
        <v>7.3804999999999996</v>
      </c>
      <c r="F16">
        <v>7.399</v>
      </c>
      <c r="G16">
        <v>7.7877999999999998</v>
      </c>
      <c r="H16">
        <v>7.7526000000000002</v>
      </c>
      <c r="I16">
        <v>7.5098000000000003</v>
      </c>
      <c r="K16" t="s">
        <v>4</v>
      </c>
    </row>
    <row r="18" spans="2:11">
      <c r="B18" t="s">
        <v>15</v>
      </c>
      <c r="C18">
        <f>22+40</f>
        <v>62</v>
      </c>
      <c r="D18">
        <f>22+40</f>
        <v>62</v>
      </c>
      <c r="E18">
        <f>23+40</f>
        <v>63</v>
      </c>
      <c r="F18">
        <f>22+40</f>
        <v>62</v>
      </c>
      <c r="G18">
        <f>22+40</f>
        <v>62</v>
      </c>
      <c r="H18">
        <f>22+40</f>
        <v>62</v>
      </c>
      <c r="I18">
        <f>23+40</f>
        <v>63</v>
      </c>
      <c r="K18" t="s">
        <v>15</v>
      </c>
    </row>
    <row r="19" spans="2:11">
      <c r="B19" t="s">
        <v>16</v>
      </c>
      <c r="C19">
        <f>19+46</f>
        <v>65</v>
      </c>
      <c r="D19">
        <f>19+46</f>
        <v>65</v>
      </c>
      <c r="E19">
        <f>19+46</f>
        <v>65</v>
      </c>
      <c r="F19">
        <f>19+45</f>
        <v>64</v>
      </c>
      <c r="G19">
        <f>19+45</f>
        <v>64</v>
      </c>
      <c r="H19">
        <f>19+46</f>
        <v>65</v>
      </c>
      <c r="I19">
        <f>19+46</f>
        <v>65</v>
      </c>
      <c r="K19" t="s">
        <v>16</v>
      </c>
    </row>
    <row r="20" spans="2:11">
      <c r="B20" t="s">
        <v>17</v>
      </c>
      <c r="C20">
        <f>18+44</f>
        <v>62</v>
      </c>
      <c r="D20">
        <f>18+44</f>
        <v>62</v>
      </c>
      <c r="E20">
        <f>18+44</f>
        <v>62</v>
      </c>
      <c r="F20">
        <f>17+43</f>
        <v>60</v>
      </c>
      <c r="G20">
        <f>18+45</f>
        <v>63</v>
      </c>
      <c r="H20">
        <f>18+44</f>
        <v>62</v>
      </c>
      <c r="I20">
        <f>18+44</f>
        <v>62</v>
      </c>
      <c r="K20" t="s">
        <v>17</v>
      </c>
    </row>
    <row r="23" spans="2:11">
      <c r="B23" t="s">
        <v>13</v>
      </c>
    </row>
    <row r="24" spans="2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2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2:11">
      <c r="B26" s="2" t="s">
        <v>11</v>
      </c>
    </row>
    <row r="27" spans="2:11">
      <c r="B27" s="2" t="s">
        <v>12</v>
      </c>
    </row>
    <row r="28" spans="2:11">
      <c r="B28" t="s">
        <v>2</v>
      </c>
    </row>
    <row r="29" spans="2:11">
      <c r="B29" s="2" t="s">
        <v>11</v>
      </c>
    </row>
    <row r="30" spans="2:11">
      <c r="B30" s="2" t="s">
        <v>12</v>
      </c>
    </row>
    <row r="31" spans="2:11">
      <c r="B31" t="s">
        <v>3</v>
      </c>
    </row>
    <row r="32" spans="2:11">
      <c r="B32" s="2" t="s">
        <v>11</v>
      </c>
    </row>
    <row r="33" spans="2:2">
      <c r="B33" s="2" t="s">
        <v>12</v>
      </c>
    </row>
    <row r="34" spans="2:2">
      <c r="B34" t="s">
        <v>1</v>
      </c>
    </row>
    <row r="35" spans="2:2">
      <c r="B35" s="2" t="s">
        <v>11</v>
      </c>
    </row>
    <row r="36" spans="2:2">
      <c r="B36" s="2" t="s">
        <v>12</v>
      </c>
    </row>
    <row r="37" spans="2:2">
      <c r="B37" t="s">
        <v>4</v>
      </c>
    </row>
    <row r="39" spans="2:2">
      <c r="B39" t="s">
        <v>15</v>
      </c>
    </row>
    <row r="40" spans="2:2">
      <c r="B40" t="s">
        <v>16</v>
      </c>
    </row>
    <row r="41" spans="2:2">
      <c r="B41" t="s">
        <v>17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B2:R41"/>
  <sheetViews>
    <sheetView topLeftCell="A12" workbookViewId="0">
      <selection activeCell="K21" sqref="K21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K5" s="2" t="s">
        <v>11</v>
      </c>
    </row>
    <row r="6" spans="2:18">
      <c r="B6" s="2" t="s">
        <v>12</v>
      </c>
      <c r="K6" s="2" t="s">
        <v>12</v>
      </c>
    </row>
    <row r="7" spans="2:18">
      <c r="B7" t="s">
        <v>2</v>
      </c>
      <c r="K7" t="s">
        <v>2</v>
      </c>
    </row>
    <row r="8" spans="2:18">
      <c r="B8" s="2" t="s">
        <v>11</v>
      </c>
      <c r="K8" s="2" t="s">
        <v>11</v>
      </c>
    </row>
    <row r="9" spans="2:18">
      <c r="B9" s="2" t="s">
        <v>12</v>
      </c>
      <c r="K9" s="2" t="s">
        <v>12</v>
      </c>
    </row>
    <row r="10" spans="2:18">
      <c r="B10" t="s">
        <v>3</v>
      </c>
      <c r="K10" t="s">
        <v>3</v>
      </c>
    </row>
    <row r="11" spans="2:18">
      <c r="B11" s="2" t="s">
        <v>11</v>
      </c>
      <c r="K11" s="2" t="s">
        <v>11</v>
      </c>
    </row>
    <row r="12" spans="2:18">
      <c r="B12" s="2" t="s">
        <v>12</v>
      </c>
      <c r="K12" s="2" t="s">
        <v>12</v>
      </c>
    </row>
    <row r="13" spans="2:18">
      <c r="B13" t="s">
        <v>1</v>
      </c>
      <c r="K13" t="s">
        <v>1</v>
      </c>
    </row>
    <row r="14" spans="2:18">
      <c r="B14" s="2" t="s">
        <v>11</v>
      </c>
      <c r="K14" s="2" t="s">
        <v>11</v>
      </c>
    </row>
    <row r="15" spans="2:18">
      <c r="B15" s="2" t="s">
        <v>12</v>
      </c>
      <c r="K15" s="2" t="s">
        <v>12</v>
      </c>
    </row>
    <row r="16" spans="2:18">
      <c r="B16" t="s">
        <v>4</v>
      </c>
      <c r="K16" t="s">
        <v>4</v>
      </c>
    </row>
    <row r="18" spans="2:11">
      <c r="B18" t="s">
        <v>15</v>
      </c>
      <c r="K18" t="s">
        <v>15</v>
      </c>
    </row>
    <row r="19" spans="2:11">
      <c r="B19" t="s">
        <v>16</v>
      </c>
      <c r="K19" t="s">
        <v>16</v>
      </c>
    </row>
    <row r="20" spans="2:11">
      <c r="B20" t="s">
        <v>17</v>
      </c>
      <c r="K20" t="s">
        <v>17</v>
      </c>
    </row>
    <row r="23" spans="2:11">
      <c r="B23" t="s">
        <v>13</v>
      </c>
    </row>
    <row r="24" spans="2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2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2:11">
      <c r="B26" s="2" t="s">
        <v>11</v>
      </c>
    </row>
    <row r="27" spans="2:11">
      <c r="B27" s="2" t="s">
        <v>12</v>
      </c>
    </row>
    <row r="28" spans="2:11">
      <c r="B28" t="s">
        <v>2</v>
      </c>
    </row>
    <row r="29" spans="2:11">
      <c r="B29" s="2" t="s">
        <v>11</v>
      </c>
    </row>
    <row r="30" spans="2:11">
      <c r="B30" s="2" t="s">
        <v>12</v>
      </c>
    </row>
    <row r="31" spans="2:11">
      <c r="B31" t="s">
        <v>3</v>
      </c>
    </row>
    <row r="32" spans="2:11">
      <c r="B32" s="2" t="s">
        <v>11</v>
      </c>
    </row>
    <row r="33" spans="2:2">
      <c r="B33" s="2" t="s">
        <v>12</v>
      </c>
    </row>
    <row r="34" spans="2:2">
      <c r="B34" t="s">
        <v>1</v>
      </c>
    </row>
    <row r="35" spans="2:2">
      <c r="B35" s="2" t="s">
        <v>11</v>
      </c>
    </row>
    <row r="36" spans="2:2">
      <c r="B36" s="2" t="s">
        <v>12</v>
      </c>
    </row>
    <row r="37" spans="2:2">
      <c r="B37" t="s">
        <v>4</v>
      </c>
    </row>
    <row r="39" spans="2:2">
      <c r="B39" t="s">
        <v>15</v>
      </c>
    </row>
    <row r="40" spans="2:2">
      <c r="B40" t="s">
        <v>16</v>
      </c>
    </row>
    <row r="41" spans="2:2">
      <c r="B41" t="s">
        <v>17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B2:R41"/>
  <sheetViews>
    <sheetView workbookViewId="0">
      <selection activeCell="K24" sqref="K24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K5" s="2" t="s">
        <v>11</v>
      </c>
    </row>
    <row r="6" spans="2:18">
      <c r="B6" s="2" t="s">
        <v>12</v>
      </c>
      <c r="K6" s="2" t="s">
        <v>12</v>
      </c>
    </row>
    <row r="7" spans="2:18">
      <c r="B7" t="s">
        <v>2</v>
      </c>
      <c r="K7" t="s">
        <v>2</v>
      </c>
    </row>
    <row r="8" spans="2:18">
      <c r="B8" s="2" t="s">
        <v>11</v>
      </c>
      <c r="K8" s="2" t="s">
        <v>11</v>
      </c>
    </row>
    <row r="9" spans="2:18">
      <c r="B9" s="2" t="s">
        <v>12</v>
      </c>
      <c r="K9" s="2" t="s">
        <v>12</v>
      </c>
    </row>
    <row r="10" spans="2:18">
      <c r="B10" t="s">
        <v>3</v>
      </c>
      <c r="K10" t="s">
        <v>3</v>
      </c>
    </row>
    <row r="11" spans="2:18">
      <c r="B11" s="2" t="s">
        <v>11</v>
      </c>
      <c r="K11" s="2" t="s">
        <v>11</v>
      </c>
    </row>
    <row r="12" spans="2:18">
      <c r="B12" s="2" t="s">
        <v>12</v>
      </c>
      <c r="K12" s="2" t="s">
        <v>12</v>
      </c>
    </row>
    <row r="13" spans="2:18">
      <c r="B13" t="s">
        <v>1</v>
      </c>
      <c r="K13" t="s">
        <v>1</v>
      </c>
    </row>
    <row r="14" spans="2:18">
      <c r="B14" s="2" t="s">
        <v>11</v>
      </c>
      <c r="K14" s="2" t="s">
        <v>11</v>
      </c>
    </row>
    <row r="15" spans="2:18">
      <c r="B15" s="2" t="s">
        <v>12</v>
      </c>
      <c r="K15" s="2" t="s">
        <v>12</v>
      </c>
    </row>
    <row r="16" spans="2:18">
      <c r="B16" t="s">
        <v>4</v>
      </c>
      <c r="K16" t="s">
        <v>4</v>
      </c>
    </row>
    <row r="18" spans="2:11">
      <c r="B18" t="s">
        <v>15</v>
      </c>
      <c r="K18" t="s">
        <v>15</v>
      </c>
    </row>
    <row r="19" spans="2:11">
      <c r="B19" t="s">
        <v>16</v>
      </c>
      <c r="K19" t="s">
        <v>16</v>
      </c>
    </row>
    <row r="20" spans="2:11">
      <c r="B20" t="s">
        <v>17</v>
      </c>
      <c r="K20" t="s">
        <v>17</v>
      </c>
    </row>
    <row r="23" spans="2:11">
      <c r="B23" t="s">
        <v>13</v>
      </c>
    </row>
    <row r="24" spans="2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2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2:11">
      <c r="B26" s="2" t="s">
        <v>11</v>
      </c>
    </row>
    <row r="27" spans="2:11">
      <c r="B27" s="2" t="s">
        <v>12</v>
      </c>
    </row>
    <row r="28" spans="2:11">
      <c r="B28" t="s">
        <v>2</v>
      </c>
    </row>
    <row r="29" spans="2:11">
      <c r="B29" s="2" t="s">
        <v>11</v>
      </c>
    </row>
    <row r="30" spans="2:11">
      <c r="B30" s="2" t="s">
        <v>12</v>
      </c>
    </row>
    <row r="31" spans="2:11">
      <c r="B31" t="s">
        <v>3</v>
      </c>
    </row>
    <row r="32" spans="2:11">
      <c r="B32" s="2" t="s">
        <v>11</v>
      </c>
    </row>
    <row r="33" spans="2:2">
      <c r="B33" s="2" t="s">
        <v>12</v>
      </c>
    </row>
    <row r="34" spans="2:2">
      <c r="B34" t="s">
        <v>1</v>
      </c>
    </row>
    <row r="35" spans="2:2">
      <c r="B35" s="2" t="s">
        <v>11</v>
      </c>
    </row>
    <row r="36" spans="2:2">
      <c r="B36" s="2" t="s">
        <v>12</v>
      </c>
    </row>
    <row r="37" spans="2:2">
      <c r="B37" t="s">
        <v>4</v>
      </c>
    </row>
    <row r="39" spans="2:2">
      <c r="B39" t="s">
        <v>15</v>
      </c>
    </row>
    <row r="40" spans="2:2">
      <c r="B40" t="s">
        <v>16</v>
      </c>
    </row>
    <row r="41" spans="2:2">
      <c r="B41" t="s">
        <v>17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R42"/>
  <sheetViews>
    <sheetView topLeftCell="A11" workbookViewId="0">
      <selection activeCell="K25" sqref="K25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f>ROUND(AVERAGE(seed1!C5,seed2!C5,seed3!C5,seed4!C5,seed5!C5),4)</f>
        <v>4.4162999999999997</v>
      </c>
      <c r="D5">
        <f>ROUND(AVERAGE(seed1!D5,seed2!D5,seed3!D5,seed4!D5,seed5!D5),4)</f>
        <v>5.1066000000000003</v>
      </c>
      <c r="E5">
        <f>ROUND(AVERAGE(seed1!E5,seed2!E5,seed3!E5,seed4!E5,seed5!E5),4)</f>
        <v>5.6429</v>
      </c>
      <c r="F5">
        <f>ROUND(AVERAGE(seed1!F5,seed2!F5,seed3!F5,seed4!F5,seed5!F5),4)</f>
        <v>5.9238999999999997</v>
      </c>
      <c r="G5">
        <f>ROUND(AVERAGE(seed1!G5,seed2!G5,seed3!G5,seed4!G5,seed5!G5),4)</f>
        <v>4.3695000000000004</v>
      </c>
      <c r="H5">
        <f>ROUND(AVERAGE(seed1!H5,seed2!H5,seed3!H5,seed4!H5,seed5!H5),4)</f>
        <v>6.0004</v>
      </c>
      <c r="I5">
        <f>ROUND(AVERAGE(seed1!I5,seed2!I5,seed3!I5,seed4!I5,seed5!I5),4)</f>
        <v>6.2450000000000001</v>
      </c>
      <c r="K5" s="2" t="s">
        <v>11</v>
      </c>
      <c r="L5" t="e">
        <f>ROUND(AVERAGE(seed1!L5,seed2!L5,seed3!L5,seed4!L5,seed5!L5),4)</f>
        <v>#DIV/0!</v>
      </c>
      <c r="M5" t="e">
        <f>ROUND(AVERAGE(seed1!M5,seed2!M5,seed3!M5,seed4!M5,seed5!M5),4)</f>
        <v>#DIV/0!</v>
      </c>
      <c r="N5" t="e">
        <f>ROUND(AVERAGE(seed1!N5,seed2!N5,seed3!N5,seed4!N5,seed5!N5),4)</f>
        <v>#DIV/0!</v>
      </c>
      <c r="O5" t="e">
        <f>ROUND(AVERAGE(seed1!O5,seed2!O5,seed3!O5,seed4!O5,seed5!O5),4)</f>
        <v>#DIV/0!</v>
      </c>
      <c r="P5" t="e">
        <f>ROUND(AVERAGE(seed1!P5,seed2!P5,seed3!P5,seed4!P5,seed5!P5),4)</f>
        <v>#DIV/0!</v>
      </c>
      <c r="Q5" t="e">
        <f>ROUND(AVERAGE(seed1!Q5,seed2!Q5,seed3!Q5,seed4!Q5,seed5!Q5),4)</f>
        <v>#DIV/0!</v>
      </c>
      <c r="R5" t="e">
        <f>ROUND(AVERAGE(seed1!R5,seed2!R5,seed3!R5,seed4!R5,seed5!R5),4)</f>
        <v>#DIV/0!</v>
      </c>
    </row>
    <row r="6" spans="2:18">
      <c r="B6" s="2" t="s">
        <v>12</v>
      </c>
      <c r="C6">
        <f>ROUND(AVERAGE(seed1!C6,seed2!C6,seed3!C6,seed4!C6,seed5!C6),4)</f>
        <v>4.3788</v>
      </c>
      <c r="D6">
        <f>ROUND(AVERAGE(seed1!D6,seed2!D6,seed3!D6,seed4!D6,seed5!D6),4)</f>
        <v>4.625</v>
      </c>
      <c r="E6">
        <f>ROUND(AVERAGE(seed1!E6,seed2!E6,seed3!E6,seed4!E6,seed5!E6),4)</f>
        <v>5.4215</v>
      </c>
      <c r="F6">
        <f>ROUND(AVERAGE(seed1!F6,seed2!F6,seed3!F6,seed4!F6,seed5!F6),4)</f>
        <v>5.5563000000000002</v>
      </c>
      <c r="G6">
        <f>ROUND(AVERAGE(seed1!G6,seed2!G6,seed3!G6,seed4!G6,seed5!G6),4)</f>
        <v>4.2111999999999998</v>
      </c>
      <c r="H6">
        <f>ROUND(AVERAGE(seed1!H6,seed2!H6,seed3!H6,seed4!H6,seed5!H6),4)</f>
        <v>5.7030000000000003</v>
      </c>
      <c r="I6">
        <f>ROUND(AVERAGE(seed1!I6,seed2!I6,seed3!I6,seed4!I6,seed5!I6),4)</f>
        <v>5.7618999999999998</v>
      </c>
      <c r="K6" s="2" t="s">
        <v>12</v>
      </c>
      <c r="L6" t="e">
        <f>ROUND(AVERAGE(seed1!L6,seed2!L6,seed3!L6,seed4!L6,seed5!L6),4)</f>
        <v>#DIV/0!</v>
      </c>
      <c r="M6" t="e">
        <f>ROUND(AVERAGE(seed1!M6,seed2!M6,seed3!M6,seed4!M6,seed5!M6),4)</f>
        <v>#DIV/0!</v>
      </c>
      <c r="N6" t="e">
        <f>ROUND(AVERAGE(seed1!N6,seed2!N6,seed3!N6,seed4!N6,seed5!N6),4)</f>
        <v>#DIV/0!</v>
      </c>
      <c r="O6" t="e">
        <f>ROUND(AVERAGE(seed1!O6,seed2!O6,seed3!O6,seed4!O6,seed5!O6),4)</f>
        <v>#DIV/0!</v>
      </c>
      <c r="P6" t="e">
        <f>ROUND(AVERAGE(seed1!P6,seed2!P6,seed3!P6,seed4!P6,seed5!P6),4)</f>
        <v>#DIV/0!</v>
      </c>
      <c r="Q6" t="e">
        <f>ROUND(AVERAGE(seed1!Q6,seed2!Q6,seed3!Q6,seed4!Q6,seed5!Q6),4)</f>
        <v>#DIV/0!</v>
      </c>
      <c r="R6" t="e">
        <f>ROUND(AVERAGE(seed1!R6,seed2!R6,seed3!R6,seed4!R6,seed5!R6),4)</f>
        <v>#DIV/0!</v>
      </c>
    </row>
    <row r="7" spans="2:18">
      <c r="B7" t="s">
        <v>2</v>
      </c>
      <c r="C7">
        <f>ROUND(AVERAGE(seed1!C7,seed2!C7,seed3!C7,seed4!C7,seed5!C7),4)</f>
        <v>4.3948</v>
      </c>
      <c r="D7">
        <f>ROUND(AVERAGE(seed1!D7,seed2!D7,seed3!D7,seed4!D7,seed5!D7),4)</f>
        <v>4.7072000000000003</v>
      </c>
      <c r="E7">
        <f>ROUND(AVERAGE(seed1!E7,seed2!E7,seed3!E7,seed4!E7,seed5!E7),4)</f>
        <v>5.4889000000000001</v>
      </c>
      <c r="F7">
        <f>ROUND(AVERAGE(seed1!F7,seed2!F7,seed3!F7,seed4!F7,seed5!F7),4)</f>
        <v>5.6261999999999999</v>
      </c>
      <c r="G7">
        <f>ROUND(AVERAGE(seed1!G7,seed2!G7,seed3!G7,seed4!G7,seed5!G7),4)</f>
        <v>4.2558999999999996</v>
      </c>
      <c r="H7">
        <f>ROUND(AVERAGE(seed1!H7,seed2!H7,seed3!H7,seed4!H7,seed5!H7),4)</f>
        <v>5.7812999999999999</v>
      </c>
      <c r="I7">
        <f>ROUND(AVERAGE(seed1!I7,seed2!I7,seed3!I7,seed4!I7,seed5!I7),4)</f>
        <v>5.8711000000000002</v>
      </c>
      <c r="K7" t="s">
        <v>2</v>
      </c>
      <c r="L7" t="e">
        <f>ROUND(AVERAGE(seed1!L7,seed2!L7,seed3!L7,seed4!L7,seed5!L7),4)</f>
        <v>#DIV/0!</v>
      </c>
      <c r="M7" t="e">
        <f>ROUND(AVERAGE(seed1!M7,seed2!M7,seed3!M7,seed4!M7,seed5!M7),4)</f>
        <v>#DIV/0!</v>
      </c>
      <c r="N7" t="e">
        <f>ROUND(AVERAGE(seed1!N7,seed2!N7,seed3!N7,seed4!N7,seed5!N7),4)</f>
        <v>#DIV/0!</v>
      </c>
      <c r="O7" t="e">
        <f>ROUND(AVERAGE(seed1!O7,seed2!O7,seed3!O7,seed4!O7,seed5!O7),4)</f>
        <v>#DIV/0!</v>
      </c>
      <c r="P7" t="e">
        <f>ROUND(AVERAGE(seed1!P7,seed2!P7,seed3!P7,seed4!P7,seed5!P7),4)</f>
        <v>#DIV/0!</v>
      </c>
      <c r="Q7" t="e">
        <f>ROUND(AVERAGE(seed1!Q7,seed2!Q7,seed3!Q7,seed4!Q7,seed5!Q7),4)</f>
        <v>#DIV/0!</v>
      </c>
      <c r="R7" t="e">
        <f>ROUND(AVERAGE(seed1!R7,seed2!R7,seed3!R7,seed4!R7,seed5!R7),4)</f>
        <v>#DIV/0!</v>
      </c>
    </row>
    <row r="8" spans="2:18">
      <c r="B8" s="2" t="s">
        <v>11</v>
      </c>
      <c r="C8">
        <f>ROUND(AVERAGE(seed1!C8,seed2!C8,seed3!C8,seed4!C8,seed5!C8),4)</f>
        <v>5.5381999999999998</v>
      </c>
      <c r="D8">
        <f>ROUND(AVERAGE(seed1!D8,seed2!D8,seed3!D8,seed4!D8,seed5!D8),4)</f>
        <v>3.9281999999999999</v>
      </c>
      <c r="E8">
        <f>ROUND(AVERAGE(seed1!E8,seed2!E8,seed3!E8,seed4!E8,seed5!E8),4)</f>
        <v>4.7104999999999997</v>
      </c>
      <c r="F8">
        <f>ROUND(AVERAGE(seed1!F8,seed2!F8,seed3!F8,seed4!F8,seed5!F8),4)</f>
        <v>4.6872999999999996</v>
      </c>
      <c r="G8">
        <f>ROUND(AVERAGE(seed1!G8,seed2!G8,seed3!G8,seed4!G8,seed5!G8),4)</f>
        <v>3.8214000000000001</v>
      </c>
      <c r="H8">
        <f>ROUND(AVERAGE(seed1!H8,seed2!H8,seed3!H8,seed4!H8,seed5!H8),4)</f>
        <v>5.4673999999999996</v>
      </c>
      <c r="I8">
        <f>ROUND(AVERAGE(seed1!I8,seed2!I8,seed3!I8,seed4!I8,seed5!I8),4)</f>
        <v>5.5472999999999999</v>
      </c>
      <c r="K8" s="2" t="s">
        <v>11</v>
      </c>
      <c r="L8" t="e">
        <f>ROUND(AVERAGE(seed1!L8,seed2!L8,seed3!L8,seed4!L8,seed5!L8),4)</f>
        <v>#DIV/0!</v>
      </c>
      <c r="M8" t="e">
        <f>ROUND(AVERAGE(seed1!M8,seed2!M8,seed3!M8,seed4!M8,seed5!M8),4)</f>
        <v>#DIV/0!</v>
      </c>
      <c r="N8" t="e">
        <f>ROUND(AVERAGE(seed1!N8,seed2!N8,seed3!N8,seed4!N8,seed5!N8),4)</f>
        <v>#DIV/0!</v>
      </c>
      <c r="O8" t="e">
        <f>ROUND(AVERAGE(seed1!O8,seed2!O8,seed3!O8,seed4!O8,seed5!O8),4)</f>
        <v>#DIV/0!</v>
      </c>
      <c r="P8" t="e">
        <f>ROUND(AVERAGE(seed1!P8,seed2!P8,seed3!P8,seed4!P8,seed5!P8),4)</f>
        <v>#DIV/0!</v>
      </c>
      <c r="Q8" t="e">
        <f>ROUND(AVERAGE(seed1!Q8,seed2!Q8,seed3!Q8,seed4!Q8,seed5!Q8),4)</f>
        <v>#DIV/0!</v>
      </c>
      <c r="R8" t="e">
        <f>ROUND(AVERAGE(seed1!R8,seed2!R8,seed3!R8,seed4!R8,seed5!R8),4)</f>
        <v>#DIV/0!</v>
      </c>
    </row>
    <row r="9" spans="2:18">
      <c r="B9" s="2" t="s">
        <v>12</v>
      </c>
      <c r="C9">
        <f>ROUND(AVERAGE(seed1!C9,seed2!C9,seed3!C9,seed4!C9,seed5!C9),4)</f>
        <v>5.3673000000000002</v>
      </c>
      <c r="D9">
        <f>ROUND(AVERAGE(seed1!D9,seed2!D9,seed3!D9,seed4!D9,seed5!D9),4)</f>
        <v>3.7081</v>
      </c>
      <c r="E9">
        <f>ROUND(AVERAGE(seed1!E9,seed2!E9,seed3!E9,seed4!E9,seed5!E9),4)</f>
        <v>4.7409999999999997</v>
      </c>
      <c r="F9">
        <f>ROUND(AVERAGE(seed1!F9,seed2!F9,seed3!F9,seed4!F9,seed5!F9),4)</f>
        <v>4.8567</v>
      </c>
      <c r="G9">
        <f>ROUND(AVERAGE(seed1!G9,seed2!G9,seed3!G9,seed4!G9,seed5!G9),4)</f>
        <v>4.1721000000000004</v>
      </c>
      <c r="H9">
        <f>ROUND(AVERAGE(seed1!H9,seed2!H9,seed3!H9,seed4!H9,seed5!H9),4)</f>
        <v>5.5410000000000004</v>
      </c>
      <c r="I9">
        <f>ROUND(AVERAGE(seed1!I9,seed2!I9,seed3!I9,seed4!I9,seed5!I9),4)</f>
        <v>5.5350999999999999</v>
      </c>
      <c r="K9" s="2" t="s">
        <v>12</v>
      </c>
      <c r="L9" t="e">
        <f>ROUND(AVERAGE(seed1!L9,seed2!L9,seed3!L9,seed4!L9,seed5!L9),4)</f>
        <v>#DIV/0!</v>
      </c>
      <c r="M9" t="e">
        <f>ROUND(AVERAGE(seed1!M9,seed2!M9,seed3!M9,seed4!M9,seed5!M9),4)</f>
        <v>#DIV/0!</v>
      </c>
      <c r="N9" t="e">
        <f>ROUND(AVERAGE(seed1!N9,seed2!N9,seed3!N9,seed4!N9,seed5!N9),4)</f>
        <v>#DIV/0!</v>
      </c>
      <c r="O9" t="e">
        <f>ROUND(AVERAGE(seed1!O9,seed2!O9,seed3!O9,seed4!O9,seed5!O9),4)</f>
        <v>#DIV/0!</v>
      </c>
      <c r="P9" t="e">
        <f>ROUND(AVERAGE(seed1!P9,seed2!P9,seed3!P9,seed4!P9,seed5!P9),4)</f>
        <v>#DIV/0!</v>
      </c>
      <c r="Q9" t="e">
        <f>ROUND(AVERAGE(seed1!Q9,seed2!Q9,seed3!Q9,seed4!Q9,seed5!Q9),4)</f>
        <v>#DIV/0!</v>
      </c>
      <c r="R9" t="e">
        <f>ROUND(AVERAGE(seed1!R9,seed2!R9,seed3!R9,seed4!R9,seed5!R9),4)</f>
        <v>#DIV/0!</v>
      </c>
    </row>
    <row r="10" spans="2:18">
      <c r="B10" t="s">
        <v>3</v>
      </c>
      <c r="C10">
        <f>ROUND(AVERAGE(seed1!C10,seed2!C10,seed3!C10,seed4!C10,seed5!C10),4)</f>
        <v>5.3909000000000002</v>
      </c>
      <c r="D10">
        <f>ROUND(AVERAGE(seed1!D10,seed2!D10,seed3!D10,seed4!D10,seed5!D10),4)</f>
        <v>3.7597</v>
      </c>
      <c r="E10">
        <f>ROUND(AVERAGE(seed1!E10,seed2!E10,seed3!E10,seed4!E10,seed5!E10),4)</f>
        <v>4.7327000000000004</v>
      </c>
      <c r="F10">
        <f>ROUND(AVERAGE(seed1!F10,seed2!F10,seed3!F10,seed4!F10,seed5!F10),4)</f>
        <v>4.8137999999999996</v>
      </c>
      <c r="G10">
        <f>ROUND(AVERAGE(seed1!G10,seed2!G10,seed3!G10,seed4!G10,seed5!G10),4)</f>
        <v>4.0723000000000003</v>
      </c>
      <c r="H10">
        <f>ROUND(AVERAGE(seed1!H10,seed2!H10,seed3!H10,seed4!H10,seed5!H10),4)</f>
        <v>5.5071000000000003</v>
      </c>
      <c r="I10">
        <f>ROUND(AVERAGE(seed1!I10,seed2!I10,seed3!I10,seed4!I10,seed5!I10),4)</f>
        <v>5.5342000000000002</v>
      </c>
      <c r="K10" t="s">
        <v>3</v>
      </c>
      <c r="L10" t="e">
        <f>ROUND(AVERAGE(seed1!L10,seed2!L10,seed3!L10,seed4!L10,seed5!L10),4)</f>
        <v>#DIV/0!</v>
      </c>
      <c r="M10" t="e">
        <f>ROUND(AVERAGE(seed1!M10,seed2!M10,seed3!M10,seed4!M10,seed5!M10),4)</f>
        <v>#DIV/0!</v>
      </c>
      <c r="N10" t="e">
        <f>ROUND(AVERAGE(seed1!N10,seed2!N10,seed3!N10,seed4!N10,seed5!N10),4)</f>
        <v>#DIV/0!</v>
      </c>
      <c r="O10" t="e">
        <f>ROUND(AVERAGE(seed1!O10,seed2!O10,seed3!O10,seed4!O10,seed5!O10),4)</f>
        <v>#DIV/0!</v>
      </c>
      <c r="P10" t="e">
        <f>ROUND(AVERAGE(seed1!P10,seed2!P10,seed3!P10,seed4!P10,seed5!P10),4)</f>
        <v>#DIV/0!</v>
      </c>
      <c r="Q10" t="e">
        <f>ROUND(AVERAGE(seed1!Q10,seed2!Q10,seed3!Q10,seed4!Q10,seed5!Q10),4)</f>
        <v>#DIV/0!</v>
      </c>
      <c r="R10" t="e">
        <f>ROUND(AVERAGE(seed1!R10,seed2!R10,seed3!R10,seed4!R10,seed5!R10),4)</f>
        <v>#DIV/0!</v>
      </c>
    </row>
    <row r="11" spans="2:18">
      <c r="B11" s="2" t="s">
        <v>11</v>
      </c>
      <c r="C11">
        <f>ROUND(AVERAGE(seed1!C11,seed2!C11,seed3!C11,seed4!C11,seed5!C11),4)</f>
        <v>3.7974999999999999</v>
      </c>
      <c r="D11">
        <f>ROUND(AVERAGE(seed1!D11,seed2!D11,seed3!D11,seed4!D11,seed5!D11),4)</f>
        <v>8.2645</v>
      </c>
      <c r="E11">
        <f>ROUND(AVERAGE(seed1!E11,seed2!E11,seed3!E11,seed4!E11,seed5!E11),4)</f>
        <v>8.4962</v>
      </c>
      <c r="F11">
        <f>ROUND(AVERAGE(seed1!F11,seed2!F11,seed3!F11,seed4!F11,seed5!F11),4)</f>
        <v>7.7807000000000004</v>
      </c>
      <c r="G11">
        <f>ROUND(AVERAGE(seed1!G11,seed2!G11,seed3!G11,seed4!G11,seed5!G11),4)</f>
        <v>4.4051</v>
      </c>
      <c r="H11">
        <f>ROUND(AVERAGE(seed1!H11,seed2!H11,seed3!H11,seed4!H11,seed5!H11),4)</f>
        <v>6.3432000000000004</v>
      </c>
      <c r="I11">
        <f>ROUND(AVERAGE(seed1!I11,seed2!I11,seed3!I11,seed4!I11,seed5!I11),4)</f>
        <v>6.7080000000000002</v>
      </c>
      <c r="K11" s="2" t="s">
        <v>11</v>
      </c>
      <c r="L11" t="e">
        <f>ROUND(AVERAGE(seed1!L11,seed2!L11,seed3!L11,seed4!L11,seed5!L11),4)</f>
        <v>#DIV/0!</v>
      </c>
      <c r="M11" t="e">
        <f>ROUND(AVERAGE(seed1!M11,seed2!M11,seed3!M11,seed4!M11,seed5!M11),4)</f>
        <v>#DIV/0!</v>
      </c>
      <c r="N11" t="e">
        <f>ROUND(AVERAGE(seed1!N11,seed2!N11,seed3!N11,seed4!N11,seed5!N11),4)</f>
        <v>#DIV/0!</v>
      </c>
      <c r="O11" t="e">
        <f>ROUND(AVERAGE(seed1!O11,seed2!O11,seed3!O11,seed4!O11,seed5!O11),4)</f>
        <v>#DIV/0!</v>
      </c>
      <c r="P11" t="e">
        <f>ROUND(AVERAGE(seed1!P11,seed2!P11,seed3!P11,seed4!P11,seed5!P11),4)</f>
        <v>#DIV/0!</v>
      </c>
      <c r="Q11" t="e">
        <f>ROUND(AVERAGE(seed1!Q11,seed2!Q11,seed3!Q11,seed4!Q11,seed5!Q11),4)</f>
        <v>#DIV/0!</v>
      </c>
      <c r="R11" t="e">
        <f>ROUND(AVERAGE(seed1!R11,seed2!R11,seed3!R11,seed4!R11,seed5!R11),4)</f>
        <v>#DIV/0!</v>
      </c>
    </row>
    <row r="12" spans="2:18">
      <c r="B12" s="2" t="s">
        <v>12</v>
      </c>
      <c r="C12">
        <f>ROUND(AVERAGE(seed1!C12,seed2!C12,seed3!C12,seed4!C12,seed5!C12),4)</f>
        <v>5.0713999999999997</v>
      </c>
      <c r="D12">
        <f>ROUND(AVERAGE(seed1!D12,seed2!D12,seed3!D12,seed4!D12,seed5!D12),4)</f>
        <v>7.4625000000000004</v>
      </c>
      <c r="E12">
        <f>ROUND(AVERAGE(seed1!E12,seed2!E12,seed3!E12,seed4!E12,seed5!E12),4)</f>
        <v>8.407</v>
      </c>
      <c r="F12">
        <f>ROUND(AVERAGE(seed1!F12,seed2!F12,seed3!F12,seed4!F12,seed5!F12),4)</f>
        <v>7.9947999999999997</v>
      </c>
      <c r="G12">
        <f>ROUND(AVERAGE(seed1!G12,seed2!G12,seed3!G12,seed4!G12,seed5!G12),4)</f>
        <v>5.3830999999999998</v>
      </c>
      <c r="H12">
        <f>ROUND(AVERAGE(seed1!H12,seed2!H12,seed3!H12,seed4!H12,seed5!H12),4)</f>
        <v>7.5580999999999996</v>
      </c>
      <c r="I12">
        <f>ROUND(AVERAGE(seed1!I12,seed2!I12,seed3!I12,seed4!I12,seed5!I12),4)</f>
        <v>7.4099000000000004</v>
      </c>
      <c r="K12" s="2" t="s">
        <v>12</v>
      </c>
      <c r="L12" t="e">
        <f>ROUND(AVERAGE(seed1!L12,seed2!L12,seed3!L12,seed4!L12,seed5!L12),4)</f>
        <v>#DIV/0!</v>
      </c>
      <c r="M12" t="e">
        <f>ROUND(AVERAGE(seed1!M12,seed2!M12,seed3!M12,seed4!M12,seed5!M12),4)</f>
        <v>#DIV/0!</v>
      </c>
      <c r="N12" t="e">
        <f>ROUND(AVERAGE(seed1!N12,seed2!N12,seed3!N12,seed4!N12,seed5!N12),4)</f>
        <v>#DIV/0!</v>
      </c>
      <c r="O12" t="e">
        <f>ROUND(AVERAGE(seed1!O12,seed2!O12,seed3!O12,seed4!O12,seed5!O12),4)</f>
        <v>#DIV/0!</v>
      </c>
      <c r="P12" t="e">
        <f>ROUND(AVERAGE(seed1!P12,seed2!P12,seed3!P12,seed4!P12,seed5!P12),4)</f>
        <v>#DIV/0!</v>
      </c>
      <c r="Q12" t="e">
        <f>ROUND(AVERAGE(seed1!Q12,seed2!Q12,seed3!Q12,seed4!Q12,seed5!Q12),4)</f>
        <v>#DIV/0!</v>
      </c>
      <c r="R12" t="e">
        <f>ROUND(AVERAGE(seed1!R12,seed2!R12,seed3!R12,seed4!R12,seed5!R12),4)</f>
        <v>#DIV/0!</v>
      </c>
    </row>
    <row r="13" spans="2:18">
      <c r="B13" t="s">
        <v>1</v>
      </c>
      <c r="C13">
        <f>ROUND(AVERAGE(seed1!C13,seed2!C13,seed3!C13,seed4!C13,seed5!C13),4)</f>
        <v>4.7901999999999996</v>
      </c>
      <c r="D13">
        <f>ROUND(AVERAGE(seed1!D13,seed2!D13,seed3!D13,seed4!D13,seed5!D13),4)</f>
        <v>7.6086999999999998</v>
      </c>
      <c r="E13">
        <f>ROUND(AVERAGE(seed1!E13,seed2!E13,seed3!E13,seed4!E13,seed5!E13),4)</f>
        <v>8.4136000000000006</v>
      </c>
      <c r="F13">
        <f>ROUND(AVERAGE(seed1!F13,seed2!F13,seed3!F13,seed4!F13,seed5!F13),4)</f>
        <v>7.9725000000000001</v>
      </c>
      <c r="G13">
        <f>ROUND(AVERAGE(seed1!G13,seed2!G13,seed3!G13,seed4!G13,seed5!G13),4)</f>
        <v>5.1364000000000001</v>
      </c>
      <c r="H13">
        <f>ROUND(AVERAGE(seed1!H13,seed2!H13,seed3!H13,seed4!H13,seed5!H13),4)</f>
        <v>7.3190999999999997</v>
      </c>
      <c r="I13">
        <f>ROUND(AVERAGE(seed1!I13,seed2!I13,seed3!I13,seed4!I13,seed5!I13),4)</f>
        <v>7.3121</v>
      </c>
      <c r="K13" t="s">
        <v>1</v>
      </c>
      <c r="L13" t="e">
        <f>ROUND(AVERAGE(seed1!L13,seed2!L13,seed3!L13,seed4!L13,seed5!L13),4)</f>
        <v>#DIV/0!</v>
      </c>
      <c r="M13" t="e">
        <f>ROUND(AVERAGE(seed1!M13,seed2!M13,seed3!M13,seed4!M13,seed5!M13),4)</f>
        <v>#DIV/0!</v>
      </c>
      <c r="N13" t="e">
        <f>ROUND(AVERAGE(seed1!N13,seed2!N13,seed3!N13,seed4!N13,seed5!N13),4)</f>
        <v>#DIV/0!</v>
      </c>
      <c r="O13" t="e">
        <f>ROUND(AVERAGE(seed1!O13,seed2!O13,seed3!O13,seed4!O13,seed5!O13),4)</f>
        <v>#DIV/0!</v>
      </c>
      <c r="P13" t="e">
        <f>ROUND(AVERAGE(seed1!P13,seed2!P13,seed3!P13,seed4!P13,seed5!P13),4)</f>
        <v>#DIV/0!</v>
      </c>
      <c r="Q13" t="e">
        <f>ROUND(AVERAGE(seed1!Q13,seed2!Q13,seed3!Q13,seed4!Q13,seed5!Q13),4)</f>
        <v>#DIV/0!</v>
      </c>
      <c r="R13" t="e">
        <f>ROUND(AVERAGE(seed1!R13,seed2!R13,seed3!R13,seed4!R13,seed5!R13),4)</f>
        <v>#DIV/0!</v>
      </c>
    </row>
    <row r="14" spans="2:18">
      <c r="B14" s="2" t="s">
        <v>11</v>
      </c>
      <c r="C14">
        <f>ROUND(AVERAGE(seed1!C14,seed2!C14,seed3!C14,seed4!C14,seed5!C14),4)</f>
        <v>6.1851000000000003</v>
      </c>
      <c r="D14">
        <f>ROUND(AVERAGE(seed1!D14,seed2!D14,seed3!D14,seed4!D14,seed5!D14),4)</f>
        <v>6.7202000000000002</v>
      </c>
      <c r="E14">
        <f>ROUND(AVERAGE(seed1!E14,seed2!E14,seed3!E14,seed4!E14,seed5!E14),4)</f>
        <v>7.3707000000000003</v>
      </c>
      <c r="F14">
        <f>ROUND(AVERAGE(seed1!F14,seed2!F14,seed3!F14,seed4!F14,seed5!F14),4)</f>
        <v>7.3423999999999996</v>
      </c>
      <c r="G14">
        <f>ROUND(AVERAGE(seed1!G14,seed2!G14,seed3!G14,seed4!G14,seed5!G14),4)</f>
        <v>5.4093999999999998</v>
      </c>
      <c r="H14">
        <f>ROUND(AVERAGE(seed1!H14,seed2!H14,seed3!H14,seed4!H14,seed5!H14),4)</f>
        <v>7.3970000000000002</v>
      </c>
      <c r="I14">
        <f>ROUND(AVERAGE(seed1!I14,seed2!I14,seed3!I14,seed4!I14,seed5!I14),4)</f>
        <v>7.5397999999999996</v>
      </c>
      <c r="K14" s="2" t="s">
        <v>11</v>
      </c>
      <c r="L14" t="e">
        <f>ROUND(AVERAGE(seed1!L14,seed2!L14,seed3!L14,seed4!L14,seed5!L14),4)</f>
        <v>#DIV/0!</v>
      </c>
      <c r="M14" t="e">
        <f>ROUND(AVERAGE(seed1!M14,seed2!M14,seed3!M14,seed4!M14,seed5!M14),4)</f>
        <v>#DIV/0!</v>
      </c>
      <c r="N14" t="e">
        <f>ROUND(AVERAGE(seed1!N14,seed2!N14,seed3!N14,seed4!N14,seed5!N14),4)</f>
        <v>#DIV/0!</v>
      </c>
      <c r="O14" t="e">
        <f>ROUND(AVERAGE(seed1!O14,seed2!O14,seed3!O14,seed4!O14,seed5!O14),4)</f>
        <v>#DIV/0!</v>
      </c>
      <c r="P14" t="e">
        <f>ROUND(AVERAGE(seed1!P14,seed2!P14,seed3!P14,seed4!P14,seed5!P14),4)</f>
        <v>#DIV/0!</v>
      </c>
      <c r="Q14" t="e">
        <f>ROUND(AVERAGE(seed1!Q14,seed2!Q14,seed3!Q14,seed4!Q14,seed5!Q14),4)</f>
        <v>#DIV/0!</v>
      </c>
      <c r="R14" t="e">
        <f>ROUND(AVERAGE(seed1!R14,seed2!R14,seed3!R14,seed4!R14,seed5!R14),4)</f>
        <v>#DIV/0!</v>
      </c>
    </row>
    <row r="15" spans="2:18">
      <c r="B15" s="2" t="s">
        <v>12</v>
      </c>
      <c r="C15">
        <f>ROUND(AVERAGE(seed1!C15,seed2!C15,seed3!C15,seed4!C15,seed5!C15),4)</f>
        <v>6.8209999999999997</v>
      </c>
      <c r="D15">
        <f>ROUND(AVERAGE(seed1!D15,seed2!D15,seed3!D15,seed4!D15,seed5!D15),4)</f>
        <v>6.8749000000000002</v>
      </c>
      <c r="E15">
        <f>ROUND(AVERAGE(seed1!E15,seed2!E15,seed3!E15,seed4!E15,seed5!E15),4)</f>
        <v>7.8055000000000003</v>
      </c>
      <c r="F15">
        <f>ROUND(AVERAGE(seed1!F15,seed2!F15,seed3!F15,seed4!F15,seed5!F15),4)</f>
        <v>7.8230000000000004</v>
      </c>
      <c r="G15">
        <f>ROUND(AVERAGE(seed1!G15,seed2!G15,seed3!G15,seed4!G15,seed5!G15),4)</f>
        <v>6.0564</v>
      </c>
      <c r="H15">
        <f>ROUND(AVERAGE(seed1!H15,seed2!H15,seed3!H15,seed4!H15,seed5!H15),4)</f>
        <v>8.0592000000000006</v>
      </c>
      <c r="I15">
        <f>ROUND(AVERAGE(seed1!I15,seed2!I15,seed3!I15,seed4!I15,seed5!I15),4)</f>
        <v>8.0253999999999994</v>
      </c>
      <c r="K15" s="2" t="s">
        <v>12</v>
      </c>
      <c r="L15" t="e">
        <f>ROUND(AVERAGE(seed1!L15,seed2!L15,seed3!L15,seed4!L15,seed5!L15),4)</f>
        <v>#DIV/0!</v>
      </c>
      <c r="M15" t="e">
        <f>ROUND(AVERAGE(seed1!M15,seed2!M15,seed3!M15,seed4!M15,seed5!M15),4)</f>
        <v>#DIV/0!</v>
      </c>
      <c r="N15" t="e">
        <f>ROUND(AVERAGE(seed1!N15,seed2!N15,seed3!N15,seed4!N15,seed5!N15),4)</f>
        <v>#DIV/0!</v>
      </c>
      <c r="O15" t="e">
        <f>ROUND(AVERAGE(seed1!O15,seed2!O15,seed3!O15,seed4!O15,seed5!O15),4)</f>
        <v>#DIV/0!</v>
      </c>
      <c r="P15" t="e">
        <f>ROUND(AVERAGE(seed1!P15,seed2!P15,seed3!P15,seed4!P15,seed5!P15),4)</f>
        <v>#DIV/0!</v>
      </c>
      <c r="Q15" t="e">
        <f>ROUND(AVERAGE(seed1!Q15,seed2!Q15,seed3!Q15,seed4!Q15,seed5!Q15),4)</f>
        <v>#DIV/0!</v>
      </c>
      <c r="R15" t="e">
        <f>ROUND(AVERAGE(seed1!R15,seed2!R15,seed3!R15,seed4!R15,seed5!R15),4)</f>
        <v>#DIV/0!</v>
      </c>
    </row>
    <row r="16" spans="2:18">
      <c r="B16" t="s">
        <v>4</v>
      </c>
      <c r="C16">
        <f>ROUND(AVERAGE(seed1!C16,seed2!C16,seed3!C16,seed4!C16,seed5!C16),4)</f>
        <v>6.6684999999999999</v>
      </c>
      <c r="D16">
        <f>ROUND(AVERAGE(seed1!D16,seed2!D16,seed3!D16,seed4!D16,seed5!D16),4)</f>
        <v>6.8510999999999997</v>
      </c>
      <c r="E16">
        <f>ROUND(AVERAGE(seed1!E16,seed2!E16,seed3!E16,seed4!E16,seed5!E16),4)</f>
        <v>7.7111999999999998</v>
      </c>
      <c r="F16">
        <f>ROUND(AVERAGE(seed1!F16,seed2!F16,seed3!F16,seed4!F16,seed5!F16),4)</f>
        <v>7.7225999999999999</v>
      </c>
      <c r="G16">
        <f>ROUND(AVERAGE(seed1!G16,seed2!G16,seed3!G16,seed4!G16,seed5!G16),4)</f>
        <v>5.8898999999999999</v>
      </c>
      <c r="H16">
        <f>ROUND(AVERAGE(seed1!H16,seed2!H16,seed3!H16,seed4!H16,seed5!H16),4)</f>
        <v>7.9116999999999997</v>
      </c>
      <c r="I16">
        <f>ROUND(AVERAGE(seed1!I16,seed2!I16,seed3!I16,seed4!I16,seed5!I16),4)</f>
        <v>7.9269999999999996</v>
      </c>
      <c r="K16" t="s">
        <v>4</v>
      </c>
      <c r="L16" t="e">
        <f>ROUND(AVERAGE(seed1!L16,seed2!L16,seed3!L16,seed4!L16,seed5!L16),4)</f>
        <v>#DIV/0!</v>
      </c>
      <c r="M16" t="e">
        <f>ROUND(AVERAGE(seed1!M16,seed2!M16,seed3!M16,seed4!M16,seed5!M16),4)</f>
        <v>#DIV/0!</v>
      </c>
      <c r="N16" t="e">
        <f>ROUND(AVERAGE(seed1!N16,seed2!N16,seed3!N16,seed4!N16,seed5!N16),4)</f>
        <v>#DIV/0!</v>
      </c>
      <c r="O16" t="e">
        <f>ROUND(AVERAGE(seed1!O16,seed2!O16,seed3!O16,seed4!O16,seed5!O16),4)</f>
        <v>#DIV/0!</v>
      </c>
      <c r="P16" t="e">
        <f>ROUND(AVERAGE(seed1!P16,seed2!P16,seed3!P16,seed4!P16,seed5!P16),4)</f>
        <v>#DIV/0!</v>
      </c>
      <c r="Q16" t="e">
        <f>ROUND(AVERAGE(seed1!Q16,seed2!Q16,seed3!Q16,seed4!Q16,seed5!Q16),4)</f>
        <v>#DIV/0!</v>
      </c>
      <c r="R16" t="e">
        <f>ROUND(AVERAGE(seed1!R16,seed2!R16,seed3!R16,seed4!R16,seed5!R16),4)</f>
        <v>#DIV/0!</v>
      </c>
    </row>
    <row r="17" spans="2:18">
      <c r="B17" s="2" t="s">
        <v>14</v>
      </c>
      <c r="C17">
        <f>ROUND(AVERAGE(C7,C10,C13),4)</f>
        <v>4.8586</v>
      </c>
      <c r="D17">
        <f t="shared" ref="D17:I17" si="0">ROUND(AVERAGE(D7,D10,D13),4)</f>
        <v>5.3585000000000003</v>
      </c>
      <c r="E17">
        <f t="shared" si="0"/>
        <v>6.2117000000000004</v>
      </c>
      <c r="F17">
        <f t="shared" si="0"/>
        <v>6.1375000000000002</v>
      </c>
      <c r="G17">
        <f t="shared" si="0"/>
        <v>4.4882</v>
      </c>
      <c r="H17">
        <f t="shared" si="0"/>
        <v>6.2024999999999997</v>
      </c>
      <c r="I17">
        <f t="shared" si="0"/>
        <v>6.2390999999999996</v>
      </c>
      <c r="K17" s="2" t="s">
        <v>14</v>
      </c>
      <c r="L17" t="e">
        <f>ROUND(AVERAGE(L7,L10,L13),4)</f>
        <v>#DIV/0!</v>
      </c>
      <c r="M17" t="e">
        <f t="shared" ref="M17:R17" si="1">ROUND(AVERAGE(M7,M10,M13),4)</f>
        <v>#DIV/0!</v>
      </c>
      <c r="N17" t="e">
        <f t="shared" si="1"/>
        <v>#DIV/0!</v>
      </c>
      <c r="O17" t="e">
        <f t="shared" si="1"/>
        <v>#DIV/0!</v>
      </c>
      <c r="P17" t="e">
        <f t="shared" si="1"/>
        <v>#DIV/0!</v>
      </c>
      <c r="Q17" t="e">
        <f t="shared" si="1"/>
        <v>#DIV/0!</v>
      </c>
      <c r="R17" t="e">
        <f t="shared" si="1"/>
        <v>#DIV/0!</v>
      </c>
    </row>
    <row r="18" spans="2:18">
      <c r="B18" t="s">
        <v>15</v>
      </c>
      <c r="C18">
        <f>ROUND(AVERAGE(seed1!C18,seed2!C18,seed3!C18,seed4!C18,seed5!C18),1)</f>
        <v>61.7</v>
      </c>
      <c r="D18">
        <f>ROUND(AVERAGE(seed1!D18,seed2!D18,seed3!D18,seed4!D18,seed5!D18),1)</f>
        <v>62.3</v>
      </c>
      <c r="E18">
        <f>ROUND(AVERAGE(seed1!E18,seed2!E18,seed3!E18,seed4!E18,seed5!E18),1)</f>
        <v>62.7</v>
      </c>
      <c r="F18">
        <f>ROUND(AVERAGE(seed1!F18,seed2!F18,seed3!F18,seed4!F18,seed5!F18),1)</f>
        <v>62</v>
      </c>
      <c r="G18">
        <f>ROUND(AVERAGE(seed1!G18,seed2!G18,seed3!G18,seed4!G18,seed5!G18),1)</f>
        <v>50.3</v>
      </c>
      <c r="H18">
        <f>ROUND(AVERAGE(seed1!H18,seed2!H18,seed3!H18,seed4!H18,seed5!H18),1)</f>
        <v>62.3</v>
      </c>
      <c r="I18">
        <f>ROUND(AVERAGE(seed1!I18,seed2!I18,seed3!I18,seed4!I18,seed5!I18),1)</f>
        <v>62.7</v>
      </c>
      <c r="K18" t="s">
        <v>15</v>
      </c>
      <c r="L18" t="e">
        <f>ROUND(AVERAGE(seed1!L18,seed2!L18,seed3!L18,seed4!L18,seed5!L18),1)</f>
        <v>#DIV/0!</v>
      </c>
      <c r="M18" t="e">
        <f>ROUND(AVERAGE(seed1!M18,seed2!M18,seed3!M18,seed4!M18,seed5!M18),1)</f>
        <v>#DIV/0!</v>
      </c>
      <c r="N18" t="e">
        <f>ROUND(AVERAGE(seed1!N18,seed2!N18,seed3!N18,seed4!N18,seed5!N18),1)</f>
        <v>#DIV/0!</v>
      </c>
      <c r="O18" t="e">
        <f>ROUND(AVERAGE(seed1!O18,seed2!O18,seed3!O18,seed4!O18,seed5!O18),1)</f>
        <v>#DIV/0!</v>
      </c>
      <c r="P18" t="e">
        <f>ROUND(AVERAGE(seed1!P18,seed2!P18,seed3!P18,seed4!P18,seed5!P18),1)</f>
        <v>#DIV/0!</v>
      </c>
      <c r="Q18" t="e">
        <f>ROUND(AVERAGE(seed1!Q18,seed2!Q18,seed3!Q18,seed4!Q18,seed5!Q18),1)</f>
        <v>#DIV/0!</v>
      </c>
      <c r="R18" t="e">
        <f>ROUND(AVERAGE(seed1!R18,seed2!R18,seed3!R18,seed4!R18,seed5!R18),1)</f>
        <v>#DIV/0!</v>
      </c>
    </row>
    <row r="19" spans="2:18">
      <c r="B19" t="s">
        <v>16</v>
      </c>
      <c r="C19">
        <f>ROUND(AVERAGE(seed1!C19,seed2!C19,seed3!C19,seed4!C19,seed5!C19),1)</f>
        <v>63.7</v>
      </c>
      <c r="D19">
        <f>ROUND(AVERAGE(seed1!D19,seed2!D19,seed3!D19,seed4!D19,seed5!D19),1)</f>
        <v>63</v>
      </c>
      <c r="E19">
        <f>ROUND(AVERAGE(seed1!E19,seed2!E19,seed3!E19,seed4!E19,seed5!E19),1)</f>
        <v>63.7</v>
      </c>
      <c r="F19">
        <f>ROUND(AVERAGE(seed1!F19,seed2!F19,seed3!F19,seed4!F19,seed5!F19),1)</f>
        <v>63.7</v>
      </c>
      <c r="G19">
        <f>ROUND(AVERAGE(seed1!G19,seed2!G19,seed3!G19,seed4!G19,seed5!G19),1)</f>
        <v>62.7</v>
      </c>
      <c r="H19">
        <f>ROUND(AVERAGE(seed1!H19,seed2!H19,seed3!H19,seed4!H19,seed5!H19),1)</f>
        <v>63.7</v>
      </c>
      <c r="I19">
        <f>ROUND(AVERAGE(seed1!I19,seed2!I19,seed3!I19,seed4!I19,seed5!I19),1)</f>
        <v>63.7</v>
      </c>
      <c r="K19" t="s">
        <v>16</v>
      </c>
      <c r="L19" t="e">
        <f>ROUND(AVERAGE(seed1!L19,seed2!L19,seed3!L19,seed4!L19,seed5!L19),1)</f>
        <v>#DIV/0!</v>
      </c>
      <c r="M19" t="e">
        <f>ROUND(AVERAGE(seed1!M19,seed2!M19,seed3!M19,seed4!M19,seed5!M19),1)</f>
        <v>#DIV/0!</v>
      </c>
      <c r="N19" t="e">
        <f>ROUND(AVERAGE(seed1!N19,seed2!N19,seed3!N19,seed4!N19,seed5!N19),1)</f>
        <v>#DIV/0!</v>
      </c>
      <c r="O19" t="e">
        <f>ROUND(AVERAGE(seed1!O19,seed2!O19,seed3!O19,seed4!O19,seed5!O19),1)</f>
        <v>#DIV/0!</v>
      </c>
      <c r="P19" t="e">
        <f>ROUND(AVERAGE(seed1!P19,seed2!P19,seed3!P19,seed4!P19,seed5!P19),1)</f>
        <v>#DIV/0!</v>
      </c>
      <c r="Q19" t="e">
        <f>ROUND(AVERAGE(seed1!Q19,seed2!Q19,seed3!Q19,seed4!Q19,seed5!Q19),1)</f>
        <v>#DIV/0!</v>
      </c>
      <c r="R19" t="e">
        <f>ROUND(AVERAGE(seed1!R19,seed2!R19,seed3!R19,seed4!R19,seed5!R19),1)</f>
        <v>#DIV/0!</v>
      </c>
    </row>
    <row r="20" spans="2:18">
      <c r="B20" t="s">
        <v>17</v>
      </c>
      <c r="C20">
        <f>ROUND(AVERAGE(seed1!C20,seed2!C20,seed3!C20,seed4!C20,seed5!C20),1)</f>
        <v>62.3</v>
      </c>
      <c r="D20">
        <f>ROUND(AVERAGE(seed1!D20,seed2!D20,seed3!D20,seed4!D20,seed5!D20),1)</f>
        <v>62</v>
      </c>
      <c r="E20">
        <f>ROUND(AVERAGE(seed1!E20,seed2!E20,seed3!E20,seed4!E20,seed5!E20),1)</f>
        <v>62.3</v>
      </c>
      <c r="F20">
        <f>ROUND(AVERAGE(seed1!F20,seed2!F20,seed3!F20,seed4!F20,seed5!F20),1)</f>
        <v>61.7</v>
      </c>
      <c r="G20">
        <f>ROUND(AVERAGE(seed1!G20,seed2!G20,seed3!G20,seed4!G20,seed5!G20),1)</f>
        <v>55</v>
      </c>
      <c r="H20">
        <f>ROUND(AVERAGE(seed1!H20,seed2!H20,seed3!H20,seed4!H20,seed5!H20),1)</f>
        <v>62.3</v>
      </c>
      <c r="I20">
        <f>ROUND(AVERAGE(seed1!I20,seed2!I20,seed3!I20,seed4!I20,seed5!I20),1)</f>
        <v>62.3</v>
      </c>
      <c r="K20" t="s">
        <v>17</v>
      </c>
      <c r="L20" t="e">
        <f>ROUND(AVERAGE(seed1!L20,seed2!L20,seed3!L20,seed4!L20,seed5!L20),1)</f>
        <v>#DIV/0!</v>
      </c>
      <c r="M20" t="e">
        <f>ROUND(AVERAGE(seed1!M20,seed2!M20,seed3!M20,seed4!M20,seed5!M20),1)</f>
        <v>#DIV/0!</v>
      </c>
      <c r="N20" t="e">
        <f>ROUND(AVERAGE(seed1!N20,seed2!N20,seed3!N20,seed4!N20,seed5!N20),1)</f>
        <v>#DIV/0!</v>
      </c>
      <c r="O20" t="e">
        <f>ROUND(AVERAGE(seed1!O20,seed2!O20,seed3!O20,seed4!O20,seed5!O20),1)</f>
        <v>#DIV/0!</v>
      </c>
      <c r="P20" t="e">
        <f>ROUND(AVERAGE(seed1!P20,seed2!P20,seed3!P20,seed4!P20,seed5!P20),1)</f>
        <v>#DIV/0!</v>
      </c>
      <c r="Q20" t="e">
        <f>ROUND(AVERAGE(seed1!Q20,seed2!Q20,seed3!Q20,seed4!Q20,seed5!Q20),1)</f>
        <v>#DIV/0!</v>
      </c>
      <c r="R20" t="e">
        <f>ROUND(AVERAGE(seed1!R20,seed2!R20,seed3!R20,seed4!R20,seed5!R20),1)</f>
        <v>#DIV/0!</v>
      </c>
    </row>
    <row r="21" spans="2:18">
      <c r="B21" t="s">
        <v>18</v>
      </c>
      <c r="C21">
        <f>SUM(C18:C20)</f>
        <v>187.7</v>
      </c>
      <c r="D21">
        <f t="shared" ref="D21:I21" si="2">SUM(D18:D20)</f>
        <v>187.3</v>
      </c>
      <c r="E21">
        <f t="shared" si="2"/>
        <v>188.7</v>
      </c>
      <c r="F21">
        <f t="shared" si="2"/>
        <v>187.4</v>
      </c>
      <c r="G21">
        <f t="shared" si="2"/>
        <v>168</v>
      </c>
      <c r="H21">
        <f t="shared" si="2"/>
        <v>188.3</v>
      </c>
      <c r="I21">
        <f t="shared" si="2"/>
        <v>188.7</v>
      </c>
      <c r="K21" t="s">
        <v>18</v>
      </c>
      <c r="L21" t="e">
        <f>SUM(L18:L20)</f>
        <v>#DIV/0!</v>
      </c>
      <c r="M21" t="e">
        <f t="shared" ref="M21" si="3">SUM(M18:M20)</f>
        <v>#DIV/0!</v>
      </c>
      <c r="N21" t="e">
        <f t="shared" ref="N21" si="4">SUM(N18:N20)</f>
        <v>#DIV/0!</v>
      </c>
      <c r="O21" t="e">
        <f t="shared" ref="O21" si="5">SUM(O18:O20)</f>
        <v>#DIV/0!</v>
      </c>
      <c r="P21" t="e">
        <f t="shared" ref="P21" si="6">SUM(P18:P20)</f>
        <v>#DIV/0!</v>
      </c>
      <c r="Q21" t="e">
        <f t="shared" ref="Q21" si="7">SUM(Q18:Q20)</f>
        <v>#DIV/0!</v>
      </c>
      <c r="R21" t="e">
        <f t="shared" ref="R21" si="8">SUM(R18:R20)</f>
        <v>#DIV/0!</v>
      </c>
    </row>
    <row r="23" spans="2:18">
      <c r="B23" t="s">
        <v>13</v>
      </c>
    </row>
    <row r="24" spans="2:18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2:18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2:18">
      <c r="B26" s="2" t="s">
        <v>11</v>
      </c>
      <c r="C26" t="e">
        <f>ROUND(AVERAGE(seed1!C26,seed2!C26,seed3!C26,seed4!C26,seed5!C26),4)</f>
        <v>#DIV/0!</v>
      </c>
      <c r="D26" t="e">
        <f>ROUND(AVERAGE(seed1!D26,seed2!D26,seed3!D26,seed4!D26,seed5!D26),4)</f>
        <v>#DIV/0!</v>
      </c>
      <c r="E26" t="e">
        <f>ROUND(AVERAGE(seed1!E26,seed2!E26,seed3!E26,seed4!E26,seed5!E26),4)</f>
        <v>#DIV/0!</v>
      </c>
      <c r="F26" t="e">
        <f>ROUND(AVERAGE(seed1!F26,seed2!F26,seed3!F26,seed4!F26,seed5!F26),4)</f>
        <v>#DIV/0!</v>
      </c>
      <c r="G26" t="e">
        <f>ROUND(AVERAGE(seed1!G26,seed2!G26,seed3!G26,seed4!G26,seed5!G26),4)</f>
        <v>#DIV/0!</v>
      </c>
      <c r="H26" t="e">
        <f>ROUND(AVERAGE(seed1!H26,seed2!H26,seed3!H26,seed4!H26,seed5!H26),4)</f>
        <v>#DIV/0!</v>
      </c>
      <c r="I26" t="e">
        <f>ROUND(AVERAGE(seed1!I26,seed2!I26,seed3!I26,seed4!I26,seed5!I26),4)</f>
        <v>#DIV/0!</v>
      </c>
    </row>
    <row r="27" spans="2:18">
      <c r="B27" s="2" t="s">
        <v>12</v>
      </c>
      <c r="C27" t="e">
        <f>ROUND(AVERAGE(seed1!C27,seed2!C27,seed3!C27,seed4!C27,seed5!C27),4)</f>
        <v>#DIV/0!</v>
      </c>
      <c r="D27" t="e">
        <f>ROUND(AVERAGE(seed1!D27,seed2!D27,seed3!D27,seed4!D27,seed5!D27),4)</f>
        <v>#DIV/0!</v>
      </c>
      <c r="E27" t="e">
        <f>ROUND(AVERAGE(seed1!E27,seed2!E27,seed3!E27,seed4!E27,seed5!E27),4)</f>
        <v>#DIV/0!</v>
      </c>
      <c r="F27" t="e">
        <f>ROUND(AVERAGE(seed1!F27,seed2!F27,seed3!F27,seed4!F27,seed5!F27),4)</f>
        <v>#DIV/0!</v>
      </c>
      <c r="G27" t="e">
        <f>ROUND(AVERAGE(seed1!G27,seed2!G27,seed3!G27,seed4!G27,seed5!G27),4)</f>
        <v>#DIV/0!</v>
      </c>
      <c r="H27" t="e">
        <f>ROUND(AVERAGE(seed1!H27,seed2!H27,seed3!H27,seed4!H27,seed5!H27),4)</f>
        <v>#DIV/0!</v>
      </c>
      <c r="I27" t="e">
        <f>ROUND(AVERAGE(seed1!I27,seed2!I27,seed3!I27,seed4!I27,seed5!I27),4)</f>
        <v>#DIV/0!</v>
      </c>
    </row>
    <row r="28" spans="2:18">
      <c r="B28" t="s">
        <v>2</v>
      </c>
      <c r="C28" t="e">
        <f>ROUND(AVERAGE(seed1!C28,seed2!C28,seed3!C28,seed4!C28,seed5!C28),4)</f>
        <v>#DIV/0!</v>
      </c>
      <c r="D28" t="e">
        <f>ROUND(AVERAGE(seed1!D28,seed2!D28,seed3!D28,seed4!D28,seed5!D28),4)</f>
        <v>#DIV/0!</v>
      </c>
      <c r="E28" t="e">
        <f>ROUND(AVERAGE(seed1!E28,seed2!E28,seed3!E28,seed4!E28,seed5!E28),4)</f>
        <v>#DIV/0!</v>
      </c>
      <c r="F28" t="e">
        <f>ROUND(AVERAGE(seed1!F28,seed2!F28,seed3!F28,seed4!F28,seed5!F28),4)</f>
        <v>#DIV/0!</v>
      </c>
      <c r="G28" t="e">
        <f>ROUND(AVERAGE(seed1!G28,seed2!G28,seed3!G28,seed4!G28,seed5!G28),4)</f>
        <v>#DIV/0!</v>
      </c>
      <c r="H28" t="e">
        <f>ROUND(AVERAGE(seed1!H28,seed2!H28,seed3!H28,seed4!H28,seed5!H28),4)</f>
        <v>#DIV/0!</v>
      </c>
      <c r="I28" t="e">
        <f>ROUND(AVERAGE(seed1!I28,seed2!I28,seed3!I28,seed4!I28,seed5!I28),4)</f>
        <v>#DIV/0!</v>
      </c>
    </row>
    <row r="29" spans="2:18">
      <c r="B29" s="2" t="s">
        <v>11</v>
      </c>
      <c r="C29" t="e">
        <f>ROUND(AVERAGE(seed1!C29,seed2!C29,seed3!C29,seed4!C29,seed5!C29),4)</f>
        <v>#DIV/0!</v>
      </c>
      <c r="D29" t="e">
        <f>ROUND(AVERAGE(seed1!D29,seed2!D29,seed3!D29,seed4!D29,seed5!D29),4)</f>
        <v>#DIV/0!</v>
      </c>
      <c r="E29" t="e">
        <f>ROUND(AVERAGE(seed1!E29,seed2!E29,seed3!E29,seed4!E29,seed5!E29),4)</f>
        <v>#DIV/0!</v>
      </c>
      <c r="F29" t="e">
        <f>ROUND(AVERAGE(seed1!F29,seed2!F29,seed3!F29,seed4!F29,seed5!F29),4)</f>
        <v>#DIV/0!</v>
      </c>
      <c r="G29" t="e">
        <f>ROUND(AVERAGE(seed1!G29,seed2!G29,seed3!G29,seed4!G29,seed5!G29),4)</f>
        <v>#DIV/0!</v>
      </c>
      <c r="H29" t="e">
        <f>ROUND(AVERAGE(seed1!H29,seed2!H29,seed3!H29,seed4!H29,seed5!H29),4)</f>
        <v>#DIV/0!</v>
      </c>
      <c r="I29" t="e">
        <f>ROUND(AVERAGE(seed1!I29,seed2!I29,seed3!I29,seed4!I29,seed5!I29),4)</f>
        <v>#DIV/0!</v>
      </c>
    </row>
    <row r="30" spans="2:18">
      <c r="B30" s="2" t="s">
        <v>12</v>
      </c>
      <c r="C30" t="e">
        <f>ROUND(AVERAGE(seed1!C30,seed2!C30,seed3!C30,seed4!C30,seed5!C30),4)</f>
        <v>#DIV/0!</v>
      </c>
      <c r="D30" t="e">
        <f>ROUND(AVERAGE(seed1!D30,seed2!D30,seed3!D30,seed4!D30,seed5!D30),4)</f>
        <v>#DIV/0!</v>
      </c>
      <c r="E30" t="e">
        <f>ROUND(AVERAGE(seed1!E30,seed2!E30,seed3!E30,seed4!E30,seed5!E30),4)</f>
        <v>#DIV/0!</v>
      </c>
      <c r="F30" t="e">
        <f>ROUND(AVERAGE(seed1!F30,seed2!F30,seed3!F30,seed4!F30,seed5!F30),4)</f>
        <v>#DIV/0!</v>
      </c>
      <c r="G30" t="e">
        <f>ROUND(AVERAGE(seed1!G30,seed2!G30,seed3!G30,seed4!G30,seed5!G30),4)</f>
        <v>#DIV/0!</v>
      </c>
      <c r="H30" t="e">
        <f>ROUND(AVERAGE(seed1!H30,seed2!H30,seed3!H30,seed4!H30,seed5!H30),4)</f>
        <v>#DIV/0!</v>
      </c>
      <c r="I30" t="e">
        <f>ROUND(AVERAGE(seed1!I30,seed2!I30,seed3!I30,seed4!I30,seed5!I30),4)</f>
        <v>#DIV/0!</v>
      </c>
    </row>
    <row r="31" spans="2:18">
      <c r="B31" t="s">
        <v>3</v>
      </c>
      <c r="C31" t="e">
        <f>ROUND(AVERAGE(seed1!C31,seed2!C31,seed3!C31,seed4!C31,seed5!C31),4)</f>
        <v>#DIV/0!</v>
      </c>
      <c r="D31" t="e">
        <f>ROUND(AVERAGE(seed1!D31,seed2!D31,seed3!D31,seed4!D31,seed5!D31),4)</f>
        <v>#DIV/0!</v>
      </c>
      <c r="E31" t="e">
        <f>ROUND(AVERAGE(seed1!E31,seed2!E31,seed3!E31,seed4!E31,seed5!E31),4)</f>
        <v>#DIV/0!</v>
      </c>
      <c r="F31" t="e">
        <f>ROUND(AVERAGE(seed1!F31,seed2!F31,seed3!F31,seed4!F31,seed5!F31),4)</f>
        <v>#DIV/0!</v>
      </c>
      <c r="G31" t="e">
        <f>ROUND(AVERAGE(seed1!G31,seed2!G31,seed3!G31,seed4!G31,seed5!G31),4)</f>
        <v>#DIV/0!</v>
      </c>
      <c r="H31" t="e">
        <f>ROUND(AVERAGE(seed1!H31,seed2!H31,seed3!H31,seed4!H31,seed5!H31),4)</f>
        <v>#DIV/0!</v>
      </c>
      <c r="I31" t="e">
        <f>ROUND(AVERAGE(seed1!I31,seed2!I31,seed3!I31,seed4!I31,seed5!I31),4)</f>
        <v>#DIV/0!</v>
      </c>
    </row>
    <row r="32" spans="2:18">
      <c r="B32" s="2" t="s">
        <v>11</v>
      </c>
      <c r="C32" t="e">
        <f>ROUND(AVERAGE(seed1!C32,seed2!C32,seed3!C32,seed4!C32,seed5!C32),4)</f>
        <v>#DIV/0!</v>
      </c>
      <c r="D32" t="e">
        <f>ROUND(AVERAGE(seed1!D32,seed2!D32,seed3!D32,seed4!D32,seed5!D32),4)</f>
        <v>#DIV/0!</v>
      </c>
      <c r="E32" t="e">
        <f>ROUND(AVERAGE(seed1!E32,seed2!E32,seed3!E32,seed4!E32,seed5!E32),4)</f>
        <v>#DIV/0!</v>
      </c>
      <c r="F32" t="e">
        <f>ROUND(AVERAGE(seed1!F32,seed2!F32,seed3!F32,seed4!F32,seed5!F32),4)</f>
        <v>#DIV/0!</v>
      </c>
      <c r="G32" t="e">
        <f>ROUND(AVERAGE(seed1!G32,seed2!G32,seed3!G32,seed4!G32,seed5!G32),4)</f>
        <v>#DIV/0!</v>
      </c>
      <c r="H32" t="e">
        <f>ROUND(AVERAGE(seed1!H32,seed2!H32,seed3!H32,seed4!H32,seed5!H32),4)</f>
        <v>#DIV/0!</v>
      </c>
      <c r="I32" t="e">
        <f>ROUND(AVERAGE(seed1!I32,seed2!I32,seed3!I32,seed4!I32,seed5!I32),4)</f>
        <v>#DIV/0!</v>
      </c>
    </row>
    <row r="33" spans="2:9">
      <c r="B33" s="2" t="s">
        <v>12</v>
      </c>
      <c r="C33" t="e">
        <f>ROUND(AVERAGE(seed1!C33,seed2!C33,seed3!C33,seed4!C33,seed5!C33),4)</f>
        <v>#DIV/0!</v>
      </c>
      <c r="D33" t="e">
        <f>ROUND(AVERAGE(seed1!D33,seed2!D33,seed3!D33,seed4!D33,seed5!D33),4)</f>
        <v>#DIV/0!</v>
      </c>
      <c r="E33" t="e">
        <f>ROUND(AVERAGE(seed1!E33,seed2!E33,seed3!E33,seed4!E33,seed5!E33),4)</f>
        <v>#DIV/0!</v>
      </c>
      <c r="F33" t="e">
        <f>ROUND(AVERAGE(seed1!F33,seed2!F33,seed3!F33,seed4!F33,seed5!F33),4)</f>
        <v>#DIV/0!</v>
      </c>
      <c r="G33" t="e">
        <f>ROUND(AVERAGE(seed1!G33,seed2!G33,seed3!G33,seed4!G33,seed5!G33),4)</f>
        <v>#DIV/0!</v>
      </c>
      <c r="H33" t="e">
        <f>ROUND(AVERAGE(seed1!H33,seed2!H33,seed3!H33,seed4!H33,seed5!H33),4)</f>
        <v>#DIV/0!</v>
      </c>
      <c r="I33" t="e">
        <f>ROUND(AVERAGE(seed1!I33,seed2!I33,seed3!I33,seed4!I33,seed5!I33),4)</f>
        <v>#DIV/0!</v>
      </c>
    </row>
    <row r="34" spans="2:9">
      <c r="B34" t="s">
        <v>1</v>
      </c>
      <c r="C34" t="e">
        <f>ROUND(AVERAGE(seed1!C34,seed2!C34,seed3!C34,seed4!C34,seed5!C34),4)</f>
        <v>#DIV/0!</v>
      </c>
      <c r="D34" t="e">
        <f>ROUND(AVERAGE(seed1!D34,seed2!D34,seed3!D34,seed4!D34,seed5!D34),4)</f>
        <v>#DIV/0!</v>
      </c>
      <c r="E34" t="e">
        <f>ROUND(AVERAGE(seed1!E34,seed2!E34,seed3!E34,seed4!E34,seed5!E34),4)</f>
        <v>#DIV/0!</v>
      </c>
      <c r="F34" t="e">
        <f>ROUND(AVERAGE(seed1!F34,seed2!F34,seed3!F34,seed4!F34,seed5!F34),4)</f>
        <v>#DIV/0!</v>
      </c>
      <c r="G34" t="e">
        <f>ROUND(AVERAGE(seed1!G34,seed2!G34,seed3!G34,seed4!G34,seed5!G34),4)</f>
        <v>#DIV/0!</v>
      </c>
      <c r="H34" t="e">
        <f>ROUND(AVERAGE(seed1!H34,seed2!H34,seed3!H34,seed4!H34,seed5!H34),4)</f>
        <v>#DIV/0!</v>
      </c>
      <c r="I34" t="e">
        <f>ROUND(AVERAGE(seed1!I34,seed2!I34,seed3!I34,seed4!I34,seed5!I34),4)</f>
        <v>#DIV/0!</v>
      </c>
    </row>
    <row r="35" spans="2:9">
      <c r="B35" s="2" t="s">
        <v>11</v>
      </c>
      <c r="C35" t="e">
        <f>ROUND(AVERAGE(seed1!C35,seed2!C35,seed3!C35,seed4!C35,seed5!C35),4)</f>
        <v>#DIV/0!</v>
      </c>
      <c r="D35" t="e">
        <f>ROUND(AVERAGE(seed1!D35,seed2!D35,seed3!D35,seed4!D35,seed5!D35),4)</f>
        <v>#DIV/0!</v>
      </c>
      <c r="E35" t="e">
        <f>ROUND(AVERAGE(seed1!E35,seed2!E35,seed3!E35,seed4!E35,seed5!E35),4)</f>
        <v>#DIV/0!</v>
      </c>
      <c r="F35" t="e">
        <f>ROUND(AVERAGE(seed1!F35,seed2!F35,seed3!F35,seed4!F35,seed5!F35),4)</f>
        <v>#DIV/0!</v>
      </c>
      <c r="G35" t="e">
        <f>ROUND(AVERAGE(seed1!G35,seed2!G35,seed3!G35,seed4!G35,seed5!G35),4)</f>
        <v>#DIV/0!</v>
      </c>
      <c r="H35" t="e">
        <f>ROUND(AVERAGE(seed1!H35,seed2!H35,seed3!H35,seed4!H35,seed5!H35),4)</f>
        <v>#DIV/0!</v>
      </c>
      <c r="I35" t="e">
        <f>ROUND(AVERAGE(seed1!I35,seed2!I35,seed3!I35,seed4!I35,seed5!I35),4)</f>
        <v>#DIV/0!</v>
      </c>
    </row>
    <row r="36" spans="2:9">
      <c r="B36" s="2" t="s">
        <v>12</v>
      </c>
      <c r="C36" t="e">
        <f>ROUND(AVERAGE(seed1!C36,seed2!C36,seed3!C36,seed4!C36,seed5!C36),4)</f>
        <v>#DIV/0!</v>
      </c>
      <c r="D36" t="e">
        <f>ROUND(AVERAGE(seed1!D36,seed2!D36,seed3!D36,seed4!D36,seed5!D36),4)</f>
        <v>#DIV/0!</v>
      </c>
      <c r="E36" t="e">
        <f>ROUND(AVERAGE(seed1!E36,seed2!E36,seed3!E36,seed4!E36,seed5!E36),4)</f>
        <v>#DIV/0!</v>
      </c>
      <c r="F36" t="e">
        <f>ROUND(AVERAGE(seed1!F36,seed2!F36,seed3!F36,seed4!F36,seed5!F36),4)</f>
        <v>#DIV/0!</v>
      </c>
      <c r="G36" t="e">
        <f>ROUND(AVERAGE(seed1!G36,seed2!G36,seed3!G36,seed4!G36,seed5!G36),4)</f>
        <v>#DIV/0!</v>
      </c>
      <c r="H36" t="e">
        <f>ROUND(AVERAGE(seed1!H36,seed2!H36,seed3!H36,seed4!H36,seed5!H36),4)</f>
        <v>#DIV/0!</v>
      </c>
      <c r="I36" t="e">
        <f>ROUND(AVERAGE(seed1!I36,seed2!I36,seed3!I36,seed4!I36,seed5!I36),4)</f>
        <v>#DIV/0!</v>
      </c>
    </row>
    <row r="37" spans="2:9">
      <c r="B37" t="s">
        <v>4</v>
      </c>
      <c r="C37" t="e">
        <f>ROUND(AVERAGE(seed1!C37,seed2!C37,seed3!C37,seed4!C37,seed5!C37),4)</f>
        <v>#DIV/0!</v>
      </c>
      <c r="D37" t="e">
        <f>ROUND(AVERAGE(seed1!D37,seed2!D37,seed3!D37,seed4!D37,seed5!D37),4)</f>
        <v>#DIV/0!</v>
      </c>
      <c r="E37" t="e">
        <f>ROUND(AVERAGE(seed1!E37,seed2!E37,seed3!E37,seed4!E37,seed5!E37),4)</f>
        <v>#DIV/0!</v>
      </c>
      <c r="F37" t="e">
        <f>ROUND(AVERAGE(seed1!F37,seed2!F37,seed3!F37,seed4!F37,seed5!F37),4)</f>
        <v>#DIV/0!</v>
      </c>
      <c r="G37" t="e">
        <f>ROUND(AVERAGE(seed1!G37,seed2!G37,seed3!G37,seed4!G37,seed5!G37),4)</f>
        <v>#DIV/0!</v>
      </c>
      <c r="H37" t="e">
        <f>ROUND(AVERAGE(seed1!H37,seed2!H37,seed3!H37,seed4!H37,seed5!H37),4)</f>
        <v>#DIV/0!</v>
      </c>
      <c r="I37" t="e">
        <f>ROUND(AVERAGE(seed1!I37,seed2!I37,seed3!I37,seed4!I37,seed5!I37),4)</f>
        <v>#DIV/0!</v>
      </c>
    </row>
    <row r="38" spans="2:9">
      <c r="B38" s="2" t="s">
        <v>14</v>
      </c>
      <c r="C38" t="e">
        <f>ROUND(AVERAGE(C28,C31,C34),4)</f>
        <v>#DIV/0!</v>
      </c>
      <c r="D38" t="e">
        <f t="shared" ref="D38:I38" si="9">ROUND(AVERAGE(D28,D31,D34),4)</f>
        <v>#DIV/0!</v>
      </c>
      <c r="E38" t="e">
        <f t="shared" si="9"/>
        <v>#DIV/0!</v>
      </c>
      <c r="F38" t="e">
        <f t="shared" si="9"/>
        <v>#DIV/0!</v>
      </c>
      <c r="G38" t="e">
        <f t="shared" si="9"/>
        <v>#DIV/0!</v>
      </c>
      <c r="H38" t="e">
        <f t="shared" si="9"/>
        <v>#DIV/0!</v>
      </c>
      <c r="I38" t="e">
        <f t="shared" si="9"/>
        <v>#DIV/0!</v>
      </c>
    </row>
    <row r="39" spans="2:9">
      <c r="B39" t="s">
        <v>15</v>
      </c>
      <c r="C39" t="e">
        <f>ROUND(AVERAGE(seed1!C39,seed2!C39,seed3!C39,seed4!C39,seed5!C39),1)</f>
        <v>#DIV/0!</v>
      </c>
      <c r="D39" t="e">
        <f>ROUND(AVERAGE(seed1!D39,seed2!D39,seed3!D39,seed4!D39,seed5!D39),1)</f>
        <v>#DIV/0!</v>
      </c>
      <c r="E39" t="e">
        <f>ROUND(AVERAGE(seed1!E39,seed2!E39,seed3!E39,seed4!E39,seed5!E39),1)</f>
        <v>#DIV/0!</v>
      </c>
      <c r="F39" t="e">
        <f>ROUND(AVERAGE(seed1!F39,seed2!F39,seed3!F39,seed4!F39,seed5!F39),1)</f>
        <v>#DIV/0!</v>
      </c>
      <c r="G39" t="e">
        <f>ROUND(AVERAGE(seed1!G39,seed2!G39,seed3!G39,seed4!G39,seed5!G39),1)</f>
        <v>#DIV/0!</v>
      </c>
      <c r="H39" t="e">
        <f>ROUND(AVERAGE(seed1!H39,seed2!H39,seed3!H39,seed4!H39,seed5!H39),1)</f>
        <v>#DIV/0!</v>
      </c>
      <c r="I39" t="e">
        <f>ROUND(AVERAGE(seed1!I39,seed2!I39,seed3!I39,seed4!I39,seed5!I39),1)</f>
        <v>#DIV/0!</v>
      </c>
    </row>
    <row r="40" spans="2:9">
      <c r="B40" t="s">
        <v>16</v>
      </c>
      <c r="C40" t="e">
        <f>ROUND(AVERAGE(seed1!C40,seed2!C40,seed3!C40,seed4!C40,seed5!C40),1)</f>
        <v>#DIV/0!</v>
      </c>
      <c r="D40" t="e">
        <f>ROUND(AVERAGE(seed1!D40,seed2!D40,seed3!D40,seed4!D40,seed5!D40),1)</f>
        <v>#DIV/0!</v>
      </c>
      <c r="E40" t="e">
        <f>ROUND(AVERAGE(seed1!E40,seed2!E40,seed3!E40,seed4!E40,seed5!E40),1)</f>
        <v>#DIV/0!</v>
      </c>
      <c r="F40" t="e">
        <f>ROUND(AVERAGE(seed1!F40,seed2!F40,seed3!F40,seed4!F40,seed5!F40),1)</f>
        <v>#DIV/0!</v>
      </c>
      <c r="G40" t="e">
        <f>ROUND(AVERAGE(seed1!G40,seed2!G40,seed3!G40,seed4!G40,seed5!G40),1)</f>
        <v>#DIV/0!</v>
      </c>
      <c r="H40" t="e">
        <f>ROUND(AVERAGE(seed1!H40,seed2!H40,seed3!H40,seed4!H40,seed5!H40),1)</f>
        <v>#DIV/0!</v>
      </c>
      <c r="I40" t="e">
        <f>ROUND(AVERAGE(seed1!I40,seed2!I40,seed3!I40,seed4!I40,seed5!I40),1)</f>
        <v>#DIV/0!</v>
      </c>
    </row>
    <row r="41" spans="2:9">
      <c r="B41" t="s">
        <v>17</v>
      </c>
      <c r="C41" t="e">
        <f>ROUND(AVERAGE(seed1!C41,seed2!C41,seed3!C41,seed4!C41,seed5!C41),1)</f>
        <v>#DIV/0!</v>
      </c>
      <c r="D41" t="e">
        <f>ROUND(AVERAGE(seed1!D41,seed2!D41,seed3!D41,seed4!D41,seed5!D41),1)</f>
        <v>#DIV/0!</v>
      </c>
      <c r="E41" t="e">
        <f>ROUND(AVERAGE(seed1!E41,seed2!E41,seed3!E41,seed4!E41,seed5!E41),1)</f>
        <v>#DIV/0!</v>
      </c>
      <c r="F41" t="e">
        <f>ROUND(AVERAGE(seed1!F41,seed2!F41,seed3!F41,seed4!F41,seed5!F41),1)</f>
        <v>#DIV/0!</v>
      </c>
      <c r="G41" t="e">
        <f>ROUND(AVERAGE(seed1!G41,seed2!G41,seed3!G41,seed4!G41,seed5!G41),1)</f>
        <v>#DIV/0!</v>
      </c>
      <c r="H41" t="e">
        <f>ROUND(AVERAGE(seed1!H41,seed2!H41,seed3!H41,seed4!H41,seed5!H41),1)</f>
        <v>#DIV/0!</v>
      </c>
      <c r="I41" t="e">
        <f>ROUND(AVERAGE(seed1!I41,seed2!I41,seed3!I41,seed4!I41,seed5!I41),1)</f>
        <v>#DIV/0!</v>
      </c>
    </row>
    <row r="42" spans="2:9">
      <c r="B42" t="s">
        <v>18</v>
      </c>
      <c r="C42" t="e">
        <f>SUM(C39:C41)</f>
        <v>#DIV/0!</v>
      </c>
      <c r="D42" t="e">
        <f t="shared" ref="D42" si="10">SUM(D39:D41)</f>
        <v>#DIV/0!</v>
      </c>
      <c r="E42" t="e">
        <f t="shared" ref="E42" si="11">SUM(E39:E41)</f>
        <v>#DIV/0!</v>
      </c>
      <c r="F42" t="e">
        <f t="shared" ref="F42" si="12">SUM(F39:F41)</f>
        <v>#DIV/0!</v>
      </c>
      <c r="G42" t="e">
        <f t="shared" ref="G42" si="13">SUM(G39:G41)</f>
        <v>#DIV/0!</v>
      </c>
      <c r="H42" t="e">
        <f t="shared" ref="H42" si="14">SUM(H39:H41)</f>
        <v>#DIV/0!</v>
      </c>
      <c r="I42" t="e">
        <f t="shared" ref="I42" si="15">SUM(I39:I41)</f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seed4</vt:lpstr>
      <vt:lpstr>seed5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2025-12-12T13:52:34Z</dcterms:modified>
</cp:coreProperties>
</file>