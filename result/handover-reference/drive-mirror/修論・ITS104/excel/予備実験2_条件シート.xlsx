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mashi/Documents/研究パワポ/"/>
    </mc:Choice>
  </mc:AlternateContent>
  <xr:revisionPtr revIDLastSave="0" documentId="13_ncr:1_{7BF33BDA-FCCB-1741-90E2-68C02D54179E}" xr6:coauthVersionLast="47" xr6:coauthVersionMax="47" xr10:uidLastSave="{00000000-0000-0000-0000-000000000000}"/>
  <bookViews>
    <workbookView xWindow="0" yWindow="0" windowWidth="13360" windowHeight="18000" xr2:uid="{32A39B37-61C7-CF48-83AC-59FCA0D268E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2" i="2" l="1"/>
  <c r="U31" i="2"/>
  <c r="U32" i="2"/>
  <c r="U33" i="2"/>
  <c r="U34" i="2"/>
  <c r="U35" i="2"/>
  <c r="U36" i="2"/>
  <c r="U37" i="2"/>
  <c r="R37" i="2" s="1"/>
  <c r="U38" i="2"/>
  <c r="R38" i="2" s="1"/>
  <c r="U39" i="2"/>
  <c r="U40" i="2"/>
  <c r="R39" i="2"/>
  <c r="R31" i="2"/>
  <c r="T29" i="2"/>
  <c r="T30" i="2"/>
  <c r="T31" i="2"/>
  <c r="T32" i="2"/>
  <c r="T33" i="2"/>
  <c r="T34" i="2"/>
  <c r="T35" i="2"/>
  <c r="T36" i="2"/>
  <c r="T37" i="2"/>
  <c r="T38" i="2"/>
  <c r="T39" i="2"/>
  <c r="T40" i="2"/>
  <c r="R33" i="2"/>
  <c r="R40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5" i="2"/>
  <c r="U108" i="1"/>
  <c r="U110" i="1"/>
  <c r="U112" i="1"/>
  <c r="U114" i="1"/>
  <c r="U116" i="1"/>
  <c r="U118" i="1"/>
  <c r="U120" i="1"/>
  <c r="U122" i="1"/>
  <c r="U124" i="1"/>
  <c r="U126" i="1"/>
  <c r="U128" i="1"/>
  <c r="U130" i="1"/>
  <c r="U132" i="1"/>
  <c r="U134" i="1"/>
  <c r="U136" i="1"/>
  <c r="U138" i="1"/>
  <c r="U140" i="1"/>
  <c r="U142" i="1"/>
  <c r="U144" i="1"/>
  <c r="U146" i="1"/>
  <c r="U148" i="1"/>
  <c r="U150" i="1"/>
  <c r="U152" i="1"/>
  <c r="U154" i="1"/>
  <c r="U156" i="1"/>
  <c r="U158" i="1"/>
  <c r="U160" i="1"/>
  <c r="U162" i="1"/>
  <c r="U164" i="1"/>
  <c r="U166" i="1"/>
  <c r="U168" i="1"/>
  <c r="U170" i="1"/>
  <c r="U172" i="1"/>
  <c r="U174" i="1"/>
  <c r="U176" i="1"/>
  <c r="U178" i="1"/>
  <c r="U180" i="1"/>
  <c r="U182" i="1"/>
  <c r="U184" i="1"/>
  <c r="U186" i="1"/>
  <c r="U188" i="1"/>
  <c r="U190" i="1"/>
  <c r="U106" i="1"/>
  <c r="U44" i="1"/>
  <c r="U46" i="1"/>
  <c r="U48" i="1"/>
  <c r="U50" i="1"/>
  <c r="U52" i="1"/>
  <c r="U54" i="1"/>
  <c r="U56" i="1"/>
  <c r="U58" i="1"/>
  <c r="U60" i="1"/>
  <c r="U62" i="1"/>
  <c r="U64" i="1"/>
  <c r="U66" i="1"/>
  <c r="U68" i="1"/>
  <c r="U70" i="1"/>
  <c r="U72" i="1"/>
  <c r="U42" i="1"/>
  <c r="AA22" i="1"/>
  <c r="AA24" i="1"/>
  <c r="AA26" i="1"/>
  <c r="AA28" i="1"/>
  <c r="AA30" i="1"/>
  <c r="AA32" i="1"/>
  <c r="AA34" i="1"/>
  <c r="AA36" i="1"/>
  <c r="AA38" i="1"/>
  <c r="AA40" i="1"/>
  <c r="AA8" i="1"/>
  <c r="AA10" i="1"/>
  <c r="AA12" i="1"/>
  <c r="AA14" i="1"/>
  <c r="AA16" i="1"/>
  <c r="AA18" i="1"/>
  <c r="AA20" i="1"/>
  <c r="U20" i="1"/>
  <c r="U8" i="1"/>
  <c r="U10" i="1"/>
  <c r="U12" i="1"/>
  <c r="U14" i="1"/>
  <c r="U16" i="1"/>
  <c r="U18" i="1"/>
  <c r="AA6" i="1"/>
  <c r="U6" i="1"/>
  <c r="R36" i="2" l="1"/>
  <c r="R35" i="2"/>
  <c r="R34" i="2"/>
  <c r="R30" i="2"/>
</calcChain>
</file>

<file path=xl/sharedStrings.xml><?xml version="1.0" encoding="utf-8"?>
<sst xmlns="http://schemas.openxmlformats.org/spreadsheetml/2006/main" count="183" uniqueCount="162">
  <si>
    <t>実験条件リスト</t>
    <rPh sb="0" eb="2">
      <t>ジッケn</t>
    </rPh>
    <rPh sb="2" eb="4">
      <t>ジョウケn</t>
    </rPh>
    <phoneticPr fontId="1"/>
  </si>
  <si>
    <t>No</t>
    <phoneticPr fontId="1"/>
  </si>
  <si>
    <t>車両数</t>
    <rPh sb="0" eb="3">
      <t>シャリョウ</t>
    </rPh>
    <phoneticPr fontId="1"/>
  </si>
  <si>
    <t>1台目</t>
    <rPh sb="1" eb="3">
      <t>ダイメ</t>
    </rPh>
    <phoneticPr fontId="1"/>
  </si>
  <si>
    <t>2台目</t>
    <rPh sb="1" eb="3">
      <t>ダイメ</t>
    </rPh>
    <phoneticPr fontId="1"/>
  </si>
  <si>
    <t>3台目</t>
    <rPh sb="1" eb="3">
      <t>ダイメ</t>
    </rPh>
    <phoneticPr fontId="1"/>
  </si>
  <si>
    <t>4台目</t>
    <rPh sb="1" eb="3">
      <t>ダイメ</t>
    </rPh>
    <phoneticPr fontId="1"/>
  </si>
  <si>
    <t>5台目</t>
    <rPh sb="1" eb="3">
      <t>ダイメ</t>
    </rPh>
    <phoneticPr fontId="1"/>
  </si>
  <si>
    <t>合計</t>
    <rPh sb="0" eb="2">
      <t>ゴウケイ</t>
    </rPh>
    <phoneticPr fontId="1"/>
  </si>
  <si>
    <t>全車両</t>
    <rPh sb="0" eb="3">
      <t>ゼンシャリョウ</t>
    </rPh>
    <phoneticPr fontId="1"/>
  </si>
  <si>
    <t>平均速度</t>
    <rPh sb="0" eb="4">
      <t>ヘイキn</t>
    </rPh>
    <phoneticPr fontId="1"/>
  </si>
  <si>
    <t>合流</t>
    <rPh sb="0" eb="2">
      <t>ゴウリュウ</t>
    </rPh>
    <phoneticPr fontId="1"/>
  </si>
  <si>
    <t>本線</t>
    <rPh sb="0" eb="2">
      <t>ホンセn</t>
    </rPh>
    <phoneticPr fontId="1"/>
  </si>
  <si>
    <t>合流_進入時刻
交差点通過時刻</t>
    <rPh sb="0" eb="2">
      <t>ゴウリュウ</t>
    </rPh>
    <rPh sb="3" eb="7">
      <t>シンニュウ</t>
    </rPh>
    <rPh sb="7" eb="10">
      <t>コウサ</t>
    </rPh>
    <rPh sb="10" eb="14">
      <t>ツウカ</t>
    </rPh>
    <phoneticPr fontId="1"/>
  </si>
  <si>
    <t>本線_進入時刻
交差点通過時刻</t>
    <rPh sb="0" eb="2">
      <t>ホンセn</t>
    </rPh>
    <rPh sb="3" eb="7">
      <t>シンニュウ</t>
    </rPh>
    <rPh sb="7" eb="14">
      <t>コウサ</t>
    </rPh>
    <phoneticPr fontId="1"/>
  </si>
  <si>
    <t>4台目</t>
    <rPh sb="1" eb="2">
      <t xml:space="preserve">ダイ </t>
    </rPh>
    <rPh sb="2" eb="3">
      <t xml:space="preserve">メ </t>
    </rPh>
    <phoneticPr fontId="1"/>
  </si>
  <si>
    <t>本線_平均速度</t>
    <rPh sb="0" eb="2">
      <t>ホンセn</t>
    </rPh>
    <rPh sb="3" eb="7">
      <t>ヘイキn</t>
    </rPh>
    <phoneticPr fontId="1"/>
  </si>
  <si>
    <t>合流_平均速度</t>
    <rPh sb="0" eb="2">
      <t>ゴウリュウ</t>
    </rPh>
    <rPh sb="3" eb="7">
      <t>ヘイキn</t>
    </rPh>
    <phoneticPr fontId="1"/>
  </si>
  <si>
    <t>1.4.2</t>
    <phoneticPr fontId="1"/>
  </si>
  <si>
    <t>1.4.1</t>
    <phoneticPr fontId="1"/>
  </si>
  <si>
    <t>1.3.2</t>
    <phoneticPr fontId="1"/>
  </si>
  <si>
    <t>1.3.1</t>
    <phoneticPr fontId="1"/>
  </si>
  <si>
    <t>1.2.2</t>
    <phoneticPr fontId="1"/>
  </si>
  <si>
    <t>1.2.1</t>
    <phoneticPr fontId="1"/>
  </si>
  <si>
    <t>1.1.1</t>
    <phoneticPr fontId="1"/>
  </si>
  <si>
    <t>1.1.2</t>
    <phoneticPr fontId="1"/>
  </si>
  <si>
    <t>2.1.1</t>
    <phoneticPr fontId="1"/>
  </si>
  <si>
    <t>2.1.2</t>
    <phoneticPr fontId="1"/>
  </si>
  <si>
    <t>2.1.3</t>
    <phoneticPr fontId="1"/>
  </si>
  <si>
    <t>2.2.1</t>
    <phoneticPr fontId="1"/>
  </si>
  <si>
    <t>2.2.2</t>
    <phoneticPr fontId="1"/>
  </si>
  <si>
    <t>2.2.3</t>
    <phoneticPr fontId="1"/>
  </si>
  <si>
    <t>2.3.1</t>
    <phoneticPr fontId="1"/>
  </si>
  <si>
    <t>2.3.2</t>
    <phoneticPr fontId="1"/>
  </si>
  <si>
    <t>2.4.1</t>
    <phoneticPr fontId="1"/>
  </si>
  <si>
    <t>2.4.2</t>
    <phoneticPr fontId="1"/>
  </si>
  <si>
    <t>2と3は対照的な実験</t>
    <rPh sb="4" eb="7">
      <t>タイセィオ</t>
    </rPh>
    <rPh sb="8" eb="10">
      <t>ジッケn</t>
    </rPh>
    <phoneticPr fontId="1"/>
  </si>
  <si>
    <t>本線/合流による差は生じる？（今回の条件的には差はないはず）</t>
    <rPh sb="0" eb="2">
      <t>ホンセn</t>
    </rPh>
    <rPh sb="3" eb="5">
      <t>ゴウリュウニヨル</t>
    </rPh>
    <rPh sb="8" eb="9">
      <t>サハ</t>
    </rPh>
    <rPh sb="10" eb="11">
      <t>ショウジル</t>
    </rPh>
    <rPh sb="15" eb="17">
      <t>コンカイ</t>
    </rPh>
    <rPh sb="23" eb="24">
      <t>サハ</t>
    </rPh>
    <phoneticPr fontId="1"/>
  </si>
  <si>
    <t>3.1.1</t>
    <phoneticPr fontId="1"/>
  </si>
  <si>
    <t>3.1.2</t>
    <phoneticPr fontId="1"/>
  </si>
  <si>
    <t>3.1.3</t>
    <phoneticPr fontId="1"/>
  </si>
  <si>
    <t>3.2.1</t>
    <phoneticPr fontId="1"/>
  </si>
  <si>
    <t>3.2.2</t>
    <phoneticPr fontId="1"/>
  </si>
  <si>
    <t>3.2.3</t>
    <phoneticPr fontId="1"/>
  </si>
  <si>
    <t>3.3.1</t>
    <phoneticPr fontId="1"/>
  </si>
  <si>
    <t>3.3.2</t>
    <phoneticPr fontId="1"/>
  </si>
  <si>
    <t>3.4.1</t>
    <phoneticPr fontId="1"/>
  </si>
  <si>
    <t>3.4.2</t>
    <phoneticPr fontId="1"/>
  </si>
  <si>
    <t>3.5.1</t>
    <phoneticPr fontId="1"/>
  </si>
  <si>
    <t>3.5.2</t>
    <phoneticPr fontId="1"/>
  </si>
  <si>
    <t>3.5.3</t>
    <phoneticPr fontId="1"/>
  </si>
  <si>
    <t>3.6.1</t>
    <phoneticPr fontId="1"/>
  </si>
  <si>
    <t>3.6.2</t>
    <phoneticPr fontId="1"/>
  </si>
  <si>
    <t>3.6.3</t>
    <phoneticPr fontId="1"/>
  </si>
  <si>
    <t>4.1.1</t>
    <phoneticPr fontId="1"/>
  </si>
  <si>
    <t>4.1.2</t>
    <phoneticPr fontId="1"/>
  </si>
  <si>
    <t>4.1.3</t>
    <phoneticPr fontId="1"/>
  </si>
  <si>
    <t>4.1.4</t>
    <phoneticPr fontId="1"/>
  </si>
  <si>
    <t>4.2.1</t>
    <phoneticPr fontId="1"/>
  </si>
  <si>
    <t>4.2.2</t>
    <phoneticPr fontId="1"/>
  </si>
  <si>
    <t>4.2.3</t>
    <phoneticPr fontId="1"/>
  </si>
  <si>
    <t>4.2.4</t>
    <phoneticPr fontId="1"/>
  </si>
  <si>
    <t>4.3.1</t>
    <phoneticPr fontId="1"/>
  </si>
  <si>
    <t>4.3.2</t>
    <phoneticPr fontId="1"/>
  </si>
  <si>
    <t>4.3.3</t>
    <phoneticPr fontId="1"/>
  </si>
  <si>
    <t>4.3.4</t>
    <phoneticPr fontId="1"/>
  </si>
  <si>
    <t>4.4.1</t>
    <phoneticPr fontId="1"/>
  </si>
  <si>
    <t>4.4.2</t>
    <phoneticPr fontId="1"/>
  </si>
  <si>
    <t>4.4.3</t>
    <phoneticPr fontId="1"/>
  </si>
  <si>
    <t>4.4.4</t>
    <phoneticPr fontId="1"/>
  </si>
  <si>
    <t>5.1.1</t>
    <phoneticPr fontId="1"/>
  </si>
  <si>
    <t>5.1.2</t>
    <phoneticPr fontId="1"/>
  </si>
  <si>
    <t>5.1.3</t>
    <phoneticPr fontId="1"/>
  </si>
  <si>
    <t>5.1.4</t>
    <phoneticPr fontId="1"/>
  </si>
  <si>
    <t>5.2.1</t>
    <phoneticPr fontId="1"/>
  </si>
  <si>
    <t>5.2.2</t>
    <phoneticPr fontId="1"/>
  </si>
  <si>
    <t>5.2.3</t>
    <phoneticPr fontId="1"/>
  </si>
  <si>
    <t>5.2.4</t>
    <phoneticPr fontId="1"/>
  </si>
  <si>
    <t>5.3.1</t>
    <phoneticPr fontId="1"/>
  </si>
  <si>
    <t>5.3.2</t>
    <phoneticPr fontId="1"/>
  </si>
  <si>
    <t>5.3.3</t>
    <phoneticPr fontId="1"/>
  </si>
  <si>
    <t>5.3.4</t>
    <phoneticPr fontId="1"/>
  </si>
  <si>
    <t>5.4.1</t>
    <phoneticPr fontId="1"/>
  </si>
  <si>
    <t>5.4.2</t>
    <phoneticPr fontId="1"/>
  </si>
  <si>
    <t>5.4.3</t>
    <phoneticPr fontId="1"/>
  </si>
  <si>
    <t>5.4.4</t>
    <phoneticPr fontId="1"/>
  </si>
  <si>
    <t>5.5.1</t>
    <phoneticPr fontId="1"/>
  </si>
  <si>
    <t>5.5.2</t>
    <phoneticPr fontId="1"/>
  </si>
  <si>
    <t>5.5.3</t>
    <phoneticPr fontId="1"/>
  </si>
  <si>
    <t>5.5.4</t>
    <phoneticPr fontId="1"/>
  </si>
  <si>
    <t>5.6.1</t>
    <phoneticPr fontId="1"/>
  </si>
  <si>
    <t>5.6.2</t>
    <phoneticPr fontId="1"/>
  </si>
  <si>
    <t>5.6.3</t>
    <phoneticPr fontId="1"/>
  </si>
  <si>
    <t>5.6.4</t>
    <phoneticPr fontId="1"/>
  </si>
  <si>
    <t>合流と本線に差がありそうだったら</t>
    <rPh sb="0" eb="2">
      <t>ゴウリュウ</t>
    </rPh>
    <rPh sb="3" eb="5">
      <t>ホンセn</t>
    </rPh>
    <rPh sb="6" eb="7">
      <t>サガアリ</t>
    </rPh>
    <phoneticPr fontId="1"/>
  </si>
  <si>
    <t>6.1.1</t>
    <phoneticPr fontId="1"/>
  </si>
  <si>
    <t>6.1.2</t>
    <phoneticPr fontId="1"/>
  </si>
  <si>
    <t>6.1.3</t>
    <phoneticPr fontId="1"/>
  </si>
  <si>
    <t>6.1.4</t>
    <phoneticPr fontId="1"/>
  </si>
  <si>
    <t>6.2.1</t>
    <phoneticPr fontId="1"/>
  </si>
  <si>
    <t>6.2.2</t>
    <phoneticPr fontId="1"/>
  </si>
  <si>
    <t>6.2.3</t>
    <phoneticPr fontId="1"/>
  </si>
  <si>
    <t>6.2.4</t>
    <phoneticPr fontId="1"/>
  </si>
  <si>
    <t>6.2.5</t>
    <phoneticPr fontId="1"/>
  </si>
  <si>
    <t>6.3.1</t>
    <phoneticPr fontId="1"/>
  </si>
  <si>
    <t>6.3.2</t>
    <phoneticPr fontId="1"/>
  </si>
  <si>
    <t>6.3.3</t>
    <phoneticPr fontId="1"/>
  </si>
  <si>
    <t>6.3.4</t>
    <phoneticPr fontId="1"/>
  </si>
  <si>
    <t>6.3.5</t>
    <phoneticPr fontId="1"/>
  </si>
  <si>
    <t>6.4.2</t>
    <phoneticPr fontId="1"/>
  </si>
  <si>
    <t>6.4.3</t>
    <phoneticPr fontId="1"/>
  </si>
  <si>
    <t>6.4.4</t>
    <phoneticPr fontId="1"/>
  </si>
  <si>
    <t>6.4.5</t>
    <phoneticPr fontId="1"/>
  </si>
  <si>
    <t>6.4.1</t>
    <phoneticPr fontId="1"/>
  </si>
  <si>
    <t>これもオプション</t>
    <phoneticPr fontId="1"/>
  </si>
  <si>
    <t>7.1.1</t>
    <phoneticPr fontId="1"/>
  </si>
  <si>
    <t>7.1.2</t>
    <phoneticPr fontId="1"/>
  </si>
  <si>
    <t>7.1.3</t>
    <phoneticPr fontId="1"/>
  </si>
  <si>
    <t>7.1.4</t>
    <phoneticPr fontId="1"/>
  </si>
  <si>
    <t>7.1.5</t>
    <phoneticPr fontId="1"/>
  </si>
  <si>
    <t>7.1.6</t>
    <phoneticPr fontId="1"/>
  </si>
  <si>
    <t>7.1.7</t>
    <phoneticPr fontId="1"/>
  </si>
  <si>
    <t>7.1.8</t>
    <phoneticPr fontId="1"/>
  </si>
  <si>
    <t>7.2.1</t>
    <phoneticPr fontId="1"/>
  </si>
  <si>
    <t>7.2.2</t>
    <phoneticPr fontId="1"/>
  </si>
  <si>
    <t>7.2.3</t>
    <phoneticPr fontId="1"/>
  </si>
  <si>
    <t>7.2.4</t>
    <phoneticPr fontId="1"/>
  </si>
  <si>
    <t>7.2.5</t>
    <phoneticPr fontId="1"/>
  </si>
  <si>
    <t>7.2.6</t>
    <phoneticPr fontId="1"/>
  </si>
  <si>
    <t>7.2.7</t>
    <phoneticPr fontId="1"/>
  </si>
  <si>
    <t>7.2.8</t>
    <phoneticPr fontId="1"/>
  </si>
  <si>
    <t>7.3.1</t>
    <phoneticPr fontId="1"/>
  </si>
  <si>
    <t>7.3.2</t>
    <phoneticPr fontId="1"/>
  </si>
  <si>
    <t>7.3.3</t>
    <phoneticPr fontId="1"/>
  </si>
  <si>
    <t>7.3.4</t>
    <phoneticPr fontId="1"/>
  </si>
  <si>
    <t>7.3.5</t>
    <phoneticPr fontId="1"/>
  </si>
  <si>
    <t>7.3.6</t>
    <phoneticPr fontId="1"/>
  </si>
  <si>
    <t>7.3.7</t>
    <phoneticPr fontId="1"/>
  </si>
  <si>
    <t>7.3.8</t>
    <phoneticPr fontId="1"/>
  </si>
  <si>
    <t>初速6.00</t>
    <rPh sb="0" eb="2">
      <t>ショソク</t>
    </rPh>
    <phoneticPr fontId="1"/>
  </si>
  <si>
    <t>以降車間目標</t>
    <rPh sb="0" eb="2">
      <t>イコウ</t>
    </rPh>
    <rPh sb="2" eb="4">
      <t>シャカn</t>
    </rPh>
    <rPh sb="4" eb="6">
      <t>モクヒョウ</t>
    </rPh>
    <phoneticPr fontId="1"/>
  </si>
  <si>
    <t>1.5秒</t>
    <rPh sb="3" eb="4">
      <t>ビョウ</t>
    </rPh>
    <phoneticPr fontId="1"/>
  </si>
  <si>
    <t>合流2台先行の場合</t>
    <rPh sb="0" eb="2">
      <t>ゴウリュウ</t>
    </rPh>
    <rPh sb="3" eb="4">
      <t xml:space="preserve">ダイ </t>
    </rPh>
    <rPh sb="4" eb="6">
      <t>センコウ</t>
    </rPh>
    <phoneticPr fontId="1"/>
  </si>
  <si>
    <t>合流：10.07</t>
    <rPh sb="0" eb="1">
      <t>ゴウリュウ</t>
    </rPh>
    <phoneticPr fontId="1"/>
  </si>
  <si>
    <t>本線：9.018</t>
    <rPh sb="0" eb="2">
      <t>ホンセn</t>
    </rPh>
    <phoneticPr fontId="1"/>
  </si>
  <si>
    <t>合計：9.515</t>
    <rPh sb="0" eb="2">
      <t>ゴウケイ</t>
    </rPh>
    <phoneticPr fontId="1"/>
  </si>
  <si>
    <t>本線：9.18</t>
    <rPh sb="0" eb="2">
      <t>ホンセn</t>
    </rPh>
    <phoneticPr fontId="1"/>
  </si>
  <si>
    <t>合計：9.604</t>
    <rPh sb="0" eb="1">
      <t>ゴウケイ</t>
    </rPh>
    <phoneticPr fontId="1"/>
  </si>
  <si>
    <t>0台</t>
    <rPh sb="1" eb="2">
      <t xml:space="preserve">ダイ </t>
    </rPh>
    <phoneticPr fontId="1"/>
  </si>
  <si>
    <t>1台</t>
    <rPh sb="1" eb="2">
      <t xml:space="preserve">ダイ </t>
    </rPh>
    <phoneticPr fontId="1"/>
  </si>
  <si>
    <t>2台</t>
    <rPh sb="1" eb="2">
      <t xml:space="preserve">ダイ </t>
    </rPh>
    <phoneticPr fontId="1"/>
  </si>
  <si>
    <t>3台以上</t>
    <rPh sb="1" eb="2">
      <t xml:space="preserve">ダイ </t>
    </rPh>
    <rPh sb="2" eb="4">
      <t>イジョウ</t>
    </rPh>
    <phoneticPr fontId="1"/>
  </si>
  <si>
    <t>2秒(約20m)</t>
    <rPh sb="1" eb="2">
      <t>ビョウ</t>
    </rPh>
    <phoneticPr fontId="1"/>
  </si>
  <si>
    <t>3秒(約30m)</t>
    <rPh sb="1" eb="2">
      <t>ビョウ</t>
    </rPh>
    <phoneticPr fontId="1"/>
  </si>
  <si>
    <t>後続車両</t>
    <rPh sb="0" eb="2">
      <t>コウゾク</t>
    </rPh>
    <rPh sb="2" eb="4">
      <t>シャリョウ</t>
    </rPh>
    <phoneticPr fontId="1"/>
  </si>
  <si>
    <t>台数</t>
    <rPh sb="0" eb="2">
      <t>ダイスウ</t>
    </rPh>
    <phoneticPr fontId="1"/>
  </si>
  <si>
    <t>距離</t>
    <phoneticPr fontId="1"/>
  </si>
  <si>
    <t>←自分優先</t>
    <rPh sb="1" eb="5">
      <t>ジブn</t>
    </rPh>
    <phoneticPr fontId="1"/>
  </si>
  <si>
    <t>相手優先→</t>
    <rPh sb="0" eb="4">
      <t>アイテ</t>
    </rPh>
    <phoneticPr fontId="1"/>
  </si>
  <si>
    <t>判断</t>
    <rPh sb="0" eb="2">
      <t>ハンダn</t>
    </rPh>
    <phoneticPr fontId="1"/>
  </si>
  <si>
    <t>衝突回避</t>
    <rPh sb="0" eb="4">
      <t>ショウトテゥ</t>
    </rPh>
    <phoneticPr fontId="1"/>
  </si>
  <si>
    <t>前方車両</t>
    <rPh sb="0" eb="4">
      <t>ゼンポウ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</si>
</sst>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sz val="12"/>
      <color rgb="FFC00000"/>
      <name val="游ゴシック"/>
      <family val="2"/>
      <charset val="128"/>
      <scheme val="minor"/>
    </font>
    <font>
      <sz val="12"/>
      <color rgb="FFFFC000"/>
      <name val="游ゴシック"/>
      <family val="2"/>
      <charset val="128"/>
      <scheme val="minor"/>
    </font>
    <font>
      <sz val="12"/>
      <color rgb="FFFFFF00"/>
      <name val="游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5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2" borderId="9" xfId="0" applyFill="1" applyBorder="1">
      <alignment vertical="center"/>
    </xf>
    <xf numFmtId="0" fontId="0" fillId="0" borderId="10" xfId="0" applyBorder="1">
      <alignment vertical="center"/>
    </xf>
    <xf numFmtId="0" fontId="0" fillId="2" borderId="7" xfId="0" applyFill="1" applyBorder="1">
      <alignment vertical="center"/>
    </xf>
    <xf numFmtId="0" fontId="0" fillId="7" borderId="6" xfId="0" applyFill="1" applyBorder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Sheet2!$Q$5:$Q$35</c:f>
              <c:numCache>
                <c:formatCode>General</c:formatCode>
                <c:ptCount val="3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</c:numCache>
            </c:numRef>
          </c:xVal>
          <c:yVal>
            <c:numRef>
              <c:f>Sheet2!$R$5:$R$35</c:f>
              <c:numCache>
                <c:formatCode>General</c:formatCode>
                <c:ptCount val="31"/>
                <c:pt idx="0">
                  <c:v>5.125</c:v>
                </c:pt>
                <c:pt idx="1">
                  <c:v>4.4849999999999994</c:v>
                </c:pt>
                <c:pt idx="2">
                  <c:v>3.8850000000000007</c:v>
                </c:pt>
                <c:pt idx="3">
                  <c:v>3.3250000000000002</c:v>
                </c:pt>
                <c:pt idx="4">
                  <c:v>2.8050000000000006</c:v>
                </c:pt>
                <c:pt idx="5">
                  <c:v>2.3250000000000002</c:v>
                </c:pt>
                <c:pt idx="6">
                  <c:v>1.8849999999999996</c:v>
                </c:pt>
                <c:pt idx="7">
                  <c:v>1.4850000000000001</c:v>
                </c:pt>
                <c:pt idx="8">
                  <c:v>1.125</c:v>
                </c:pt>
                <c:pt idx="9">
                  <c:v>0.80499999999999983</c:v>
                </c:pt>
                <c:pt idx="10">
                  <c:v>0.52500000000000002</c:v>
                </c:pt>
                <c:pt idx="11">
                  <c:v>0.28499999999999981</c:v>
                </c:pt>
                <c:pt idx="12">
                  <c:v>8.5000000000000075E-2</c:v>
                </c:pt>
                <c:pt idx="13">
                  <c:v>-7.5000000000000067E-2</c:v>
                </c:pt>
                <c:pt idx="14">
                  <c:v>-0.19499999999999992</c:v>
                </c:pt>
                <c:pt idx="15">
                  <c:v>-0.27500000000000002</c:v>
                </c:pt>
                <c:pt idx="16">
                  <c:v>-0.31500000000000006</c:v>
                </c:pt>
                <c:pt idx="17">
                  <c:v>-0.31500000000000006</c:v>
                </c:pt>
                <c:pt idx="18">
                  <c:v>-0.27500000000000002</c:v>
                </c:pt>
                <c:pt idx="19">
                  <c:v>-0.19500000000000003</c:v>
                </c:pt>
                <c:pt idx="20">
                  <c:v>-7.4999999999999956E-2</c:v>
                </c:pt>
                <c:pt idx="21">
                  <c:v>8.5000000000000214E-2</c:v>
                </c:pt>
                <c:pt idx="22">
                  <c:v>0.28500000000000042</c:v>
                </c:pt>
                <c:pt idx="23">
                  <c:v>0.52499999999999958</c:v>
                </c:pt>
                <c:pt idx="24">
                  <c:v>0.80499999999999972</c:v>
                </c:pt>
                <c:pt idx="25">
                  <c:v>0.97499999999999998</c:v>
                </c:pt>
                <c:pt idx="26">
                  <c:v>0.96777442494833821</c:v>
                </c:pt>
                <c:pt idx="27">
                  <c:v>0.88892021690038359</c:v>
                </c:pt>
                <c:pt idx="28">
                  <c:v>0.88044467966324103</c:v>
                </c:pt>
                <c:pt idx="29">
                  <c:v>0.93679606750063016</c:v>
                </c:pt>
                <c:pt idx="30">
                  <c:v>1.0539321881345245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C8-624A-9133-A36F0CF57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7793215"/>
        <c:axId val="1716915216"/>
      </c:scatterChart>
      <c:valAx>
        <c:axId val="1047793215"/>
        <c:scaling>
          <c:orientation val="minMax"/>
          <c:max val="6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400"/>
                  <a:t>車間時間</a:t>
                </a:r>
                <a:r>
                  <a:rPr lang="en-US" altLang="ja-JP" sz="1400"/>
                  <a:t> [s]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16915216"/>
        <c:crosses val="autoZero"/>
        <c:crossBetween val="midCat"/>
      </c:valAx>
      <c:valAx>
        <c:axId val="171691521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400"/>
                  <a:t>後続係数</a:t>
                </a:r>
                <a:r>
                  <a:rPr lang="en-US" altLang="ja-JP" sz="1400"/>
                  <a:t> </a:t>
                </a:r>
                <a:r>
                  <a:rPr lang="en-US" altLang="ja-JP" sz="1400" i="1"/>
                  <a:t>R</a:t>
                </a:r>
                <a:endParaRPr lang="ja-JP" altLang="en-US" sz="1400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793215"/>
        <c:crosses val="autoZero"/>
        <c:crossBetween val="midCat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673100</xdr:colOff>
      <xdr:row>24</xdr:row>
      <xdr:rowOff>76200</xdr:rowOff>
    </xdr:from>
    <xdr:to>
      <xdr:col>14</xdr:col>
      <xdr:colOff>279400</xdr:colOff>
      <xdr:row>35</xdr:row>
      <xdr:rowOff>25400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10B6DB8-F079-26E8-04F6-0EDC212CC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CA43A-8E7D-A44D-9547-93851D45D986}">
  <dimension ref="A2:AE273"/>
  <sheetViews>
    <sheetView tabSelected="1" zoomScaleNormal="100" workbookViewId="0">
      <pane xSplit="2" ySplit="5" topLeftCell="W54" activePane="bottomRight" state="frozen"/>
      <selection pane="topRight" activeCell="C1" sqref="C1"/>
      <selection pane="bottomLeft" activeCell="A6" sqref="A6"/>
      <selection pane="bottomRight" activeCell="C6" sqref="C6:C7"/>
    </sheetView>
  </sheetViews>
  <sheetFormatPr baseColWidth="10" defaultRowHeight="20"/>
  <cols>
    <col min="3" max="4" width="9.42578125" customWidth="1"/>
    <col min="5" max="14" width="5.5703125" customWidth="1"/>
    <col min="15" max="15" width="2.42578125" customWidth="1"/>
    <col min="16" max="28" width="7.140625" customWidth="1"/>
  </cols>
  <sheetData>
    <row r="2" spans="2:28">
      <c r="B2" t="s">
        <v>0</v>
      </c>
    </row>
    <row r="4" spans="2:28" ht="41" customHeight="1">
      <c r="B4" t="s">
        <v>1</v>
      </c>
      <c r="C4" s="19" t="s">
        <v>2</v>
      </c>
      <c r="D4" s="19"/>
      <c r="E4" s="23" t="s">
        <v>13</v>
      </c>
      <c r="F4" s="23"/>
      <c r="G4" s="23"/>
      <c r="H4" s="19"/>
      <c r="I4" s="19"/>
      <c r="J4" s="23" t="s">
        <v>14</v>
      </c>
      <c r="K4" s="19"/>
      <c r="L4" s="19"/>
      <c r="M4" s="19"/>
      <c r="N4" s="19"/>
      <c r="O4" s="1"/>
      <c r="P4" s="19" t="s">
        <v>17</v>
      </c>
      <c r="Q4" s="19"/>
      <c r="R4" s="19"/>
      <c r="S4" s="19"/>
      <c r="T4" s="19"/>
      <c r="U4" s="19"/>
      <c r="V4" s="19" t="s">
        <v>16</v>
      </c>
      <c r="W4" s="19"/>
      <c r="X4" s="19"/>
      <c r="Y4" s="19"/>
      <c r="Z4" s="19"/>
      <c r="AA4" s="19"/>
      <c r="AB4" t="s">
        <v>9</v>
      </c>
    </row>
    <row r="5" spans="2:28">
      <c r="C5" t="s">
        <v>11</v>
      </c>
      <c r="D5" t="s">
        <v>12</v>
      </c>
      <c r="E5" t="s">
        <v>3</v>
      </c>
      <c r="F5" t="s">
        <v>4</v>
      </c>
      <c r="G5" t="s">
        <v>5</v>
      </c>
      <c r="H5" t="s">
        <v>15</v>
      </c>
      <c r="I5" t="s">
        <v>7</v>
      </c>
      <c r="J5" t="s">
        <v>3</v>
      </c>
      <c r="K5" t="s">
        <v>4</v>
      </c>
      <c r="L5" t="s">
        <v>5</v>
      </c>
      <c r="M5" t="s">
        <v>6</v>
      </c>
      <c r="N5" t="s">
        <v>7</v>
      </c>
      <c r="P5" t="s">
        <v>3</v>
      </c>
      <c r="Q5" t="s">
        <v>4</v>
      </c>
      <c r="R5" t="s">
        <v>5</v>
      </c>
      <c r="S5" t="s">
        <v>6</v>
      </c>
      <c r="T5" t="s">
        <v>7</v>
      </c>
      <c r="U5" t="s">
        <v>8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8</v>
      </c>
      <c r="AB5" t="s">
        <v>10</v>
      </c>
    </row>
    <row r="6" spans="2:28">
      <c r="B6" s="19" t="s">
        <v>24</v>
      </c>
      <c r="C6" s="19">
        <v>1</v>
      </c>
      <c r="D6" s="19">
        <v>1</v>
      </c>
      <c r="E6">
        <v>1</v>
      </c>
      <c r="J6">
        <v>1</v>
      </c>
      <c r="P6" s="19">
        <v>9.4440000000000008</v>
      </c>
      <c r="Q6" s="19"/>
      <c r="R6" s="19"/>
      <c r="S6" s="19"/>
      <c r="T6" s="19"/>
      <c r="U6" s="19">
        <f>P6</f>
        <v>9.4440000000000008</v>
      </c>
      <c r="V6" s="19">
        <v>10.096</v>
      </c>
      <c r="W6" s="19"/>
      <c r="X6" s="19"/>
      <c r="Y6" s="19"/>
      <c r="Z6" s="19"/>
      <c r="AA6" s="19">
        <f>V6</f>
        <v>10.096</v>
      </c>
      <c r="AB6" s="24">
        <v>9.7639999999999993</v>
      </c>
    </row>
    <row r="7" spans="2:28">
      <c r="B7" s="19"/>
      <c r="C7" s="19"/>
      <c r="D7" s="19"/>
      <c r="E7">
        <v>16</v>
      </c>
      <c r="J7">
        <v>14</v>
      </c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24"/>
    </row>
    <row r="8" spans="2:28">
      <c r="B8" s="19" t="s">
        <v>25</v>
      </c>
      <c r="C8" s="19">
        <v>1</v>
      </c>
      <c r="D8" s="19">
        <v>1</v>
      </c>
      <c r="E8">
        <v>1</v>
      </c>
      <c r="J8">
        <v>1</v>
      </c>
      <c r="P8" s="19">
        <v>10.119999999999999</v>
      </c>
      <c r="Q8" s="19"/>
      <c r="R8" s="19"/>
      <c r="S8" s="19"/>
      <c r="T8" s="19"/>
      <c r="U8" s="19">
        <f t="shared" ref="U8" si="0">P8</f>
        <v>10.119999999999999</v>
      </c>
      <c r="V8" s="19">
        <v>9.423</v>
      </c>
      <c r="W8" s="19"/>
      <c r="X8" s="19"/>
      <c r="Y8" s="19"/>
      <c r="Z8" s="19"/>
      <c r="AA8" s="19">
        <f t="shared" ref="AA8" si="1">V8</f>
        <v>9.423</v>
      </c>
      <c r="AB8" s="24">
        <v>9.7650000000000006</v>
      </c>
    </row>
    <row r="9" spans="2:28">
      <c r="B9" s="19"/>
      <c r="C9" s="19"/>
      <c r="D9" s="19"/>
      <c r="E9">
        <v>14</v>
      </c>
      <c r="J9" s="2">
        <v>16</v>
      </c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24"/>
    </row>
    <row r="10" spans="2:28">
      <c r="B10" s="19" t="s">
        <v>23</v>
      </c>
      <c r="C10" s="19">
        <v>1</v>
      </c>
      <c r="D10" s="19">
        <v>1</v>
      </c>
      <c r="E10">
        <v>1</v>
      </c>
      <c r="J10">
        <v>2</v>
      </c>
      <c r="P10" s="19">
        <v>9.1189999999999998</v>
      </c>
      <c r="Q10" s="19"/>
      <c r="R10" s="19"/>
      <c r="S10" s="19"/>
      <c r="T10" s="19"/>
      <c r="U10" s="19">
        <f t="shared" ref="U10" si="2">P10</f>
        <v>9.1189999999999998</v>
      </c>
      <c r="V10" s="19">
        <v>10.119999999999999</v>
      </c>
      <c r="W10" s="19"/>
      <c r="X10" s="19"/>
      <c r="Y10" s="19"/>
      <c r="Z10" s="19"/>
      <c r="AA10" s="19">
        <f t="shared" ref="AA10" si="3">V10</f>
        <v>10.119999999999999</v>
      </c>
      <c r="AB10" s="19">
        <v>9.5909999999999993</v>
      </c>
    </row>
    <row r="11" spans="2:28">
      <c r="B11" s="19"/>
      <c r="C11" s="19"/>
      <c r="D11" s="19"/>
      <c r="E11">
        <v>17</v>
      </c>
      <c r="J11">
        <v>15</v>
      </c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2:28">
      <c r="B12" s="19" t="s">
        <v>22</v>
      </c>
      <c r="C12" s="19">
        <v>1</v>
      </c>
      <c r="D12" s="19">
        <v>1</v>
      </c>
      <c r="E12">
        <v>1</v>
      </c>
      <c r="J12">
        <v>2</v>
      </c>
      <c r="P12" s="19">
        <v>10.119999999999999</v>
      </c>
      <c r="Q12" s="19"/>
      <c r="R12" s="19"/>
      <c r="S12" s="19"/>
      <c r="T12" s="19"/>
      <c r="U12" s="19">
        <f t="shared" ref="U12" si="4">P12</f>
        <v>10.119999999999999</v>
      </c>
      <c r="V12" s="19">
        <v>9.7989999999999995</v>
      </c>
      <c r="W12" s="19"/>
      <c r="X12" s="19"/>
      <c r="Y12" s="19"/>
      <c r="Z12" s="19"/>
      <c r="AA12" s="19">
        <f t="shared" ref="AA12" si="5">V12</f>
        <v>9.7989999999999995</v>
      </c>
      <c r="AB12" s="20">
        <v>9.9589999999999996</v>
      </c>
    </row>
    <row r="13" spans="2:28">
      <c r="B13" s="19"/>
      <c r="C13" s="19"/>
      <c r="D13" s="19"/>
      <c r="E13">
        <v>14</v>
      </c>
      <c r="J13" s="2">
        <v>16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20"/>
    </row>
    <row r="14" spans="2:28">
      <c r="B14" s="19" t="s">
        <v>21</v>
      </c>
      <c r="C14" s="19">
        <v>1</v>
      </c>
      <c r="D14" s="19">
        <v>1</v>
      </c>
      <c r="E14">
        <v>1</v>
      </c>
      <c r="F14" t="s">
        <v>139</v>
      </c>
      <c r="J14">
        <v>3</v>
      </c>
      <c r="P14" s="19">
        <v>8.61</v>
      </c>
      <c r="Q14" s="19"/>
      <c r="R14" s="19"/>
      <c r="S14" s="19"/>
      <c r="T14" s="19"/>
      <c r="U14" s="19">
        <f t="shared" ref="U14" si="6">P14</f>
        <v>8.61</v>
      </c>
      <c r="V14" s="19">
        <v>10.023999999999999</v>
      </c>
      <c r="W14" s="19"/>
      <c r="X14" s="19"/>
      <c r="Y14" s="19"/>
      <c r="Z14" s="19"/>
      <c r="AA14" s="19">
        <f t="shared" ref="AA14" si="7">V14</f>
        <v>10.023999999999999</v>
      </c>
      <c r="AB14" s="19">
        <v>9.2650000000000006</v>
      </c>
    </row>
    <row r="15" spans="2:28">
      <c r="B15" s="19"/>
      <c r="C15" s="19"/>
      <c r="D15" s="19"/>
      <c r="E15">
        <v>18</v>
      </c>
      <c r="J15">
        <v>16</v>
      </c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2:28">
      <c r="B16" s="19" t="s">
        <v>20</v>
      </c>
      <c r="C16" s="19">
        <v>1</v>
      </c>
      <c r="D16" s="19">
        <v>1</v>
      </c>
      <c r="E16">
        <v>1</v>
      </c>
      <c r="J16">
        <v>3</v>
      </c>
      <c r="P16" s="19">
        <v>10.119999999999999</v>
      </c>
      <c r="Q16" s="19"/>
      <c r="R16" s="19"/>
      <c r="S16" s="19"/>
      <c r="T16" s="19"/>
      <c r="U16" s="19">
        <f t="shared" ref="U16" si="8">P16</f>
        <v>10.119999999999999</v>
      </c>
      <c r="V16" s="19">
        <v>10.023999999999999</v>
      </c>
      <c r="W16" s="19"/>
      <c r="X16" s="19"/>
      <c r="Y16" s="19"/>
      <c r="Z16" s="19"/>
      <c r="AA16" s="19">
        <f t="shared" ref="AA16" si="9">V16</f>
        <v>10.023999999999999</v>
      </c>
      <c r="AB16" s="20">
        <v>10.071999999999999</v>
      </c>
    </row>
    <row r="17" spans="2:31">
      <c r="B17" s="19"/>
      <c r="C17" s="19"/>
      <c r="D17" s="19"/>
      <c r="E17">
        <v>14</v>
      </c>
      <c r="J17" s="2">
        <v>16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20"/>
    </row>
    <row r="18" spans="2:31">
      <c r="B18" s="19" t="s">
        <v>19</v>
      </c>
      <c r="C18" s="19">
        <v>1</v>
      </c>
      <c r="D18" s="19">
        <v>1</v>
      </c>
      <c r="E18">
        <v>2</v>
      </c>
      <c r="J18">
        <v>1</v>
      </c>
      <c r="P18" s="19">
        <v>9.8450000000000006</v>
      </c>
      <c r="Q18" s="19"/>
      <c r="R18" s="19"/>
      <c r="S18" s="19"/>
      <c r="T18" s="19"/>
      <c r="U18" s="19">
        <f t="shared" ref="U18" si="10">P18</f>
        <v>9.8450000000000006</v>
      </c>
      <c r="V18" s="19">
        <v>10.119999999999999</v>
      </c>
      <c r="W18" s="19"/>
      <c r="X18" s="19"/>
      <c r="Y18" s="19"/>
      <c r="Z18" s="19"/>
      <c r="AA18" s="19">
        <f t="shared" ref="AA18" si="11">V18</f>
        <v>10.119999999999999</v>
      </c>
      <c r="AB18" s="20">
        <v>9.9819999999999993</v>
      </c>
    </row>
    <row r="19" spans="2:31">
      <c r="B19" s="19"/>
      <c r="C19" s="19"/>
      <c r="D19" s="19"/>
      <c r="E19">
        <v>16</v>
      </c>
      <c r="J19">
        <v>14</v>
      </c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20"/>
    </row>
    <row r="20" spans="2:31">
      <c r="B20" s="19" t="s">
        <v>18</v>
      </c>
      <c r="C20" s="19">
        <v>1</v>
      </c>
      <c r="D20" s="19">
        <v>1</v>
      </c>
      <c r="E20">
        <v>2</v>
      </c>
      <c r="J20">
        <v>1</v>
      </c>
      <c r="P20" s="19">
        <v>10.119999999999999</v>
      </c>
      <c r="Q20" s="19"/>
      <c r="R20" s="19"/>
      <c r="S20" s="19"/>
      <c r="T20" s="19"/>
      <c r="U20" s="19">
        <f>P20</f>
        <v>10.119999999999999</v>
      </c>
      <c r="V20" s="19">
        <v>9.048</v>
      </c>
      <c r="W20" s="19"/>
      <c r="X20" s="19"/>
      <c r="Y20" s="19"/>
      <c r="Z20" s="19"/>
      <c r="AA20" s="19">
        <f t="shared" ref="AA20:AA40" si="12">V20</f>
        <v>9.048</v>
      </c>
      <c r="AB20" s="19">
        <v>9.5540000000000003</v>
      </c>
    </row>
    <row r="21" spans="2:31">
      <c r="B21" s="19"/>
      <c r="C21" s="19"/>
      <c r="D21" s="19"/>
      <c r="E21">
        <v>15</v>
      </c>
      <c r="J21" s="2">
        <v>17</v>
      </c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</row>
    <row r="22" spans="2:31">
      <c r="B22" s="19" t="s">
        <v>26</v>
      </c>
      <c r="C22" s="19">
        <v>2</v>
      </c>
      <c r="D22" s="19">
        <v>1</v>
      </c>
      <c r="E22">
        <v>1</v>
      </c>
      <c r="F22">
        <v>3</v>
      </c>
      <c r="J22">
        <v>1</v>
      </c>
      <c r="P22" s="19">
        <v>9.4670000000000005</v>
      </c>
      <c r="Q22" s="19">
        <v>9.5630000000000006</v>
      </c>
      <c r="R22" s="19"/>
      <c r="S22" s="19"/>
      <c r="T22" s="19"/>
      <c r="U22" s="19">
        <v>9.5150000000000006</v>
      </c>
      <c r="V22" s="19">
        <v>10.119999999999999</v>
      </c>
      <c r="W22" s="19"/>
      <c r="X22" s="19"/>
      <c r="Y22" s="19"/>
      <c r="Z22" s="19"/>
      <c r="AA22" s="19">
        <f t="shared" si="12"/>
        <v>10.119999999999999</v>
      </c>
      <c r="AB22" s="20">
        <v>9.7119999999999997</v>
      </c>
      <c r="AE22" t="s">
        <v>36</v>
      </c>
    </row>
    <row r="23" spans="2:31">
      <c r="B23" s="19"/>
      <c r="C23" s="19"/>
      <c r="D23" s="19"/>
      <c r="E23" s="2">
        <v>16</v>
      </c>
      <c r="F23">
        <v>18</v>
      </c>
      <c r="J23">
        <v>14</v>
      </c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20"/>
      <c r="AE23" t="s">
        <v>37</v>
      </c>
    </row>
    <row r="24" spans="2:31">
      <c r="B24" s="19" t="s">
        <v>27</v>
      </c>
      <c r="C24" s="19">
        <v>2</v>
      </c>
      <c r="D24" s="19">
        <v>1</v>
      </c>
      <c r="E24">
        <v>1</v>
      </c>
      <c r="F24">
        <v>3</v>
      </c>
      <c r="J24">
        <v>1</v>
      </c>
      <c r="P24" s="19">
        <v>10.119999999999999</v>
      </c>
      <c r="Q24" s="19">
        <v>9.5440000000000005</v>
      </c>
      <c r="R24" s="19"/>
      <c r="S24" s="19"/>
      <c r="T24" s="19"/>
      <c r="U24" s="19">
        <v>9.827</v>
      </c>
      <c r="V24" s="19">
        <v>9.423</v>
      </c>
      <c r="W24" s="19"/>
      <c r="X24" s="19"/>
      <c r="Y24" s="19"/>
      <c r="Z24" s="19"/>
      <c r="AA24" s="19">
        <f t="shared" si="12"/>
        <v>9.423</v>
      </c>
      <c r="AB24" s="19">
        <v>9.69</v>
      </c>
    </row>
    <row r="25" spans="2:31">
      <c r="B25" s="19"/>
      <c r="C25" s="19"/>
      <c r="D25" s="19"/>
      <c r="E25">
        <v>14</v>
      </c>
      <c r="F25" s="2">
        <v>18</v>
      </c>
      <c r="J25" s="2">
        <v>16</v>
      </c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</row>
    <row r="26" spans="2:31">
      <c r="B26" s="19" t="s">
        <v>28</v>
      </c>
      <c r="C26" s="19">
        <v>2</v>
      </c>
      <c r="D26" s="19">
        <v>1</v>
      </c>
      <c r="E26">
        <v>1</v>
      </c>
      <c r="F26">
        <v>3</v>
      </c>
      <c r="J26">
        <v>1</v>
      </c>
      <c r="P26" s="19">
        <v>10.119999999999999</v>
      </c>
      <c r="Q26" s="19">
        <v>10.021000000000001</v>
      </c>
      <c r="R26" s="19"/>
      <c r="S26" s="19"/>
      <c r="T26" s="19"/>
      <c r="U26" s="19">
        <v>10.07</v>
      </c>
      <c r="V26" s="19">
        <v>8.7080000000000002</v>
      </c>
      <c r="W26" s="19"/>
      <c r="X26" s="19"/>
      <c r="Y26" s="19"/>
      <c r="Z26" s="19"/>
      <c r="AA26" s="19">
        <f t="shared" si="12"/>
        <v>8.7080000000000002</v>
      </c>
      <c r="AB26" s="19">
        <v>9.57</v>
      </c>
    </row>
    <row r="27" spans="2:31">
      <c r="B27" s="19"/>
      <c r="C27" s="19"/>
      <c r="D27" s="19"/>
      <c r="E27">
        <v>14</v>
      </c>
      <c r="F27">
        <v>16</v>
      </c>
      <c r="J27" s="3">
        <v>18</v>
      </c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</row>
    <row r="28" spans="2:31">
      <c r="B28" s="19" t="s">
        <v>29</v>
      </c>
      <c r="C28" s="19">
        <v>2</v>
      </c>
      <c r="D28" s="19">
        <v>1</v>
      </c>
      <c r="E28">
        <v>1</v>
      </c>
      <c r="F28">
        <v>3</v>
      </c>
      <c r="J28">
        <v>2</v>
      </c>
      <c r="P28" s="19">
        <v>9.1159999999999997</v>
      </c>
      <c r="Q28" s="19">
        <v>9.2089999999999996</v>
      </c>
      <c r="R28" s="19"/>
      <c r="S28" s="19"/>
      <c r="T28" s="19"/>
      <c r="U28" s="19">
        <v>9.1620000000000008</v>
      </c>
      <c r="V28" s="19">
        <v>10.119999999999999</v>
      </c>
      <c r="W28" s="19"/>
      <c r="X28" s="19"/>
      <c r="Y28" s="19"/>
      <c r="Z28" s="19"/>
      <c r="AA28" s="19">
        <f t="shared" si="12"/>
        <v>10.119999999999999</v>
      </c>
      <c r="AB28" s="19">
        <v>9.4649999999999999</v>
      </c>
    </row>
    <row r="29" spans="2:31">
      <c r="B29" s="19"/>
      <c r="C29" s="19"/>
      <c r="D29" s="19"/>
      <c r="E29" s="2">
        <v>17</v>
      </c>
      <c r="F29">
        <v>19</v>
      </c>
      <c r="J29">
        <v>15</v>
      </c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</row>
    <row r="30" spans="2:31">
      <c r="B30" s="19" t="s">
        <v>30</v>
      </c>
      <c r="C30" s="19">
        <v>2</v>
      </c>
      <c r="D30" s="19">
        <v>1</v>
      </c>
      <c r="E30">
        <v>1</v>
      </c>
      <c r="F30">
        <v>3</v>
      </c>
      <c r="J30">
        <v>2</v>
      </c>
      <c r="P30" s="19">
        <v>10.119999999999999</v>
      </c>
      <c r="Q30" s="19">
        <v>9.5440000000000005</v>
      </c>
      <c r="R30" s="19"/>
      <c r="S30" s="19"/>
      <c r="T30" s="19"/>
      <c r="U30" s="19">
        <v>9.8260000000000005</v>
      </c>
      <c r="V30" s="19">
        <v>9.8010000000000002</v>
      </c>
      <c r="W30" s="19"/>
      <c r="X30" s="19"/>
      <c r="Y30" s="19"/>
      <c r="Z30" s="19"/>
      <c r="AA30" s="19">
        <f t="shared" si="12"/>
        <v>9.8010000000000002</v>
      </c>
      <c r="AB30" s="20">
        <v>9.8179999999999996</v>
      </c>
    </row>
    <row r="31" spans="2:31">
      <c r="B31" s="19"/>
      <c r="C31" s="19"/>
      <c r="D31" s="19"/>
      <c r="E31">
        <v>14</v>
      </c>
      <c r="F31" s="2">
        <v>18</v>
      </c>
      <c r="J31">
        <v>16</v>
      </c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20"/>
    </row>
    <row r="32" spans="2:31">
      <c r="B32" s="19" t="s">
        <v>31</v>
      </c>
      <c r="C32" s="19">
        <v>2</v>
      </c>
      <c r="D32" s="19">
        <v>1</v>
      </c>
      <c r="E32">
        <v>1</v>
      </c>
      <c r="F32">
        <v>3</v>
      </c>
      <c r="J32">
        <v>2</v>
      </c>
      <c r="P32" s="19">
        <v>10.119999999999999</v>
      </c>
      <c r="Q32" s="19">
        <v>10.021000000000001</v>
      </c>
      <c r="R32" s="19"/>
      <c r="S32" s="19"/>
      <c r="T32" s="19"/>
      <c r="U32" s="19">
        <v>10.07</v>
      </c>
      <c r="V32" s="19">
        <v>9.02</v>
      </c>
      <c r="W32" s="19"/>
      <c r="X32" s="19"/>
      <c r="Y32" s="19"/>
      <c r="Z32" s="19"/>
      <c r="AA32" s="19">
        <f t="shared" si="12"/>
        <v>9.02</v>
      </c>
      <c r="AB32" s="19">
        <v>9.6929999999999996</v>
      </c>
    </row>
    <row r="33" spans="2:28">
      <c r="B33" s="19"/>
      <c r="C33" s="19"/>
      <c r="D33" s="19"/>
      <c r="E33">
        <v>14</v>
      </c>
      <c r="F33">
        <v>16</v>
      </c>
      <c r="J33" s="2">
        <v>18</v>
      </c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</row>
    <row r="34" spans="2:28">
      <c r="B34" s="19" t="s">
        <v>32</v>
      </c>
      <c r="C34" s="19">
        <v>2</v>
      </c>
      <c r="D34" s="19">
        <v>1</v>
      </c>
      <c r="E34">
        <v>1</v>
      </c>
      <c r="F34">
        <v>3</v>
      </c>
      <c r="J34">
        <v>3</v>
      </c>
      <c r="P34" s="19">
        <v>10.119999999999999</v>
      </c>
      <c r="Q34" s="19">
        <v>9.3030000000000008</v>
      </c>
      <c r="R34" s="19"/>
      <c r="S34" s="19"/>
      <c r="T34" s="19"/>
      <c r="U34" s="19">
        <v>9.6959999999999997</v>
      </c>
      <c r="V34" s="19">
        <v>9.9209999999999994</v>
      </c>
      <c r="W34" s="19"/>
      <c r="X34" s="19"/>
      <c r="Y34" s="19"/>
      <c r="Z34" s="19"/>
      <c r="AA34" s="19">
        <f t="shared" si="12"/>
        <v>9.9209999999999994</v>
      </c>
      <c r="AB34" s="19">
        <v>9.7690000000000001</v>
      </c>
    </row>
    <row r="35" spans="2:28">
      <c r="B35" s="19"/>
      <c r="C35" s="19"/>
      <c r="D35" s="19"/>
      <c r="E35">
        <v>14</v>
      </c>
      <c r="F35" s="2">
        <v>18</v>
      </c>
      <c r="J35">
        <v>16</v>
      </c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</row>
    <row r="36" spans="2:28">
      <c r="B36" s="19" t="s">
        <v>33</v>
      </c>
      <c r="C36" s="19">
        <v>2</v>
      </c>
      <c r="D36" s="19">
        <v>1</v>
      </c>
      <c r="E36">
        <v>1</v>
      </c>
      <c r="F36">
        <v>3</v>
      </c>
      <c r="J36">
        <v>3</v>
      </c>
      <c r="P36" s="19">
        <v>10.119999999999999</v>
      </c>
      <c r="Q36" s="19">
        <v>10.119999999999999</v>
      </c>
      <c r="R36" s="19"/>
      <c r="S36" s="19"/>
      <c r="T36" s="19"/>
      <c r="U36" s="19">
        <v>10.119999999999999</v>
      </c>
      <c r="V36" s="19">
        <v>9.423</v>
      </c>
      <c r="W36" s="19"/>
      <c r="X36" s="19"/>
      <c r="Y36" s="19"/>
      <c r="Z36" s="19"/>
      <c r="AA36" s="19">
        <f t="shared" si="12"/>
        <v>9.423</v>
      </c>
      <c r="AB36" s="20">
        <v>9.8819999999999997</v>
      </c>
    </row>
    <row r="37" spans="2:28">
      <c r="B37" s="19"/>
      <c r="C37" s="19"/>
      <c r="D37" s="19"/>
      <c r="E37">
        <v>14</v>
      </c>
      <c r="F37">
        <v>16</v>
      </c>
      <c r="J37" s="2">
        <v>18</v>
      </c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20"/>
    </row>
    <row r="38" spans="2:28">
      <c r="B38" s="19" t="s">
        <v>34</v>
      </c>
      <c r="C38" s="19">
        <v>2</v>
      </c>
      <c r="D38" s="19">
        <v>1</v>
      </c>
      <c r="E38">
        <v>1</v>
      </c>
      <c r="F38">
        <v>3</v>
      </c>
      <c r="J38">
        <v>4</v>
      </c>
      <c r="P38" s="19">
        <v>10.119999999999999</v>
      </c>
      <c r="Q38" s="19">
        <v>9.0589999999999993</v>
      </c>
      <c r="R38" s="19"/>
      <c r="S38" s="19"/>
      <c r="T38" s="19"/>
      <c r="U38" s="19">
        <v>9.56</v>
      </c>
      <c r="V38" s="19">
        <v>10.021000000000001</v>
      </c>
      <c r="W38" s="19"/>
      <c r="X38" s="19"/>
      <c r="Y38" s="19"/>
      <c r="Z38" s="19"/>
      <c r="AA38" s="19">
        <f t="shared" si="12"/>
        <v>10.021000000000001</v>
      </c>
      <c r="AB38" s="19">
        <v>9.7070000000000007</v>
      </c>
    </row>
    <row r="39" spans="2:28">
      <c r="B39" s="19"/>
      <c r="C39" s="19"/>
      <c r="D39" s="19"/>
      <c r="E39">
        <v>14</v>
      </c>
      <c r="F39" s="2">
        <v>19</v>
      </c>
      <c r="J39">
        <v>17</v>
      </c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</row>
    <row r="40" spans="2:28">
      <c r="B40" s="19" t="s">
        <v>35</v>
      </c>
      <c r="C40" s="19">
        <v>2</v>
      </c>
      <c r="D40" s="19">
        <v>1</v>
      </c>
      <c r="E40">
        <v>1</v>
      </c>
      <c r="F40">
        <v>3</v>
      </c>
      <c r="J40">
        <v>4</v>
      </c>
      <c r="P40" s="19">
        <v>10.119999999999999</v>
      </c>
      <c r="Q40" s="19">
        <v>10.119999999999999</v>
      </c>
      <c r="R40" s="19"/>
      <c r="S40" s="19"/>
      <c r="T40" s="19"/>
      <c r="U40" s="19">
        <v>10.119999999999999</v>
      </c>
      <c r="V40" s="19">
        <v>9.8010000000000002</v>
      </c>
      <c r="W40" s="19"/>
      <c r="X40" s="19"/>
      <c r="Y40" s="19"/>
      <c r="Z40" s="19"/>
      <c r="AA40" s="19">
        <f t="shared" si="12"/>
        <v>9.8010000000000002</v>
      </c>
      <c r="AB40" s="20">
        <v>10.013999999999999</v>
      </c>
    </row>
    <row r="41" spans="2:28">
      <c r="B41" s="19"/>
      <c r="C41" s="19"/>
      <c r="D41" s="19"/>
      <c r="E41">
        <v>14</v>
      </c>
      <c r="F41">
        <v>16</v>
      </c>
      <c r="J41" s="2">
        <v>18</v>
      </c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20"/>
    </row>
    <row r="42" spans="2:28">
      <c r="B42" s="25" t="s">
        <v>38</v>
      </c>
      <c r="C42" s="19">
        <v>1</v>
      </c>
      <c r="D42" s="19">
        <v>2</v>
      </c>
      <c r="E42">
        <v>1</v>
      </c>
      <c r="J42">
        <v>1</v>
      </c>
      <c r="K42">
        <v>3</v>
      </c>
      <c r="P42" s="19">
        <v>10.119999999999999</v>
      </c>
      <c r="Q42" s="19"/>
      <c r="R42" s="19"/>
      <c r="S42" s="19"/>
      <c r="T42" s="19"/>
      <c r="U42" s="19">
        <f>P42</f>
        <v>10.119999999999999</v>
      </c>
      <c r="V42" s="19">
        <v>9.423</v>
      </c>
      <c r="W42" s="19">
        <v>9.5190000000000001</v>
      </c>
      <c r="X42" s="19"/>
      <c r="Y42" s="19"/>
      <c r="Z42" s="19"/>
      <c r="AA42" s="19">
        <v>9.4710000000000001</v>
      </c>
      <c r="AB42" s="19">
        <v>9.6820000000000004</v>
      </c>
    </row>
    <row r="43" spans="2:28">
      <c r="B43" s="25"/>
      <c r="C43" s="19"/>
      <c r="D43" s="19"/>
      <c r="E43">
        <v>14</v>
      </c>
      <c r="J43" s="2">
        <v>16</v>
      </c>
      <c r="K43">
        <v>18</v>
      </c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</row>
    <row r="44" spans="2:28">
      <c r="B44" s="25" t="s">
        <v>39</v>
      </c>
      <c r="C44" s="19">
        <v>1</v>
      </c>
      <c r="D44" s="19">
        <v>2</v>
      </c>
      <c r="E44">
        <v>1</v>
      </c>
      <c r="J44">
        <v>1</v>
      </c>
      <c r="K44">
        <v>3</v>
      </c>
      <c r="P44" s="19">
        <v>9.3520000000000003</v>
      </c>
      <c r="Q44" s="19"/>
      <c r="R44" s="19"/>
      <c r="S44" s="19"/>
      <c r="T44" s="19"/>
      <c r="U44" s="19">
        <f t="shared" ref="U44" si="13">P44</f>
        <v>9.3520000000000003</v>
      </c>
      <c r="V44" s="19">
        <v>10.119999999999999</v>
      </c>
      <c r="W44" s="19">
        <v>9.5440000000000005</v>
      </c>
      <c r="X44" s="19"/>
      <c r="Y44" s="19"/>
      <c r="Z44" s="19"/>
      <c r="AA44" s="19">
        <v>9.827</v>
      </c>
      <c r="AB44" s="19">
        <v>9.6660000000000004</v>
      </c>
    </row>
    <row r="45" spans="2:28">
      <c r="B45" s="25"/>
      <c r="C45" s="19"/>
      <c r="D45" s="19"/>
      <c r="E45" s="2">
        <v>16</v>
      </c>
      <c r="J45">
        <v>14</v>
      </c>
      <c r="K45" s="2">
        <v>18</v>
      </c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</row>
    <row r="46" spans="2:28">
      <c r="B46" s="25" t="s">
        <v>40</v>
      </c>
      <c r="C46" s="19">
        <v>1</v>
      </c>
      <c r="D46" s="19">
        <v>2</v>
      </c>
      <c r="E46">
        <v>1</v>
      </c>
      <c r="J46">
        <v>1</v>
      </c>
      <c r="K46">
        <v>3</v>
      </c>
      <c r="P46" s="19">
        <v>8.7460000000000004</v>
      </c>
      <c r="Q46" s="19"/>
      <c r="R46" s="19"/>
      <c r="S46" s="19"/>
      <c r="T46" s="19"/>
      <c r="U46" s="19">
        <f t="shared" ref="U46" si="14">P46</f>
        <v>8.7460000000000004</v>
      </c>
      <c r="V46" s="19">
        <v>10.119999999999999</v>
      </c>
      <c r="W46" s="19">
        <v>10.021000000000001</v>
      </c>
      <c r="X46" s="19"/>
      <c r="Y46" s="19"/>
      <c r="Z46" s="19"/>
      <c r="AA46" s="19">
        <v>10.07</v>
      </c>
      <c r="AB46" s="19">
        <v>9.5839999999999996</v>
      </c>
    </row>
    <row r="47" spans="2:28">
      <c r="B47" s="25"/>
      <c r="C47" s="19"/>
      <c r="D47" s="19"/>
      <c r="E47" s="3">
        <v>18</v>
      </c>
      <c r="J47">
        <v>14</v>
      </c>
      <c r="K47">
        <v>16</v>
      </c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</row>
    <row r="48" spans="2:28">
      <c r="B48" s="19" t="s">
        <v>41</v>
      </c>
      <c r="C48" s="19">
        <v>1</v>
      </c>
      <c r="D48" s="19">
        <v>2</v>
      </c>
      <c r="E48">
        <v>2</v>
      </c>
      <c r="J48">
        <v>1</v>
      </c>
      <c r="K48">
        <v>3</v>
      </c>
      <c r="P48" s="19">
        <v>10.119999999999999</v>
      </c>
      <c r="Q48" s="19"/>
      <c r="R48" s="19"/>
      <c r="S48" s="19"/>
      <c r="T48" s="19"/>
      <c r="U48" s="19">
        <f t="shared" ref="U48" si="15">P48</f>
        <v>10.119999999999999</v>
      </c>
      <c r="V48" s="19">
        <v>9.0749999999999993</v>
      </c>
      <c r="W48" s="19">
        <v>9.1690000000000005</v>
      </c>
      <c r="X48" s="19"/>
      <c r="Y48" s="19"/>
      <c r="Z48" s="19"/>
      <c r="AA48" s="19">
        <v>9.1219999999999999</v>
      </c>
      <c r="AB48" s="19">
        <v>9.4380000000000006</v>
      </c>
    </row>
    <row r="49" spans="2:28">
      <c r="B49" s="19"/>
      <c r="C49" s="19"/>
      <c r="D49" s="19"/>
      <c r="E49">
        <v>15</v>
      </c>
      <c r="J49" s="2">
        <v>17</v>
      </c>
      <c r="K49">
        <v>19</v>
      </c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</row>
    <row r="50" spans="2:28">
      <c r="B50" s="19" t="s">
        <v>42</v>
      </c>
      <c r="C50" s="19">
        <v>1</v>
      </c>
      <c r="D50" s="19">
        <v>2</v>
      </c>
      <c r="E50">
        <v>2</v>
      </c>
      <c r="J50">
        <v>1</v>
      </c>
      <c r="K50">
        <v>3</v>
      </c>
      <c r="P50" s="19">
        <v>9.8450000000000006</v>
      </c>
      <c r="Q50" s="19"/>
      <c r="R50" s="19"/>
      <c r="S50" s="19"/>
      <c r="T50" s="19"/>
      <c r="U50" s="19">
        <f t="shared" ref="U50" si="16">P50</f>
        <v>9.8450000000000006</v>
      </c>
      <c r="V50" s="19">
        <v>10.119999999999999</v>
      </c>
      <c r="W50" s="19">
        <v>9.5429999999999993</v>
      </c>
      <c r="X50" s="19"/>
      <c r="Y50" s="19"/>
      <c r="Z50" s="19"/>
      <c r="AA50" s="19">
        <v>9.8260000000000005</v>
      </c>
      <c r="AB50" s="19">
        <v>9.8320000000000007</v>
      </c>
    </row>
    <row r="51" spans="2:28">
      <c r="B51" s="19"/>
      <c r="C51" s="19"/>
      <c r="D51" s="19"/>
      <c r="E51">
        <v>16</v>
      </c>
      <c r="J51">
        <v>14</v>
      </c>
      <c r="K51" s="2">
        <v>18</v>
      </c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</row>
    <row r="52" spans="2:28">
      <c r="B52" s="19" t="s">
        <v>43</v>
      </c>
      <c r="C52" s="19">
        <v>1</v>
      </c>
      <c r="D52" s="19">
        <v>2</v>
      </c>
      <c r="E52">
        <v>2</v>
      </c>
      <c r="J52">
        <v>1</v>
      </c>
      <c r="K52">
        <v>3</v>
      </c>
      <c r="P52" s="19">
        <v>9.0589999999999993</v>
      </c>
      <c r="Q52" s="19"/>
      <c r="R52" s="19"/>
      <c r="S52" s="19"/>
      <c r="T52" s="19"/>
      <c r="U52" s="19">
        <f t="shared" ref="U52" si="17">P52</f>
        <v>9.0589999999999993</v>
      </c>
      <c r="V52" s="19">
        <v>10.119999999999999</v>
      </c>
      <c r="W52" s="19">
        <v>10.021000000000001</v>
      </c>
      <c r="X52" s="19"/>
      <c r="Y52" s="19"/>
      <c r="Z52" s="19"/>
      <c r="AA52" s="19">
        <v>10.07</v>
      </c>
      <c r="AB52" s="19">
        <v>9.7070000000000007</v>
      </c>
    </row>
    <row r="53" spans="2:28">
      <c r="B53" s="19"/>
      <c r="C53" s="19"/>
      <c r="D53" s="19"/>
      <c r="E53" s="2">
        <v>18</v>
      </c>
      <c r="J53">
        <v>14</v>
      </c>
      <c r="K53">
        <v>16</v>
      </c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pans="2:28">
      <c r="B54" s="19" t="s">
        <v>44</v>
      </c>
      <c r="C54" s="19">
        <v>1</v>
      </c>
      <c r="D54" s="19">
        <v>2</v>
      </c>
      <c r="E54">
        <v>3</v>
      </c>
      <c r="J54">
        <v>1</v>
      </c>
      <c r="K54">
        <v>3</v>
      </c>
      <c r="P54" s="19">
        <v>10.119999999999999</v>
      </c>
      <c r="Q54" s="19"/>
      <c r="R54" s="19"/>
      <c r="S54" s="19"/>
      <c r="T54" s="19"/>
      <c r="U54" s="19">
        <f t="shared" ref="U54" si="18">P54</f>
        <v>10.119999999999999</v>
      </c>
      <c r="V54" s="19">
        <v>10.119999999999999</v>
      </c>
      <c r="W54" s="19">
        <v>9.423</v>
      </c>
      <c r="X54" s="19"/>
      <c r="Y54" s="19"/>
      <c r="Z54" s="19"/>
      <c r="AA54" s="19">
        <v>9.7650000000000006</v>
      </c>
      <c r="AB54" s="19">
        <v>9.8819999999999997</v>
      </c>
    </row>
    <row r="55" spans="2:28">
      <c r="B55" s="19"/>
      <c r="C55" s="19"/>
      <c r="D55" s="19"/>
      <c r="E55">
        <v>16</v>
      </c>
      <c r="J55">
        <v>14</v>
      </c>
      <c r="K55" s="2">
        <v>18</v>
      </c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</row>
    <row r="56" spans="2:28">
      <c r="B56" s="19" t="s">
        <v>45</v>
      </c>
      <c r="C56" s="19">
        <v>1</v>
      </c>
      <c r="D56" s="19">
        <v>2</v>
      </c>
      <c r="E56">
        <v>3</v>
      </c>
      <c r="J56">
        <v>1</v>
      </c>
      <c r="K56">
        <v>3</v>
      </c>
      <c r="P56" s="19">
        <v>9.4670000000000005</v>
      </c>
      <c r="Q56" s="19"/>
      <c r="R56" s="19"/>
      <c r="S56" s="19"/>
      <c r="T56" s="19"/>
      <c r="U56" s="19">
        <f t="shared" ref="U56" si="19">P56</f>
        <v>9.4670000000000005</v>
      </c>
      <c r="V56" s="19">
        <v>10.119999999999999</v>
      </c>
      <c r="W56" s="19">
        <v>10.119999999999999</v>
      </c>
      <c r="X56" s="19"/>
      <c r="Y56" s="19"/>
      <c r="Z56" s="19"/>
      <c r="AA56" s="19">
        <v>10.119999999999999</v>
      </c>
      <c r="AB56" s="19">
        <v>9.8970000000000002</v>
      </c>
    </row>
    <row r="57" spans="2:28">
      <c r="B57" s="19"/>
      <c r="C57" s="19"/>
      <c r="D57" s="19"/>
      <c r="E57" s="2">
        <v>18</v>
      </c>
      <c r="J57">
        <v>14</v>
      </c>
      <c r="K57">
        <v>16</v>
      </c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</row>
    <row r="58" spans="2:28">
      <c r="B58" s="19" t="s">
        <v>46</v>
      </c>
      <c r="C58" s="19">
        <v>1</v>
      </c>
      <c r="D58" s="19">
        <v>2</v>
      </c>
      <c r="E58">
        <v>4</v>
      </c>
      <c r="J58">
        <v>1</v>
      </c>
      <c r="K58">
        <v>3</v>
      </c>
      <c r="P58" s="19">
        <v>10.021000000000001</v>
      </c>
      <c r="Q58" s="19"/>
      <c r="R58" s="19"/>
      <c r="S58" s="19"/>
      <c r="T58" s="19"/>
      <c r="U58" s="19">
        <f t="shared" ref="U58" si="20">P58</f>
        <v>10.021000000000001</v>
      </c>
      <c r="V58" s="19">
        <v>10.119999999999999</v>
      </c>
      <c r="W58" s="19">
        <v>9.02</v>
      </c>
      <c r="X58" s="19"/>
      <c r="Y58" s="19"/>
      <c r="Z58" s="19"/>
      <c r="AA58" s="19">
        <v>9.5389999999999997</v>
      </c>
      <c r="AB58" s="19">
        <v>9.6929999999999996</v>
      </c>
    </row>
    <row r="59" spans="2:28">
      <c r="B59" s="19"/>
      <c r="C59" s="19"/>
      <c r="D59" s="19"/>
      <c r="E59">
        <v>17</v>
      </c>
      <c r="J59">
        <v>14</v>
      </c>
      <c r="K59" s="2">
        <v>19</v>
      </c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spans="2:28">
      <c r="B60" s="19" t="s">
        <v>47</v>
      </c>
      <c r="C60" s="19">
        <v>1</v>
      </c>
      <c r="D60" s="19">
        <v>2</v>
      </c>
      <c r="E60">
        <v>4</v>
      </c>
      <c r="J60">
        <v>1</v>
      </c>
      <c r="K60">
        <v>3</v>
      </c>
      <c r="P60" s="19">
        <v>9.8450000000000006</v>
      </c>
      <c r="Q60" s="19"/>
      <c r="R60" s="19"/>
      <c r="S60" s="19"/>
      <c r="T60" s="19"/>
      <c r="U60" s="19">
        <f t="shared" ref="U60" si="21">P60</f>
        <v>9.8450000000000006</v>
      </c>
      <c r="V60" s="19">
        <v>10.119999999999999</v>
      </c>
      <c r="W60" s="19">
        <v>10.119999999999999</v>
      </c>
      <c r="X60" s="19"/>
      <c r="Y60" s="19"/>
      <c r="Z60" s="19"/>
      <c r="AA60" s="19">
        <v>10.119999999999999</v>
      </c>
      <c r="AB60" s="19">
        <v>10.028</v>
      </c>
    </row>
    <row r="61" spans="2:28">
      <c r="B61" s="19"/>
      <c r="C61" s="19"/>
      <c r="D61" s="19"/>
      <c r="E61" s="2">
        <v>18</v>
      </c>
      <c r="J61">
        <v>14</v>
      </c>
      <c r="K61">
        <v>16</v>
      </c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</row>
    <row r="62" spans="2:28">
      <c r="B62" s="25" t="s">
        <v>48</v>
      </c>
      <c r="C62" s="19">
        <v>1</v>
      </c>
      <c r="D62" s="19">
        <v>2</v>
      </c>
      <c r="E62">
        <v>1</v>
      </c>
      <c r="J62">
        <v>1</v>
      </c>
      <c r="K62">
        <v>4</v>
      </c>
      <c r="P62" s="19">
        <v>8.4529999999999994</v>
      </c>
      <c r="Q62" s="19"/>
      <c r="R62" s="19"/>
      <c r="S62" s="19"/>
      <c r="T62" s="19"/>
      <c r="U62" s="19">
        <f t="shared" ref="U62" si="22">P62</f>
        <v>8.4529999999999994</v>
      </c>
      <c r="V62" s="19">
        <v>10.119999999999999</v>
      </c>
      <c r="W62" s="19">
        <v>10.021000000000001</v>
      </c>
      <c r="X62" s="19"/>
      <c r="Y62" s="19"/>
      <c r="Z62" s="19"/>
      <c r="AA62" s="19">
        <v>10.07</v>
      </c>
      <c r="AB62" s="19">
        <v>9.4640000000000004</v>
      </c>
    </row>
    <row r="63" spans="2:28">
      <c r="B63" s="25"/>
      <c r="C63" s="19"/>
      <c r="D63" s="19"/>
      <c r="E63" s="3">
        <v>19</v>
      </c>
      <c r="J63">
        <v>14</v>
      </c>
      <c r="K63">
        <v>17</v>
      </c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</row>
    <row r="64" spans="2:28">
      <c r="B64" s="25" t="s">
        <v>49</v>
      </c>
      <c r="C64" s="19">
        <v>1</v>
      </c>
      <c r="D64" s="19">
        <v>2</v>
      </c>
      <c r="E64">
        <v>1</v>
      </c>
      <c r="J64">
        <v>1</v>
      </c>
      <c r="K64">
        <v>4</v>
      </c>
      <c r="P64" s="19">
        <v>9.4670000000000005</v>
      </c>
      <c r="Q64" s="19"/>
      <c r="R64" s="19"/>
      <c r="S64" s="19"/>
      <c r="T64" s="19"/>
      <c r="U64" s="19">
        <f t="shared" ref="U64" si="23">P64</f>
        <v>9.4670000000000005</v>
      </c>
      <c r="V64" s="19">
        <v>10.119999999999999</v>
      </c>
      <c r="W64" s="19">
        <v>9.9220000000000006</v>
      </c>
      <c r="X64" s="19"/>
      <c r="Y64" s="19"/>
      <c r="Z64" s="19"/>
      <c r="AA64" s="19">
        <v>10.021000000000001</v>
      </c>
      <c r="AB64" s="20">
        <v>9.8309999999999995</v>
      </c>
    </row>
    <row r="65" spans="1:28">
      <c r="B65" s="25"/>
      <c r="C65" s="19"/>
      <c r="D65" s="19"/>
      <c r="E65" s="2">
        <v>16</v>
      </c>
      <c r="J65">
        <v>14</v>
      </c>
      <c r="K65" s="2">
        <v>18</v>
      </c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20"/>
    </row>
    <row r="66" spans="1:28">
      <c r="B66" s="25" t="s">
        <v>50</v>
      </c>
      <c r="C66" s="19">
        <v>1</v>
      </c>
      <c r="D66" s="19">
        <v>2</v>
      </c>
      <c r="E66">
        <v>1</v>
      </c>
      <c r="J66">
        <v>1</v>
      </c>
      <c r="K66">
        <v>4</v>
      </c>
      <c r="P66" s="19">
        <v>10.119999999999999</v>
      </c>
      <c r="Q66" s="19"/>
      <c r="R66" s="19"/>
      <c r="S66" s="19"/>
      <c r="T66" s="19"/>
      <c r="U66" s="19">
        <f t="shared" ref="U66" si="24">P66</f>
        <v>10.119999999999999</v>
      </c>
      <c r="V66" s="19">
        <v>9.423</v>
      </c>
      <c r="W66" s="19">
        <v>8.8989999999999991</v>
      </c>
      <c r="X66" s="19"/>
      <c r="Y66" s="19"/>
      <c r="Z66" s="19"/>
      <c r="AA66" s="19">
        <v>9.6560000000000006</v>
      </c>
      <c r="AB66" s="21">
        <v>9.8089999999999993</v>
      </c>
    </row>
    <row r="67" spans="1:28">
      <c r="B67" s="25"/>
      <c r="C67" s="19"/>
      <c r="D67" s="19"/>
      <c r="E67">
        <v>14</v>
      </c>
      <c r="J67" s="2">
        <v>16</v>
      </c>
      <c r="K67">
        <v>18</v>
      </c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21"/>
    </row>
    <row r="68" spans="1:28">
      <c r="B68" s="19" t="s">
        <v>51</v>
      </c>
      <c r="C68" s="19">
        <v>1</v>
      </c>
      <c r="D68" s="19">
        <v>2</v>
      </c>
      <c r="E68">
        <v>1</v>
      </c>
      <c r="J68">
        <v>2</v>
      </c>
      <c r="K68">
        <v>4</v>
      </c>
      <c r="P68" s="19">
        <v>8.4529999999999994</v>
      </c>
      <c r="Q68" s="19"/>
      <c r="R68" s="19"/>
      <c r="S68" s="19"/>
      <c r="T68" s="19"/>
      <c r="U68" s="19">
        <f t="shared" ref="U68" si="25">P68</f>
        <v>8.4529999999999994</v>
      </c>
      <c r="V68" s="19">
        <v>10.119999999999999</v>
      </c>
      <c r="W68" s="19">
        <v>10.021000000000001</v>
      </c>
      <c r="X68" s="19"/>
      <c r="Y68" s="19"/>
      <c r="Z68" s="19"/>
      <c r="AA68" s="19">
        <v>10.07</v>
      </c>
      <c r="AB68" s="19">
        <v>9.4640000000000004</v>
      </c>
    </row>
    <row r="69" spans="1:28">
      <c r="B69" s="19"/>
      <c r="C69" s="19"/>
      <c r="D69" s="19"/>
      <c r="E69" s="3">
        <v>19</v>
      </c>
      <c r="J69">
        <v>15</v>
      </c>
      <c r="K69">
        <v>17</v>
      </c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</row>
    <row r="70" spans="1:28">
      <c r="B70" s="19" t="s">
        <v>52</v>
      </c>
      <c r="C70" s="19">
        <v>1</v>
      </c>
      <c r="D70" s="19">
        <v>2</v>
      </c>
      <c r="E70">
        <v>1</v>
      </c>
      <c r="J70">
        <v>2</v>
      </c>
      <c r="K70">
        <v>4</v>
      </c>
      <c r="P70" s="19">
        <v>9.1170000000000009</v>
      </c>
      <c r="Q70" s="19"/>
      <c r="R70" s="19"/>
      <c r="S70" s="19"/>
      <c r="T70" s="19"/>
      <c r="U70" s="19">
        <f t="shared" ref="U70" si="26">P70</f>
        <v>9.1170000000000009</v>
      </c>
      <c r="V70" s="19">
        <v>10.119999999999999</v>
      </c>
      <c r="W70" s="19">
        <v>9.5440000000000005</v>
      </c>
      <c r="X70" s="19"/>
      <c r="Y70" s="19"/>
      <c r="Z70" s="19"/>
      <c r="AA70" s="19">
        <v>9.827</v>
      </c>
      <c r="AB70" s="19">
        <v>9.5809999999999995</v>
      </c>
    </row>
    <row r="71" spans="1:28">
      <c r="B71" s="19"/>
      <c r="C71" s="19"/>
      <c r="D71" s="19"/>
      <c r="E71" s="2">
        <v>17</v>
      </c>
      <c r="J71">
        <v>15</v>
      </c>
      <c r="K71" s="2">
        <v>19</v>
      </c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</row>
    <row r="72" spans="1:28">
      <c r="B72" s="19" t="s">
        <v>53</v>
      </c>
      <c r="C72" s="19">
        <v>1</v>
      </c>
      <c r="D72" s="19">
        <v>2</v>
      </c>
      <c r="E72">
        <v>1</v>
      </c>
      <c r="J72">
        <v>2</v>
      </c>
      <c r="K72">
        <v>4</v>
      </c>
      <c r="P72" s="19">
        <v>10.119999999999999</v>
      </c>
      <c r="Q72" s="19"/>
      <c r="R72" s="19"/>
      <c r="S72" s="19"/>
      <c r="T72" s="19"/>
      <c r="U72" s="19">
        <f t="shared" ref="U72" si="27">P72</f>
        <v>10.119999999999999</v>
      </c>
      <c r="V72" s="19">
        <v>9.8010000000000002</v>
      </c>
      <c r="W72" s="19">
        <v>9.9</v>
      </c>
      <c r="X72" s="19"/>
      <c r="Y72" s="19"/>
      <c r="Z72" s="19"/>
      <c r="AA72" s="19">
        <v>9.8510000000000009</v>
      </c>
      <c r="AB72" s="19">
        <v>9.94</v>
      </c>
    </row>
    <row r="73" spans="1:28">
      <c r="B73" s="19"/>
      <c r="C73" s="19"/>
      <c r="D73" s="19"/>
      <c r="E73">
        <v>14</v>
      </c>
      <c r="J73" s="2">
        <v>16</v>
      </c>
      <c r="K73">
        <v>18</v>
      </c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</row>
    <row r="74" spans="1:28">
      <c r="A74" t="s">
        <v>140</v>
      </c>
      <c r="B74" s="19" t="s">
        <v>54</v>
      </c>
      <c r="C74" s="19">
        <v>2</v>
      </c>
      <c r="D74" s="19">
        <v>2</v>
      </c>
      <c r="E74">
        <v>1</v>
      </c>
      <c r="F74">
        <v>3</v>
      </c>
      <c r="J74">
        <v>1</v>
      </c>
      <c r="K74">
        <v>3</v>
      </c>
      <c r="P74" s="19">
        <v>9.3490000000000002</v>
      </c>
      <c r="Q74" s="19">
        <v>8.9670000000000005</v>
      </c>
      <c r="R74" s="19"/>
      <c r="S74" s="19"/>
      <c r="T74" s="19"/>
      <c r="U74" s="19">
        <v>9.1509999999999998</v>
      </c>
      <c r="V74" s="19">
        <v>10.119999999999999</v>
      </c>
      <c r="W74" s="19">
        <v>9.5429999999999993</v>
      </c>
      <c r="X74" s="19"/>
      <c r="Y74" s="19"/>
      <c r="Z74" s="19"/>
      <c r="AA74" s="19">
        <v>9.8260000000000005</v>
      </c>
      <c r="AB74" s="20">
        <v>9.4789999999999992</v>
      </c>
    </row>
    <row r="75" spans="1:28">
      <c r="A75" t="s">
        <v>141</v>
      </c>
      <c r="B75" s="19"/>
      <c r="C75" s="19"/>
      <c r="D75" s="19"/>
      <c r="E75" s="2">
        <v>16</v>
      </c>
      <c r="F75" s="2">
        <v>20</v>
      </c>
      <c r="J75">
        <v>14</v>
      </c>
      <c r="K75" s="2">
        <v>18</v>
      </c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20"/>
    </row>
    <row r="76" spans="1:28">
      <c r="B76" s="19" t="s">
        <v>55</v>
      </c>
      <c r="C76" s="19">
        <v>2</v>
      </c>
      <c r="D76" s="19">
        <v>2</v>
      </c>
      <c r="E76">
        <v>1</v>
      </c>
      <c r="F76">
        <v>3</v>
      </c>
      <c r="J76">
        <v>1</v>
      </c>
      <c r="K76">
        <v>3</v>
      </c>
      <c r="P76" s="19">
        <v>10.119999999999999</v>
      </c>
      <c r="Q76" s="19">
        <v>9.3230000000000004</v>
      </c>
      <c r="R76" s="19"/>
      <c r="S76" s="19"/>
      <c r="T76" s="19"/>
      <c r="U76" s="19">
        <v>9.7059999999999995</v>
      </c>
      <c r="V76" s="19">
        <v>9.1</v>
      </c>
      <c r="W76" s="19">
        <v>8.75</v>
      </c>
      <c r="X76" s="19"/>
      <c r="Y76" s="19"/>
      <c r="Z76" s="19"/>
      <c r="AA76" s="19">
        <v>8.9190000000000005</v>
      </c>
      <c r="AB76" s="19">
        <v>9.298</v>
      </c>
    </row>
    <row r="77" spans="1:28">
      <c r="B77" s="19"/>
      <c r="C77" s="19"/>
      <c r="D77" s="19"/>
      <c r="E77">
        <v>14</v>
      </c>
      <c r="F77" s="2">
        <v>18</v>
      </c>
      <c r="J77" s="2">
        <v>16</v>
      </c>
      <c r="K77" s="2">
        <v>20</v>
      </c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</row>
    <row r="78" spans="1:28">
      <c r="B78" s="19" t="s">
        <v>56</v>
      </c>
      <c r="C78" s="19">
        <v>2</v>
      </c>
      <c r="D78" s="19">
        <v>2</v>
      </c>
      <c r="E78">
        <v>1</v>
      </c>
      <c r="F78">
        <v>3</v>
      </c>
      <c r="J78">
        <v>1</v>
      </c>
      <c r="K78">
        <v>3</v>
      </c>
      <c r="P78" s="19">
        <v>8.7850000000000001</v>
      </c>
      <c r="Q78" s="19">
        <v>8.8309999999999995</v>
      </c>
      <c r="R78" s="19"/>
      <c r="S78" s="19"/>
      <c r="T78" s="19"/>
      <c r="U78" s="19">
        <v>8.8079999999999998</v>
      </c>
      <c r="V78" s="19">
        <v>10.119999999999999</v>
      </c>
      <c r="W78" s="19">
        <v>10.132</v>
      </c>
      <c r="X78" s="19"/>
      <c r="Y78" s="19"/>
      <c r="Z78" s="19"/>
      <c r="AA78" s="19">
        <v>10.125999999999999</v>
      </c>
      <c r="AB78" s="21">
        <v>9.4239999999999995</v>
      </c>
    </row>
    <row r="79" spans="1:28">
      <c r="B79" s="19"/>
      <c r="C79" s="19"/>
      <c r="D79" s="19"/>
      <c r="E79" s="3">
        <v>18</v>
      </c>
      <c r="F79">
        <v>20</v>
      </c>
      <c r="J79">
        <v>14</v>
      </c>
      <c r="K79">
        <v>16</v>
      </c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21"/>
    </row>
    <row r="80" spans="1:28">
      <c r="B80" s="19" t="s">
        <v>57</v>
      </c>
      <c r="C80" s="19">
        <v>2</v>
      </c>
      <c r="D80" s="19">
        <v>2</v>
      </c>
      <c r="E80">
        <v>1</v>
      </c>
      <c r="F80">
        <v>3</v>
      </c>
      <c r="J80">
        <v>1</v>
      </c>
      <c r="K80">
        <v>3</v>
      </c>
      <c r="P80" s="19">
        <v>9.1329999999999991</v>
      </c>
      <c r="Q80" s="19">
        <v>9.0429999999999993</v>
      </c>
      <c r="R80" s="19"/>
      <c r="S80" s="19"/>
      <c r="T80" s="19"/>
      <c r="U80" s="19">
        <v>9.0869999999999997</v>
      </c>
      <c r="V80" s="19">
        <v>10.119999999999999</v>
      </c>
      <c r="W80" s="19">
        <v>8.2119999999999997</v>
      </c>
      <c r="X80" s="19"/>
      <c r="Y80" s="19"/>
      <c r="Z80" s="19"/>
      <c r="AA80" s="19">
        <v>9.0790000000000006</v>
      </c>
      <c r="AB80" s="19">
        <v>9.0830000000000002</v>
      </c>
    </row>
    <row r="81" spans="2:31">
      <c r="B81" s="19"/>
      <c r="C81" s="19"/>
      <c r="D81" s="19"/>
      <c r="E81" s="2">
        <v>16</v>
      </c>
      <c r="F81">
        <v>18</v>
      </c>
      <c r="J81">
        <v>14</v>
      </c>
      <c r="K81" s="3">
        <v>20</v>
      </c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</row>
    <row r="82" spans="2:31">
      <c r="B82" s="19" t="s">
        <v>58</v>
      </c>
      <c r="C82" s="19">
        <v>2</v>
      </c>
      <c r="D82" s="19">
        <v>2</v>
      </c>
      <c r="E82">
        <v>1</v>
      </c>
      <c r="F82">
        <v>3</v>
      </c>
      <c r="J82">
        <v>2</v>
      </c>
      <c r="K82">
        <v>4</v>
      </c>
      <c r="P82" s="19">
        <v>8.0950000000000006</v>
      </c>
      <c r="Q82" s="19">
        <v>7.5609999999999999</v>
      </c>
      <c r="R82" s="19"/>
      <c r="S82" s="19"/>
      <c r="T82" s="19"/>
      <c r="U82" s="19">
        <v>7.82</v>
      </c>
      <c r="V82" s="19">
        <v>10.119999999999999</v>
      </c>
      <c r="W82" s="19">
        <v>8.2110000000000003</v>
      </c>
      <c r="X82" s="19"/>
      <c r="Y82" s="19"/>
      <c r="Z82" s="19"/>
      <c r="AA82" s="19">
        <v>9.0790000000000006</v>
      </c>
      <c r="AB82" s="19">
        <v>8.4019999999999992</v>
      </c>
    </row>
    <row r="83" spans="2:31">
      <c r="B83" s="19"/>
      <c r="C83" s="19"/>
      <c r="D83" s="19"/>
      <c r="E83" s="2">
        <v>17</v>
      </c>
      <c r="F83" s="2">
        <v>21</v>
      </c>
      <c r="J83">
        <v>15</v>
      </c>
      <c r="K83" s="2">
        <v>19</v>
      </c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</row>
    <row r="84" spans="2:31">
      <c r="B84" s="19" t="s">
        <v>59</v>
      </c>
      <c r="C84" s="19">
        <v>2</v>
      </c>
      <c r="D84" s="19">
        <v>2</v>
      </c>
      <c r="E84">
        <v>1</v>
      </c>
      <c r="F84">
        <v>3</v>
      </c>
      <c r="J84">
        <v>2</v>
      </c>
      <c r="K84">
        <v>4</v>
      </c>
      <c r="P84" s="19">
        <v>10.119999999999999</v>
      </c>
      <c r="Q84" s="19">
        <v>9.1489999999999991</v>
      </c>
      <c r="R84" s="19"/>
      <c r="S84" s="19"/>
      <c r="T84" s="19"/>
      <c r="U84" s="19">
        <v>9.6159999999999997</v>
      </c>
      <c r="V84" s="19">
        <v>9.2949999999999999</v>
      </c>
      <c r="W84" s="19">
        <v>8.8940000000000001</v>
      </c>
      <c r="X84" s="19"/>
      <c r="Y84" s="19"/>
      <c r="Z84" s="19"/>
      <c r="AA84" s="19">
        <v>9.0909999999999993</v>
      </c>
      <c r="AB84" s="20">
        <v>9.3460000000000001</v>
      </c>
      <c r="AC84" t="s">
        <v>142</v>
      </c>
    </row>
    <row r="85" spans="2:31">
      <c r="B85" s="19"/>
      <c r="C85" s="19"/>
      <c r="D85" s="19"/>
      <c r="E85">
        <v>14</v>
      </c>
      <c r="F85" s="2">
        <v>18</v>
      </c>
      <c r="J85" s="2">
        <v>16</v>
      </c>
      <c r="K85" s="2">
        <v>20</v>
      </c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20"/>
      <c r="AC85" t="s">
        <v>143</v>
      </c>
      <c r="AD85" t="s">
        <v>144</v>
      </c>
      <c r="AE85" s="4" t="s">
        <v>145</v>
      </c>
    </row>
    <row r="86" spans="2:31">
      <c r="B86" s="19" t="s">
        <v>60</v>
      </c>
      <c r="C86" s="19">
        <v>2</v>
      </c>
      <c r="D86" s="19">
        <v>2</v>
      </c>
      <c r="E86">
        <v>1</v>
      </c>
      <c r="F86">
        <v>3</v>
      </c>
      <c r="J86">
        <v>2</v>
      </c>
      <c r="K86">
        <v>4</v>
      </c>
      <c r="P86" s="19">
        <v>8.4049999999999994</v>
      </c>
      <c r="Q86" s="19">
        <v>8.4879999999999995</v>
      </c>
      <c r="R86" s="19"/>
      <c r="S86" s="19"/>
      <c r="T86" s="19"/>
      <c r="U86" s="19">
        <v>8.4469999999999992</v>
      </c>
      <c r="V86" s="19">
        <v>10.119999999999999</v>
      </c>
      <c r="W86" s="19">
        <v>10.132</v>
      </c>
      <c r="X86" s="19"/>
      <c r="Y86" s="19"/>
      <c r="Z86" s="19"/>
      <c r="AA86" s="19">
        <v>10.125999999999999</v>
      </c>
      <c r="AB86" s="21">
        <v>9.2100000000000009</v>
      </c>
    </row>
    <row r="87" spans="2:31">
      <c r="B87" s="19"/>
      <c r="C87" s="19"/>
      <c r="D87" s="19"/>
      <c r="E87" s="3">
        <v>18</v>
      </c>
      <c r="F87">
        <v>20</v>
      </c>
      <c r="J87">
        <v>14</v>
      </c>
      <c r="K87">
        <v>16</v>
      </c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21"/>
    </row>
    <row r="88" spans="2:31">
      <c r="B88" s="19" t="s">
        <v>61</v>
      </c>
      <c r="C88" s="19">
        <v>2</v>
      </c>
      <c r="D88" s="19">
        <v>2</v>
      </c>
      <c r="E88">
        <v>1</v>
      </c>
      <c r="F88">
        <v>3</v>
      </c>
      <c r="J88">
        <v>2</v>
      </c>
      <c r="K88">
        <v>4</v>
      </c>
      <c r="P88" s="19">
        <v>8.0950000000000006</v>
      </c>
      <c r="Q88" s="19">
        <v>8.1590000000000007</v>
      </c>
      <c r="R88" s="19"/>
      <c r="S88" s="19"/>
      <c r="T88" s="19"/>
      <c r="U88" s="19">
        <v>8.1270000000000007</v>
      </c>
      <c r="V88" s="19">
        <v>10.119999999999999</v>
      </c>
      <c r="W88" s="19">
        <v>7.9039999999999999</v>
      </c>
      <c r="X88" s="19"/>
      <c r="Y88" s="19"/>
      <c r="Z88" s="19"/>
      <c r="AA88" s="19">
        <v>8.8930000000000007</v>
      </c>
      <c r="AB88" s="19">
        <v>8.4909999999999997</v>
      </c>
    </row>
    <row r="89" spans="2:31">
      <c r="B89" s="19"/>
      <c r="C89" s="19"/>
      <c r="D89" s="19"/>
      <c r="E89" s="2">
        <v>17</v>
      </c>
      <c r="F89">
        <v>19</v>
      </c>
      <c r="J89">
        <v>15</v>
      </c>
      <c r="K89" s="3">
        <v>21</v>
      </c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</row>
    <row r="90" spans="2:31">
      <c r="B90" s="19" t="s">
        <v>62</v>
      </c>
      <c r="C90" s="19">
        <v>2</v>
      </c>
      <c r="D90" s="19">
        <v>2</v>
      </c>
      <c r="E90">
        <v>1</v>
      </c>
      <c r="F90">
        <v>3</v>
      </c>
      <c r="J90">
        <v>2</v>
      </c>
      <c r="K90">
        <v>5</v>
      </c>
      <c r="P90" s="19">
        <v>9.1189999999999998</v>
      </c>
      <c r="Q90" s="19">
        <v>7.444</v>
      </c>
      <c r="R90" s="19"/>
      <c r="S90" s="19"/>
      <c r="T90" s="19"/>
      <c r="U90" s="19">
        <v>8.1999999999999993</v>
      </c>
      <c r="V90" s="19">
        <v>10.119999999999999</v>
      </c>
      <c r="W90" s="19">
        <v>8.4689999999999994</v>
      </c>
      <c r="X90" s="19"/>
      <c r="Y90" s="19"/>
      <c r="Z90" s="19"/>
      <c r="AA90" s="19">
        <v>9.2189999999999994</v>
      </c>
      <c r="AB90" s="19">
        <v>8.6790000000000003</v>
      </c>
    </row>
    <row r="91" spans="2:31">
      <c r="B91" s="19"/>
      <c r="C91" s="19"/>
      <c r="D91" s="19"/>
      <c r="E91" s="2">
        <v>17</v>
      </c>
      <c r="F91" s="2">
        <v>21</v>
      </c>
      <c r="J91">
        <v>15</v>
      </c>
      <c r="K91" s="2">
        <v>19</v>
      </c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</row>
    <row r="92" spans="2:31">
      <c r="B92" s="19" t="s">
        <v>63</v>
      </c>
      <c r="C92" s="19">
        <v>2</v>
      </c>
      <c r="D92" s="19">
        <v>2</v>
      </c>
      <c r="E92">
        <v>1</v>
      </c>
      <c r="F92">
        <v>3</v>
      </c>
      <c r="J92">
        <v>2</v>
      </c>
      <c r="K92">
        <v>5</v>
      </c>
      <c r="P92" s="19">
        <v>10.119999999999999</v>
      </c>
      <c r="Q92" s="19">
        <v>9.4670000000000005</v>
      </c>
      <c r="R92" s="19"/>
      <c r="S92" s="19"/>
      <c r="T92" s="19"/>
      <c r="U92" s="19">
        <v>9.7870000000000008</v>
      </c>
      <c r="V92" s="19">
        <v>9.7989999999999995</v>
      </c>
      <c r="W92" s="19">
        <v>9.5470000000000006</v>
      </c>
      <c r="X92" s="19"/>
      <c r="Y92" s="19"/>
      <c r="Z92" s="19"/>
      <c r="AA92" s="19">
        <v>9.6709999999999994</v>
      </c>
      <c r="AB92" s="20">
        <v>9.7289999999999992</v>
      </c>
      <c r="AC92" t="s">
        <v>142</v>
      </c>
    </row>
    <row r="93" spans="2:31">
      <c r="B93" s="19"/>
      <c r="C93" s="19"/>
      <c r="D93" s="19"/>
      <c r="E93">
        <v>14</v>
      </c>
      <c r="F93" s="2">
        <v>18</v>
      </c>
      <c r="J93" s="2">
        <v>16</v>
      </c>
      <c r="K93" s="2">
        <v>20</v>
      </c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20"/>
      <c r="AC93" t="s">
        <v>143</v>
      </c>
      <c r="AD93" t="s">
        <v>146</v>
      </c>
      <c r="AE93" s="2" t="s">
        <v>147</v>
      </c>
    </row>
    <row r="94" spans="2:31">
      <c r="B94" s="19" t="s">
        <v>64</v>
      </c>
      <c r="C94" s="19">
        <v>2</v>
      </c>
      <c r="D94" s="19">
        <v>2</v>
      </c>
      <c r="E94">
        <v>1</v>
      </c>
      <c r="F94">
        <v>3</v>
      </c>
      <c r="J94">
        <v>2</v>
      </c>
      <c r="K94">
        <v>5</v>
      </c>
      <c r="P94" s="19">
        <v>8.0389999999999997</v>
      </c>
      <c r="Q94" s="19">
        <v>8.1189999999999998</v>
      </c>
      <c r="R94" s="19"/>
      <c r="S94" s="19"/>
      <c r="T94" s="19"/>
      <c r="U94" s="19">
        <v>8.0790000000000006</v>
      </c>
      <c r="V94" s="19">
        <v>10.119999999999999</v>
      </c>
      <c r="W94" s="19">
        <v>10.132</v>
      </c>
      <c r="X94" s="19"/>
      <c r="Y94" s="19"/>
      <c r="Z94" s="19"/>
      <c r="AA94" s="19">
        <v>10.125999999999999</v>
      </c>
      <c r="AB94" s="19">
        <v>8.9930000000000003</v>
      </c>
    </row>
    <row r="95" spans="2:31">
      <c r="B95" s="19"/>
      <c r="C95" s="19"/>
      <c r="D95" s="19"/>
      <c r="E95" s="3">
        <v>19</v>
      </c>
      <c r="F95">
        <v>21</v>
      </c>
      <c r="J95">
        <v>14</v>
      </c>
      <c r="K95">
        <v>17</v>
      </c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</row>
    <row r="96" spans="2:31">
      <c r="B96" s="19" t="s">
        <v>65</v>
      </c>
      <c r="C96" s="19">
        <v>2</v>
      </c>
      <c r="D96" s="19">
        <v>2</v>
      </c>
      <c r="E96">
        <v>1</v>
      </c>
      <c r="F96">
        <v>3</v>
      </c>
      <c r="J96">
        <v>2</v>
      </c>
      <c r="K96">
        <v>5</v>
      </c>
      <c r="P96" s="19">
        <v>9.1189999999999998</v>
      </c>
      <c r="Q96" s="19">
        <v>9.157</v>
      </c>
      <c r="R96" s="19"/>
      <c r="S96" s="19"/>
      <c r="T96" s="19"/>
      <c r="U96" s="19">
        <v>9.1379999999999999</v>
      </c>
      <c r="V96" s="19">
        <v>10.119999999999999</v>
      </c>
      <c r="W96" s="19">
        <v>9.2309999999999999</v>
      </c>
      <c r="X96" s="19"/>
      <c r="Y96" s="19"/>
      <c r="Z96" s="19"/>
      <c r="AA96" s="19">
        <v>9.6590000000000007</v>
      </c>
      <c r="AB96" s="22">
        <v>9.391</v>
      </c>
    </row>
    <row r="97" spans="2:28">
      <c r="B97" s="19"/>
      <c r="C97" s="19"/>
      <c r="D97" s="19"/>
      <c r="E97" s="2">
        <v>17</v>
      </c>
      <c r="F97">
        <v>19</v>
      </c>
      <c r="J97">
        <v>15</v>
      </c>
      <c r="K97" s="3">
        <v>21</v>
      </c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22"/>
    </row>
    <row r="98" spans="2:28">
      <c r="B98" s="19" t="s">
        <v>66</v>
      </c>
      <c r="C98" s="19">
        <v>2</v>
      </c>
      <c r="D98" s="19">
        <v>2</v>
      </c>
      <c r="E98">
        <v>1</v>
      </c>
      <c r="F98">
        <v>4</v>
      </c>
      <c r="J98">
        <v>2</v>
      </c>
      <c r="K98">
        <v>5</v>
      </c>
      <c r="P98" s="19">
        <v>9.1189999999999998</v>
      </c>
      <c r="Q98" s="19">
        <v>7.7</v>
      </c>
      <c r="R98" s="19"/>
      <c r="S98" s="19"/>
      <c r="T98" s="19"/>
      <c r="U98" s="19">
        <v>8.3510000000000009</v>
      </c>
      <c r="V98" s="19">
        <v>10.119999999999999</v>
      </c>
      <c r="W98" s="19">
        <v>8.4670000000000005</v>
      </c>
      <c r="X98" s="19"/>
      <c r="Y98" s="19"/>
      <c r="Z98" s="19"/>
      <c r="AA98" s="19">
        <v>9.2189999999999994</v>
      </c>
      <c r="AB98" s="19">
        <v>8.7629999999999999</v>
      </c>
    </row>
    <row r="99" spans="2:28">
      <c r="B99" s="19"/>
      <c r="C99" s="19"/>
      <c r="D99" s="19"/>
      <c r="E99" s="2">
        <v>17</v>
      </c>
      <c r="F99" s="2">
        <v>21</v>
      </c>
      <c r="J99">
        <v>15</v>
      </c>
      <c r="K99" s="2">
        <v>19</v>
      </c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</row>
    <row r="100" spans="2:28">
      <c r="B100" s="19" t="s">
        <v>67</v>
      </c>
      <c r="C100" s="19">
        <v>2</v>
      </c>
      <c r="D100" s="19">
        <v>2</v>
      </c>
      <c r="E100">
        <v>1</v>
      </c>
      <c r="F100">
        <v>4</v>
      </c>
      <c r="J100">
        <v>2</v>
      </c>
      <c r="K100">
        <v>5</v>
      </c>
      <c r="P100" s="19">
        <v>10.119999999999999</v>
      </c>
      <c r="Q100" s="19">
        <v>9.9220000000000006</v>
      </c>
      <c r="R100" s="19"/>
      <c r="S100" s="19"/>
      <c r="T100" s="19"/>
      <c r="U100" s="19">
        <v>10.021000000000001</v>
      </c>
      <c r="V100" s="19">
        <v>9.7989999999999995</v>
      </c>
      <c r="W100" s="19">
        <v>9.6170000000000009</v>
      </c>
      <c r="X100" s="19"/>
      <c r="Y100" s="19"/>
      <c r="Z100" s="19"/>
      <c r="AA100" s="19">
        <v>9.7059999999999995</v>
      </c>
      <c r="AB100" s="20">
        <v>9.8620000000000001</v>
      </c>
    </row>
    <row r="101" spans="2:28">
      <c r="B101" s="19"/>
      <c r="C101" s="19"/>
      <c r="D101" s="19"/>
      <c r="E101">
        <v>14</v>
      </c>
      <c r="F101" s="2">
        <v>18</v>
      </c>
      <c r="J101" s="2">
        <v>16</v>
      </c>
      <c r="K101" s="2">
        <v>20</v>
      </c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20"/>
    </row>
    <row r="102" spans="2:28">
      <c r="B102" s="19" t="s">
        <v>68</v>
      </c>
      <c r="C102" s="19">
        <v>2</v>
      </c>
      <c r="D102" s="19">
        <v>2</v>
      </c>
      <c r="E102">
        <v>1</v>
      </c>
      <c r="F102">
        <v>4</v>
      </c>
      <c r="J102">
        <v>2</v>
      </c>
      <c r="K102">
        <v>5</v>
      </c>
      <c r="P102" s="19">
        <v>8.0389999999999997</v>
      </c>
      <c r="Q102" s="19">
        <v>8.39</v>
      </c>
      <c r="R102" s="19"/>
      <c r="S102" s="19"/>
      <c r="T102" s="19"/>
      <c r="U102" s="19">
        <v>8.2110000000000003</v>
      </c>
      <c r="V102" s="19">
        <v>10.119999999999999</v>
      </c>
      <c r="W102" s="19">
        <v>10.132</v>
      </c>
      <c r="X102" s="19"/>
      <c r="Y102" s="19"/>
      <c r="Z102" s="19"/>
      <c r="AA102" s="19">
        <v>10.125999999999999</v>
      </c>
      <c r="AB102" s="19">
        <v>9.0739999999999998</v>
      </c>
    </row>
    <row r="103" spans="2:28">
      <c r="B103" s="19"/>
      <c r="C103" s="19"/>
      <c r="D103" s="19"/>
      <c r="E103" s="3">
        <v>19</v>
      </c>
      <c r="F103">
        <v>21</v>
      </c>
      <c r="J103">
        <v>14</v>
      </c>
      <c r="K103">
        <v>17</v>
      </c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</row>
    <row r="104" spans="2:28">
      <c r="B104" s="19" t="s">
        <v>69</v>
      </c>
      <c r="C104" s="19">
        <v>2</v>
      </c>
      <c r="D104" s="19">
        <v>2</v>
      </c>
      <c r="E104">
        <v>1</v>
      </c>
      <c r="F104">
        <v>4</v>
      </c>
      <c r="J104">
        <v>2</v>
      </c>
      <c r="K104">
        <v>5</v>
      </c>
      <c r="P104" s="19">
        <v>9.1189999999999998</v>
      </c>
      <c r="Q104" s="19">
        <v>9.5090000000000003</v>
      </c>
      <c r="R104" s="19"/>
      <c r="S104" s="19"/>
      <c r="T104" s="19"/>
      <c r="U104" s="19">
        <v>9.3070000000000004</v>
      </c>
      <c r="V104" s="19">
        <v>10.119999999999999</v>
      </c>
      <c r="W104" s="19">
        <v>9.2309999999999999</v>
      </c>
      <c r="X104" s="19"/>
      <c r="Y104" s="19"/>
      <c r="Z104" s="19"/>
      <c r="AA104" s="19">
        <v>9.6579999999999995</v>
      </c>
      <c r="AB104" s="21">
        <v>9.4789999999999992</v>
      </c>
    </row>
    <row r="105" spans="2:28">
      <c r="B105" s="19"/>
      <c r="C105" s="19"/>
      <c r="D105" s="19"/>
      <c r="E105" s="2">
        <v>17</v>
      </c>
      <c r="F105">
        <v>19</v>
      </c>
      <c r="J105">
        <v>15</v>
      </c>
      <c r="K105" s="3">
        <v>21</v>
      </c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21"/>
    </row>
    <row r="106" spans="2:28">
      <c r="B106" s="19" t="s">
        <v>70</v>
      </c>
      <c r="C106" s="19">
        <v>1</v>
      </c>
      <c r="D106" s="19">
        <v>3</v>
      </c>
      <c r="E106">
        <v>1</v>
      </c>
      <c r="J106">
        <v>1</v>
      </c>
      <c r="K106">
        <v>3</v>
      </c>
      <c r="L106">
        <v>5</v>
      </c>
      <c r="P106" s="19">
        <v>10.119999999999999</v>
      </c>
      <c r="Q106" s="19"/>
      <c r="R106" s="19"/>
      <c r="S106" s="19"/>
      <c r="T106" s="19"/>
      <c r="U106" s="19">
        <f>P106</f>
        <v>10.119999999999999</v>
      </c>
      <c r="V106" s="19">
        <v>9.4209999999999994</v>
      </c>
      <c r="W106" s="19">
        <v>9.5180000000000007</v>
      </c>
      <c r="X106" s="19">
        <v>9.6140000000000008</v>
      </c>
      <c r="Y106" s="19"/>
      <c r="Z106" s="19"/>
      <c r="AA106" s="19">
        <v>9.5180000000000007</v>
      </c>
      <c r="AB106" s="20">
        <v>9.6639999999999997</v>
      </c>
    </row>
    <row r="107" spans="2:28">
      <c r="B107" s="19"/>
      <c r="C107" s="19"/>
      <c r="D107" s="19"/>
      <c r="E107">
        <v>14</v>
      </c>
      <c r="J107" s="2">
        <v>16</v>
      </c>
      <c r="K107">
        <v>18</v>
      </c>
      <c r="L107">
        <v>20</v>
      </c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20"/>
    </row>
    <row r="108" spans="2:28">
      <c r="B108" s="19" t="s">
        <v>71</v>
      </c>
      <c r="C108" s="19">
        <v>1</v>
      </c>
      <c r="D108" s="19">
        <v>3</v>
      </c>
      <c r="E108">
        <v>1</v>
      </c>
      <c r="J108">
        <v>1</v>
      </c>
      <c r="K108">
        <v>3</v>
      </c>
      <c r="L108">
        <v>5</v>
      </c>
      <c r="P108" s="19">
        <v>9.1329999999999991</v>
      </c>
      <c r="Q108" s="19"/>
      <c r="R108" s="19"/>
      <c r="S108" s="19"/>
      <c r="T108" s="19"/>
      <c r="U108" s="19">
        <f t="shared" ref="U108" si="28">P108</f>
        <v>9.1329999999999991</v>
      </c>
      <c r="V108" s="19">
        <v>10.119999999999999</v>
      </c>
      <c r="W108" s="19">
        <v>9.2059999999999995</v>
      </c>
      <c r="X108" s="19">
        <v>9.2989999999999995</v>
      </c>
      <c r="Y108" s="19"/>
      <c r="Z108" s="19"/>
      <c r="AA108" s="19">
        <v>9.5269999999999992</v>
      </c>
      <c r="AB108" s="19">
        <v>9.4269999999999996</v>
      </c>
    </row>
    <row r="109" spans="2:28">
      <c r="B109" s="19"/>
      <c r="C109" s="19"/>
      <c r="D109" s="19"/>
      <c r="E109" s="2">
        <v>16</v>
      </c>
      <c r="J109">
        <v>14</v>
      </c>
      <c r="K109" s="2">
        <v>18</v>
      </c>
      <c r="L109">
        <v>20</v>
      </c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</row>
    <row r="110" spans="2:28">
      <c r="B110" s="19" t="s">
        <v>72</v>
      </c>
      <c r="C110" s="19">
        <v>1</v>
      </c>
      <c r="D110" s="19">
        <v>3</v>
      </c>
      <c r="E110">
        <v>1</v>
      </c>
      <c r="J110">
        <v>1</v>
      </c>
      <c r="K110">
        <v>3</v>
      </c>
      <c r="L110">
        <v>5</v>
      </c>
      <c r="P110" s="19">
        <v>8.75</v>
      </c>
      <c r="Q110" s="19"/>
      <c r="R110" s="19"/>
      <c r="S110" s="19"/>
      <c r="T110" s="19"/>
      <c r="U110" s="19">
        <f t="shared" ref="U110" si="29">P110</f>
        <v>8.75</v>
      </c>
      <c r="V110" s="19">
        <v>10.119999999999999</v>
      </c>
      <c r="W110" s="19">
        <v>10.021000000000001</v>
      </c>
      <c r="X110" s="19">
        <v>9.4499999999999993</v>
      </c>
      <c r="Y110" s="19"/>
      <c r="Z110" s="19"/>
      <c r="AA110" s="19">
        <v>9.8580000000000005</v>
      </c>
      <c r="AB110" s="21">
        <v>9.5519999999999996</v>
      </c>
    </row>
    <row r="111" spans="2:28">
      <c r="B111" s="19"/>
      <c r="C111" s="19"/>
      <c r="D111" s="19"/>
      <c r="E111" s="2">
        <v>18</v>
      </c>
      <c r="J111">
        <v>14</v>
      </c>
      <c r="K111">
        <v>16</v>
      </c>
      <c r="L111" s="2">
        <v>20</v>
      </c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21"/>
    </row>
    <row r="112" spans="2:28">
      <c r="B112" s="19" t="s">
        <v>73</v>
      </c>
      <c r="C112" s="19">
        <v>1</v>
      </c>
      <c r="D112" s="19">
        <v>3</v>
      </c>
      <c r="E112">
        <v>1</v>
      </c>
      <c r="J112">
        <v>1</v>
      </c>
      <c r="K112">
        <v>3</v>
      </c>
      <c r="L112">
        <v>5</v>
      </c>
      <c r="P112" s="19">
        <v>8.1869999999999994</v>
      </c>
      <c r="Q112" s="19"/>
      <c r="R112" s="19"/>
      <c r="S112" s="19"/>
      <c r="T112" s="19"/>
      <c r="U112" s="19">
        <f t="shared" ref="U112" si="30">P112</f>
        <v>8.1869999999999994</v>
      </c>
      <c r="V112" s="19">
        <v>10.119999999999999</v>
      </c>
      <c r="W112" s="19">
        <v>10.021000000000001</v>
      </c>
      <c r="X112" s="19">
        <v>10.106</v>
      </c>
      <c r="Y112" s="19"/>
      <c r="Z112" s="19"/>
      <c r="AA112" s="19">
        <v>10.082000000000001</v>
      </c>
      <c r="AB112" s="19">
        <v>9.5410000000000004</v>
      </c>
    </row>
    <row r="113" spans="2:28">
      <c r="B113" s="19"/>
      <c r="C113" s="19"/>
      <c r="D113" s="19"/>
      <c r="E113" s="2">
        <v>20</v>
      </c>
      <c r="J113">
        <v>14</v>
      </c>
      <c r="K113">
        <v>16</v>
      </c>
      <c r="L113">
        <v>18</v>
      </c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</row>
    <row r="114" spans="2:28">
      <c r="B114" s="19" t="s">
        <v>74</v>
      </c>
      <c r="C114" s="19">
        <v>1</v>
      </c>
      <c r="D114" s="19">
        <v>3</v>
      </c>
      <c r="E114">
        <v>1</v>
      </c>
      <c r="J114">
        <v>1</v>
      </c>
      <c r="K114">
        <v>3</v>
      </c>
      <c r="L114">
        <v>6</v>
      </c>
      <c r="P114" s="19">
        <v>10.119999999999999</v>
      </c>
      <c r="Q114" s="19"/>
      <c r="R114" s="19"/>
      <c r="S114" s="19"/>
      <c r="T114" s="19"/>
      <c r="U114" s="19">
        <f t="shared" ref="U114" si="31">P114</f>
        <v>10.119999999999999</v>
      </c>
      <c r="V114" s="19">
        <v>9.4209999999999994</v>
      </c>
      <c r="W114" s="19">
        <v>9.5180000000000007</v>
      </c>
      <c r="X114" s="19">
        <v>9.9789999999999992</v>
      </c>
      <c r="Y114" s="19"/>
      <c r="Z114" s="19"/>
      <c r="AA114" s="19">
        <v>9.6349999999999998</v>
      </c>
      <c r="AB114" s="20">
        <v>9.7539999999999996</v>
      </c>
    </row>
    <row r="115" spans="2:28">
      <c r="B115" s="19"/>
      <c r="C115" s="19"/>
      <c r="D115" s="19"/>
      <c r="E115">
        <v>14</v>
      </c>
      <c r="J115" s="2">
        <v>16</v>
      </c>
      <c r="K115">
        <v>18</v>
      </c>
      <c r="L115">
        <v>20</v>
      </c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20"/>
    </row>
    <row r="116" spans="2:28">
      <c r="B116" s="19" t="s">
        <v>75</v>
      </c>
      <c r="C116" s="19">
        <v>1</v>
      </c>
      <c r="D116" s="19">
        <v>3</v>
      </c>
      <c r="E116">
        <v>1</v>
      </c>
      <c r="J116">
        <v>1</v>
      </c>
      <c r="K116">
        <v>3</v>
      </c>
      <c r="L116">
        <v>6</v>
      </c>
      <c r="P116" s="19">
        <v>9.1329999999999991</v>
      </c>
      <c r="Q116" s="19"/>
      <c r="R116" s="19"/>
      <c r="S116" s="19"/>
      <c r="T116" s="19"/>
      <c r="U116" s="19">
        <f t="shared" ref="U116" si="32">P116</f>
        <v>9.1329999999999991</v>
      </c>
      <c r="V116" s="19">
        <v>10.119999999999999</v>
      </c>
      <c r="W116" s="19">
        <v>9.2059999999999995</v>
      </c>
      <c r="X116" s="19">
        <v>9.6560000000000006</v>
      </c>
      <c r="Y116" s="19"/>
      <c r="Z116" s="19"/>
      <c r="AA116" s="19">
        <v>9.6489999999999991</v>
      </c>
      <c r="AB116" s="19">
        <v>9.5169999999999995</v>
      </c>
    </row>
    <row r="117" spans="2:28">
      <c r="B117" s="19"/>
      <c r="C117" s="19"/>
      <c r="D117" s="19"/>
      <c r="E117" s="2">
        <v>16</v>
      </c>
      <c r="J117">
        <v>14</v>
      </c>
      <c r="K117" s="2">
        <v>18</v>
      </c>
      <c r="L117">
        <v>20</v>
      </c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</row>
    <row r="118" spans="2:28">
      <c r="B118" s="19" t="s">
        <v>76</v>
      </c>
      <c r="C118" s="19">
        <v>1</v>
      </c>
      <c r="D118" s="19">
        <v>3</v>
      </c>
      <c r="E118">
        <v>1</v>
      </c>
      <c r="J118">
        <v>1</v>
      </c>
      <c r="K118">
        <v>3</v>
      </c>
      <c r="L118">
        <v>6</v>
      </c>
      <c r="P118" s="19">
        <v>8.75</v>
      </c>
      <c r="Q118" s="19"/>
      <c r="R118" s="19"/>
      <c r="S118" s="19"/>
      <c r="T118" s="19"/>
      <c r="U118" s="19">
        <f t="shared" ref="U118" si="33">P118</f>
        <v>8.75</v>
      </c>
      <c r="V118" s="19">
        <v>10.119999999999999</v>
      </c>
      <c r="W118" s="19">
        <v>10.021000000000001</v>
      </c>
      <c r="X118" s="19">
        <v>9.8260000000000005</v>
      </c>
      <c r="Y118" s="19"/>
      <c r="Z118" s="19"/>
      <c r="AA118" s="19">
        <v>9.9890000000000008</v>
      </c>
      <c r="AB118" s="21">
        <v>9.6430000000000007</v>
      </c>
    </row>
    <row r="119" spans="2:28">
      <c r="B119" s="19"/>
      <c r="C119" s="19"/>
      <c r="D119" s="19"/>
      <c r="E119" s="2">
        <v>18</v>
      </c>
      <c r="J119">
        <v>14</v>
      </c>
      <c r="K119">
        <v>16</v>
      </c>
      <c r="L119" s="2">
        <v>20</v>
      </c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21"/>
    </row>
    <row r="120" spans="2:28">
      <c r="B120" s="19" t="s">
        <v>77</v>
      </c>
      <c r="C120" s="19">
        <v>1</v>
      </c>
      <c r="D120" s="19">
        <v>3</v>
      </c>
      <c r="E120">
        <v>1</v>
      </c>
      <c r="J120">
        <v>1</v>
      </c>
      <c r="K120">
        <v>3</v>
      </c>
      <c r="L120">
        <v>6</v>
      </c>
      <c r="P120" s="19">
        <v>7.9509999999999996</v>
      </c>
      <c r="Q120" s="19"/>
      <c r="R120" s="19"/>
      <c r="S120" s="19"/>
      <c r="T120" s="19"/>
      <c r="U120" s="19">
        <f t="shared" ref="U120" si="34">P120</f>
        <v>7.9509999999999996</v>
      </c>
      <c r="V120" s="19">
        <v>10.119999999999999</v>
      </c>
      <c r="W120" s="19">
        <v>10.021000000000001</v>
      </c>
      <c r="X120" s="19">
        <v>10.132</v>
      </c>
      <c r="Y120" s="19"/>
      <c r="Z120" s="19"/>
      <c r="AA120" s="19">
        <v>10.090999999999999</v>
      </c>
      <c r="AB120" s="19">
        <v>9.4649999999999999</v>
      </c>
    </row>
    <row r="121" spans="2:28">
      <c r="B121" s="19"/>
      <c r="C121" s="19"/>
      <c r="D121" s="19"/>
      <c r="E121" s="2">
        <v>21</v>
      </c>
      <c r="J121">
        <v>14</v>
      </c>
      <c r="K121">
        <v>16</v>
      </c>
      <c r="L121">
        <v>19</v>
      </c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</row>
    <row r="122" spans="2:28">
      <c r="B122" s="19" t="s">
        <v>78</v>
      </c>
      <c r="C122" s="19">
        <v>1</v>
      </c>
      <c r="D122" s="19">
        <v>3</v>
      </c>
      <c r="E122">
        <v>1</v>
      </c>
      <c r="J122">
        <v>1</v>
      </c>
      <c r="K122">
        <v>4</v>
      </c>
      <c r="L122">
        <v>6</v>
      </c>
      <c r="P122" s="19">
        <v>10.119999999999999</v>
      </c>
      <c r="Q122" s="19"/>
      <c r="R122" s="19"/>
      <c r="S122" s="19"/>
      <c r="T122" s="19"/>
      <c r="U122" s="19">
        <f t="shared" ref="U122" si="35">P122</f>
        <v>10.119999999999999</v>
      </c>
      <c r="V122" s="19">
        <v>9.4209999999999994</v>
      </c>
      <c r="W122" s="19">
        <v>9.8870000000000005</v>
      </c>
      <c r="X122" s="19">
        <v>9.9760000000000009</v>
      </c>
      <c r="Y122" s="19"/>
      <c r="Z122" s="19"/>
      <c r="AA122" s="19">
        <v>9.7569999999999997</v>
      </c>
      <c r="AB122" s="20">
        <v>9.8469999999999995</v>
      </c>
    </row>
    <row r="123" spans="2:28">
      <c r="B123" s="19"/>
      <c r="C123" s="19"/>
      <c r="D123" s="19"/>
      <c r="E123">
        <v>14</v>
      </c>
      <c r="J123" s="2">
        <v>16</v>
      </c>
      <c r="K123">
        <v>18</v>
      </c>
      <c r="L123">
        <v>20</v>
      </c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20"/>
    </row>
    <row r="124" spans="2:28">
      <c r="B124" s="19" t="s">
        <v>79</v>
      </c>
      <c r="C124" s="19">
        <v>1</v>
      </c>
      <c r="D124" s="19">
        <v>3</v>
      </c>
      <c r="E124">
        <v>1</v>
      </c>
      <c r="J124">
        <v>1</v>
      </c>
      <c r="K124">
        <v>4</v>
      </c>
      <c r="L124">
        <v>6</v>
      </c>
      <c r="P124" s="19">
        <v>9.1329999999999991</v>
      </c>
      <c r="Q124" s="19"/>
      <c r="R124" s="19"/>
      <c r="S124" s="19"/>
      <c r="T124" s="19"/>
      <c r="U124" s="19">
        <f t="shared" ref="U124" si="36">P124</f>
        <v>9.1329999999999991</v>
      </c>
      <c r="V124" s="19">
        <v>10.119999999999999</v>
      </c>
      <c r="W124" s="19">
        <v>9.5649999999999995</v>
      </c>
      <c r="X124" s="19">
        <v>9.6609999999999996</v>
      </c>
      <c r="Y124" s="19"/>
      <c r="Z124" s="19"/>
      <c r="AA124" s="19">
        <v>9.7780000000000005</v>
      </c>
      <c r="AB124" s="21">
        <v>9.6110000000000007</v>
      </c>
    </row>
    <row r="125" spans="2:28">
      <c r="B125" s="19"/>
      <c r="C125" s="19"/>
      <c r="D125" s="19"/>
      <c r="E125" s="2">
        <v>16</v>
      </c>
      <c r="J125">
        <v>14</v>
      </c>
      <c r="K125" s="2">
        <v>18</v>
      </c>
      <c r="L125">
        <v>20</v>
      </c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21"/>
    </row>
    <row r="126" spans="2:28">
      <c r="B126" s="19" t="s">
        <v>80</v>
      </c>
      <c r="C126" s="19">
        <v>1</v>
      </c>
      <c r="D126" s="19">
        <v>3</v>
      </c>
      <c r="E126">
        <v>1</v>
      </c>
      <c r="J126">
        <v>1</v>
      </c>
      <c r="K126">
        <v>4</v>
      </c>
      <c r="L126">
        <v>6</v>
      </c>
      <c r="P126" s="19">
        <v>8.2189999999999994</v>
      </c>
      <c r="Q126" s="19"/>
      <c r="R126" s="19"/>
      <c r="S126" s="19"/>
      <c r="T126" s="19"/>
      <c r="U126" s="19">
        <f t="shared" ref="U126" si="37">P126</f>
        <v>8.2189999999999994</v>
      </c>
      <c r="V126" s="19">
        <v>10.119999999999999</v>
      </c>
      <c r="W126" s="19">
        <v>10.021000000000001</v>
      </c>
      <c r="X126" s="19">
        <v>9.1389999999999993</v>
      </c>
      <c r="Y126" s="19"/>
      <c r="Z126" s="19"/>
      <c r="AA126" s="19">
        <v>9.7439999999999998</v>
      </c>
      <c r="AB126" s="19">
        <v>9.3059999999999992</v>
      </c>
    </row>
    <row r="127" spans="2:28">
      <c r="B127" s="19"/>
      <c r="C127" s="19"/>
      <c r="D127" s="19"/>
      <c r="E127" s="2">
        <v>19</v>
      </c>
      <c r="J127">
        <v>14</v>
      </c>
      <c r="K127">
        <v>17</v>
      </c>
      <c r="L127" s="2">
        <v>21</v>
      </c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</row>
    <row r="128" spans="2:28">
      <c r="B128" s="19" t="s">
        <v>81</v>
      </c>
      <c r="C128" s="19">
        <v>1</v>
      </c>
      <c r="D128" s="19">
        <v>3</v>
      </c>
      <c r="E128">
        <v>1</v>
      </c>
      <c r="J128">
        <v>1</v>
      </c>
      <c r="K128">
        <v>4</v>
      </c>
      <c r="L128">
        <v>6</v>
      </c>
      <c r="P128" s="19">
        <v>7.93</v>
      </c>
      <c r="Q128" s="19"/>
      <c r="R128" s="19"/>
      <c r="S128" s="19"/>
      <c r="T128" s="19"/>
      <c r="U128" s="19">
        <f t="shared" ref="U128" si="38">P128</f>
        <v>7.93</v>
      </c>
      <c r="V128" s="19">
        <v>10.119999999999999</v>
      </c>
      <c r="W128" s="19">
        <v>10.021000000000001</v>
      </c>
      <c r="X128" s="19">
        <v>10.106</v>
      </c>
      <c r="Y128" s="19"/>
      <c r="Z128" s="19"/>
      <c r="AA128" s="19">
        <v>10.082000000000001</v>
      </c>
      <c r="AB128" s="19">
        <v>9.4529999999999994</v>
      </c>
    </row>
    <row r="129" spans="2:28">
      <c r="B129" s="19"/>
      <c r="C129" s="19"/>
      <c r="D129" s="19"/>
      <c r="E129" s="2">
        <v>21</v>
      </c>
      <c r="J129">
        <v>14</v>
      </c>
      <c r="K129">
        <v>17</v>
      </c>
      <c r="L129">
        <v>19</v>
      </c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</row>
    <row r="130" spans="2:28">
      <c r="B130" s="19" t="s">
        <v>82</v>
      </c>
      <c r="C130" s="19">
        <v>1</v>
      </c>
      <c r="D130" s="19">
        <v>3</v>
      </c>
      <c r="E130">
        <v>1</v>
      </c>
      <c r="J130">
        <v>1</v>
      </c>
      <c r="K130">
        <v>4</v>
      </c>
      <c r="L130">
        <v>7</v>
      </c>
      <c r="P130" s="19">
        <v>10.119999999999999</v>
      </c>
      <c r="Q130" s="19"/>
      <c r="R130" s="19"/>
      <c r="S130" s="19"/>
      <c r="T130" s="19"/>
      <c r="U130" s="19">
        <f t="shared" ref="U130" si="39">P130</f>
        <v>10.119999999999999</v>
      </c>
      <c r="V130" s="19">
        <v>9.4209999999999994</v>
      </c>
      <c r="W130" s="19">
        <v>9.8870000000000005</v>
      </c>
      <c r="X130" s="19">
        <v>10.132</v>
      </c>
      <c r="Y130" s="19"/>
      <c r="Z130" s="19"/>
      <c r="AA130" s="19">
        <v>9.8079999999999998</v>
      </c>
      <c r="AB130" s="20">
        <v>9.8849999999999998</v>
      </c>
    </row>
    <row r="131" spans="2:28">
      <c r="B131" s="19"/>
      <c r="C131" s="19"/>
      <c r="D131" s="19"/>
      <c r="E131">
        <v>14</v>
      </c>
      <c r="J131" s="2">
        <v>16</v>
      </c>
      <c r="K131">
        <v>18</v>
      </c>
      <c r="L131">
        <v>20</v>
      </c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20"/>
    </row>
    <row r="132" spans="2:28">
      <c r="B132" s="19" t="s">
        <v>83</v>
      </c>
      <c r="C132" s="19">
        <v>1</v>
      </c>
      <c r="D132" s="19">
        <v>3</v>
      </c>
      <c r="E132">
        <v>1</v>
      </c>
      <c r="J132">
        <v>1</v>
      </c>
      <c r="K132">
        <v>4</v>
      </c>
      <c r="L132">
        <v>7</v>
      </c>
      <c r="P132" s="19">
        <v>9.1329999999999991</v>
      </c>
      <c r="Q132" s="19"/>
      <c r="R132" s="19"/>
      <c r="S132" s="19"/>
      <c r="T132" s="19"/>
      <c r="U132" s="19">
        <f t="shared" ref="U132" si="40">P132</f>
        <v>9.1329999999999991</v>
      </c>
      <c r="V132" s="19">
        <v>10.119999999999999</v>
      </c>
      <c r="W132" s="19">
        <v>9.5649999999999995</v>
      </c>
      <c r="X132" s="19">
        <v>10.044</v>
      </c>
      <c r="Y132" s="19"/>
      <c r="Z132" s="19"/>
      <c r="AA132" s="19">
        <v>9.9049999999999994</v>
      </c>
      <c r="AB132" s="21">
        <v>9.7029999999999994</v>
      </c>
    </row>
    <row r="133" spans="2:28">
      <c r="B133" s="19"/>
      <c r="C133" s="19"/>
      <c r="D133" s="19"/>
      <c r="E133" s="2">
        <v>16</v>
      </c>
      <c r="J133">
        <v>14</v>
      </c>
      <c r="K133" s="2">
        <v>18</v>
      </c>
      <c r="L133">
        <v>20</v>
      </c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21"/>
    </row>
    <row r="134" spans="2:28">
      <c r="B134" s="19" t="s">
        <v>84</v>
      </c>
      <c r="C134" s="19">
        <v>1</v>
      </c>
      <c r="D134" s="19">
        <v>3</v>
      </c>
      <c r="E134">
        <v>1</v>
      </c>
      <c r="J134">
        <v>1</v>
      </c>
      <c r="K134">
        <v>4</v>
      </c>
      <c r="L134">
        <v>7</v>
      </c>
      <c r="P134" s="19">
        <v>8.2200000000000006</v>
      </c>
      <c r="Q134" s="19"/>
      <c r="R134" s="19"/>
      <c r="S134" s="19"/>
      <c r="T134" s="19"/>
      <c r="U134" s="19">
        <f t="shared" ref="U134" si="41">P134</f>
        <v>8.2200000000000006</v>
      </c>
      <c r="V134" s="19">
        <v>10.119999999999999</v>
      </c>
      <c r="W134" s="19">
        <v>10.210000000000001</v>
      </c>
      <c r="X134" s="19">
        <v>9.3420000000000005</v>
      </c>
      <c r="Y134" s="19"/>
      <c r="Z134" s="19"/>
      <c r="AA134" s="19">
        <v>9.8209999999999997</v>
      </c>
      <c r="AB134" s="19">
        <v>9.3569999999999993</v>
      </c>
    </row>
    <row r="135" spans="2:28">
      <c r="B135" s="19"/>
      <c r="C135" s="19"/>
      <c r="D135" s="19"/>
      <c r="E135" s="2">
        <v>19</v>
      </c>
      <c r="J135">
        <v>14</v>
      </c>
      <c r="K135">
        <v>17</v>
      </c>
      <c r="L135" s="2">
        <v>21</v>
      </c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</row>
    <row r="136" spans="2:28">
      <c r="B136" s="19" t="s">
        <v>85</v>
      </c>
      <c r="C136" s="19">
        <v>1</v>
      </c>
      <c r="D136" s="19">
        <v>3</v>
      </c>
      <c r="E136">
        <v>1</v>
      </c>
      <c r="J136">
        <v>1</v>
      </c>
      <c r="K136">
        <v>4</v>
      </c>
      <c r="L136">
        <v>7</v>
      </c>
      <c r="P136" s="19">
        <v>7.4790000000000001</v>
      </c>
      <c r="Q136" s="19"/>
      <c r="R136" s="19"/>
      <c r="S136" s="19"/>
      <c r="T136" s="19"/>
      <c r="U136" s="19">
        <f t="shared" ref="U136" si="42">P136</f>
        <v>7.4790000000000001</v>
      </c>
      <c r="V136" s="19">
        <v>10.119999999999999</v>
      </c>
      <c r="W136" s="19">
        <v>10.021000000000001</v>
      </c>
      <c r="X136" s="19">
        <v>10.132</v>
      </c>
      <c r="Y136" s="19"/>
      <c r="Z136" s="19"/>
      <c r="AA136" s="19">
        <v>10.090999999999999</v>
      </c>
      <c r="AB136" s="19">
        <v>9.2759999999999998</v>
      </c>
    </row>
    <row r="137" spans="2:28">
      <c r="B137" s="19"/>
      <c r="C137" s="19"/>
      <c r="D137" s="19"/>
      <c r="E137" s="2">
        <v>22</v>
      </c>
      <c r="J137">
        <v>14</v>
      </c>
      <c r="K137">
        <v>17</v>
      </c>
      <c r="L137">
        <v>20</v>
      </c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</row>
    <row r="138" spans="2:28">
      <c r="B138" s="19" t="s">
        <v>86</v>
      </c>
      <c r="C138" s="19">
        <v>1</v>
      </c>
      <c r="D138" s="19">
        <v>3</v>
      </c>
      <c r="E138">
        <v>2</v>
      </c>
      <c r="J138">
        <v>1</v>
      </c>
      <c r="K138">
        <v>3</v>
      </c>
      <c r="L138">
        <v>5</v>
      </c>
      <c r="P138" s="19">
        <v>10.119999999999999</v>
      </c>
      <c r="Q138" s="19"/>
      <c r="R138" s="19"/>
      <c r="S138" s="19"/>
      <c r="T138" s="19"/>
      <c r="U138" s="19">
        <f t="shared" ref="U138" si="43">P138</f>
        <v>10.119999999999999</v>
      </c>
      <c r="V138" s="19">
        <v>9.048</v>
      </c>
      <c r="W138" s="19">
        <v>9.1050000000000004</v>
      </c>
      <c r="X138" s="19">
        <v>9.1969999999999992</v>
      </c>
      <c r="Y138" s="19"/>
      <c r="Z138" s="19"/>
      <c r="AA138" s="19">
        <v>9.1159999999999997</v>
      </c>
      <c r="AB138" s="19">
        <v>9.3510000000000009</v>
      </c>
    </row>
    <row r="139" spans="2:28">
      <c r="B139" s="19"/>
      <c r="C139" s="19"/>
      <c r="D139" s="19"/>
      <c r="E139">
        <v>15</v>
      </c>
      <c r="J139" s="2">
        <v>17</v>
      </c>
      <c r="K139">
        <v>19</v>
      </c>
      <c r="L139">
        <v>21</v>
      </c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</row>
    <row r="140" spans="2:28">
      <c r="B140" s="19" t="s">
        <v>87</v>
      </c>
      <c r="C140" s="19">
        <v>1</v>
      </c>
      <c r="D140" s="19">
        <v>3</v>
      </c>
      <c r="E140">
        <v>2</v>
      </c>
      <c r="J140">
        <v>1</v>
      </c>
      <c r="K140">
        <v>3</v>
      </c>
      <c r="L140">
        <v>5</v>
      </c>
      <c r="P140" s="19">
        <v>9.843</v>
      </c>
      <c r="Q140" s="19"/>
      <c r="R140" s="19"/>
      <c r="S140" s="19"/>
      <c r="T140" s="19"/>
      <c r="U140" s="19">
        <f t="shared" ref="U140" si="44">P140</f>
        <v>9.843</v>
      </c>
      <c r="V140" s="19">
        <v>10.119999999999999</v>
      </c>
      <c r="W140" s="19">
        <v>9.5250000000000004</v>
      </c>
      <c r="X140" s="19">
        <v>9.6199999999999992</v>
      </c>
      <c r="Y140" s="19"/>
      <c r="Z140" s="19"/>
      <c r="AA140" s="19">
        <v>9.75</v>
      </c>
      <c r="AB140" s="20">
        <v>9.7729999999999997</v>
      </c>
    </row>
    <row r="141" spans="2:28">
      <c r="B141" s="19"/>
      <c r="C141" s="19"/>
      <c r="D141" s="19"/>
      <c r="E141" s="2">
        <v>16</v>
      </c>
      <c r="J141">
        <v>14</v>
      </c>
      <c r="K141" s="2">
        <v>18</v>
      </c>
      <c r="L141">
        <v>20</v>
      </c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20"/>
    </row>
    <row r="142" spans="2:28">
      <c r="B142" s="19" t="s">
        <v>88</v>
      </c>
      <c r="C142" s="19">
        <v>1</v>
      </c>
      <c r="D142" s="19">
        <v>3</v>
      </c>
      <c r="E142">
        <v>2</v>
      </c>
      <c r="J142">
        <v>1</v>
      </c>
      <c r="K142">
        <v>3</v>
      </c>
      <c r="L142">
        <v>5</v>
      </c>
      <c r="P142" s="19">
        <v>8.1859999999999999</v>
      </c>
      <c r="Q142" s="19"/>
      <c r="R142" s="19"/>
      <c r="S142" s="19"/>
      <c r="T142" s="19"/>
      <c r="U142" s="19">
        <f t="shared" ref="U142" si="45">P142</f>
        <v>8.1859999999999999</v>
      </c>
      <c r="V142" s="19">
        <v>10.119999999999999</v>
      </c>
      <c r="W142" s="19">
        <v>10.021000000000001</v>
      </c>
      <c r="X142" s="19">
        <v>8.2880000000000003</v>
      </c>
      <c r="Y142" s="19"/>
      <c r="Z142" s="19"/>
      <c r="AA142" s="19">
        <v>9.4019999999999992</v>
      </c>
      <c r="AB142" s="19">
        <v>9.07</v>
      </c>
    </row>
    <row r="143" spans="2:28">
      <c r="B143" s="19"/>
      <c r="C143" s="19"/>
      <c r="D143" s="19"/>
      <c r="E143" s="2">
        <v>18</v>
      </c>
      <c r="J143">
        <v>14</v>
      </c>
      <c r="K143">
        <v>16</v>
      </c>
      <c r="L143" s="2">
        <v>20</v>
      </c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</row>
    <row r="144" spans="2:28">
      <c r="B144" s="19" t="s">
        <v>89</v>
      </c>
      <c r="C144" s="19">
        <v>1</v>
      </c>
      <c r="D144" s="19">
        <v>3</v>
      </c>
      <c r="E144">
        <v>2</v>
      </c>
      <c r="J144">
        <v>1</v>
      </c>
      <c r="K144">
        <v>3</v>
      </c>
      <c r="L144">
        <v>5</v>
      </c>
      <c r="P144" s="19">
        <v>8.3409999999999993</v>
      </c>
      <c r="Q144" s="19"/>
      <c r="R144" s="19"/>
      <c r="S144" s="19"/>
      <c r="T144" s="19"/>
      <c r="U144" s="19">
        <f t="shared" ref="U144" si="46">P144</f>
        <v>8.3409999999999993</v>
      </c>
      <c r="V144" s="19">
        <v>10.119999999999999</v>
      </c>
      <c r="W144" s="19">
        <v>10.021000000000001</v>
      </c>
      <c r="X144" s="19">
        <v>10.106</v>
      </c>
      <c r="Y144" s="19"/>
      <c r="Z144" s="19"/>
      <c r="AA144" s="19">
        <v>10.082000000000001</v>
      </c>
      <c r="AB144" s="21">
        <v>9.5850000000000009</v>
      </c>
    </row>
    <row r="145" spans="2:28">
      <c r="B145" s="19"/>
      <c r="C145" s="19"/>
      <c r="D145" s="19"/>
      <c r="E145" s="2">
        <v>20</v>
      </c>
      <c r="J145">
        <v>14</v>
      </c>
      <c r="K145">
        <v>16</v>
      </c>
      <c r="L145">
        <v>18</v>
      </c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21"/>
    </row>
    <row r="146" spans="2:28">
      <c r="B146" s="19" t="s">
        <v>90</v>
      </c>
      <c r="C146" s="19">
        <v>1</v>
      </c>
      <c r="D146" s="19">
        <v>3</v>
      </c>
      <c r="E146">
        <v>2</v>
      </c>
      <c r="J146">
        <v>1</v>
      </c>
      <c r="K146">
        <v>4</v>
      </c>
      <c r="L146">
        <v>6</v>
      </c>
      <c r="P146" s="19">
        <v>10.119999999999999</v>
      </c>
      <c r="Q146" s="19"/>
      <c r="R146" s="19"/>
      <c r="S146" s="19"/>
      <c r="T146" s="19"/>
      <c r="U146" s="19">
        <f t="shared" ref="U146" si="47">P146</f>
        <v>10.119999999999999</v>
      </c>
      <c r="V146" s="19">
        <v>9.048</v>
      </c>
      <c r="W146" s="19">
        <v>9.4480000000000004</v>
      </c>
      <c r="X146" s="19">
        <v>9.5419999999999998</v>
      </c>
      <c r="Y146" s="19"/>
      <c r="Z146" s="19"/>
      <c r="AA146" s="19">
        <v>9.3390000000000004</v>
      </c>
      <c r="AB146" s="21">
        <v>9.5250000000000004</v>
      </c>
    </row>
    <row r="147" spans="2:28">
      <c r="B147" s="19"/>
      <c r="C147" s="19"/>
      <c r="D147" s="19"/>
      <c r="E147">
        <v>15</v>
      </c>
      <c r="J147" s="2">
        <v>17</v>
      </c>
      <c r="K147">
        <v>19</v>
      </c>
      <c r="L147">
        <v>21</v>
      </c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21"/>
    </row>
    <row r="148" spans="2:28">
      <c r="B148" s="19" t="s">
        <v>91</v>
      </c>
      <c r="C148" s="19">
        <v>1</v>
      </c>
      <c r="D148" s="19">
        <v>3</v>
      </c>
      <c r="E148">
        <v>2</v>
      </c>
      <c r="J148">
        <v>1</v>
      </c>
      <c r="K148">
        <v>4</v>
      </c>
      <c r="L148">
        <v>6</v>
      </c>
      <c r="P148" s="19">
        <v>9.843</v>
      </c>
      <c r="Q148" s="19"/>
      <c r="R148" s="19"/>
      <c r="S148" s="19"/>
      <c r="T148" s="19"/>
      <c r="U148" s="19">
        <f t="shared" ref="U148" si="48">P148</f>
        <v>9.843</v>
      </c>
      <c r="V148" s="19">
        <v>10.119999999999999</v>
      </c>
      <c r="W148" s="19">
        <v>9.9209999999999994</v>
      </c>
      <c r="X148" s="19">
        <v>10.021000000000001</v>
      </c>
      <c r="Y148" s="19"/>
      <c r="Z148" s="19"/>
      <c r="AA148" s="19">
        <v>10.021000000000001</v>
      </c>
      <c r="AB148" s="20">
        <v>9.9760000000000009</v>
      </c>
    </row>
    <row r="149" spans="2:28">
      <c r="B149" s="19"/>
      <c r="C149" s="19"/>
      <c r="D149" s="19"/>
      <c r="E149" s="2">
        <v>16</v>
      </c>
      <c r="J149">
        <v>14</v>
      </c>
      <c r="K149" s="2">
        <v>18</v>
      </c>
      <c r="L149">
        <v>20</v>
      </c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20"/>
    </row>
    <row r="150" spans="2:28">
      <c r="B150" s="19" t="s">
        <v>92</v>
      </c>
      <c r="C150" s="19">
        <v>1</v>
      </c>
      <c r="D150" s="19">
        <v>3</v>
      </c>
      <c r="E150">
        <v>2</v>
      </c>
      <c r="J150">
        <v>1</v>
      </c>
      <c r="K150">
        <v>4</v>
      </c>
      <c r="L150">
        <v>6</v>
      </c>
      <c r="P150" s="19">
        <v>8.2040000000000006</v>
      </c>
      <c r="Q150" s="19"/>
      <c r="R150" s="19"/>
      <c r="S150" s="19"/>
      <c r="T150" s="19"/>
      <c r="U150" s="19">
        <f t="shared" ref="U150" si="49">P150</f>
        <v>8.2040000000000006</v>
      </c>
      <c r="V150" s="19">
        <v>10.119999999999999</v>
      </c>
      <c r="W150" s="19">
        <v>10.021000000000001</v>
      </c>
      <c r="X150" s="19">
        <v>8.8659999999999997</v>
      </c>
      <c r="Y150" s="19"/>
      <c r="Z150" s="19"/>
      <c r="AA150" s="19">
        <v>9.6379999999999999</v>
      </c>
      <c r="AB150" s="19">
        <v>9.24</v>
      </c>
    </row>
    <row r="151" spans="2:28">
      <c r="B151" s="19"/>
      <c r="C151" s="19"/>
      <c r="D151" s="19"/>
      <c r="E151" s="2">
        <v>19</v>
      </c>
      <c r="J151">
        <v>14</v>
      </c>
      <c r="K151">
        <v>17</v>
      </c>
      <c r="L151" s="2">
        <v>21</v>
      </c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</row>
    <row r="152" spans="2:28">
      <c r="B152" s="19" t="s">
        <v>93</v>
      </c>
      <c r="C152" s="19">
        <v>1</v>
      </c>
      <c r="D152" s="19">
        <v>3</v>
      </c>
      <c r="E152">
        <v>2</v>
      </c>
      <c r="J152">
        <v>1</v>
      </c>
      <c r="K152">
        <v>4</v>
      </c>
      <c r="L152">
        <v>6</v>
      </c>
      <c r="P152" s="19">
        <v>7.9850000000000003</v>
      </c>
      <c r="Q152" s="19"/>
      <c r="R152" s="19"/>
      <c r="S152" s="19"/>
      <c r="T152" s="19"/>
      <c r="U152" s="19">
        <f t="shared" ref="U152" si="50">P152</f>
        <v>7.9850000000000003</v>
      </c>
      <c r="V152" s="19">
        <v>10.119999999999999</v>
      </c>
      <c r="W152" s="19">
        <v>10.021000000000001</v>
      </c>
      <c r="X152" s="19">
        <v>10.106</v>
      </c>
      <c r="Y152" s="19"/>
      <c r="Z152" s="19"/>
      <c r="AA152" s="19">
        <v>10.082000000000001</v>
      </c>
      <c r="AB152" s="19">
        <v>9.4689999999999994</v>
      </c>
    </row>
    <row r="153" spans="2:28">
      <c r="B153" s="19"/>
      <c r="C153" s="19"/>
      <c r="D153" s="19"/>
      <c r="E153" s="2">
        <v>21</v>
      </c>
      <c r="J153">
        <v>14</v>
      </c>
      <c r="K153">
        <v>17</v>
      </c>
      <c r="L153">
        <v>19</v>
      </c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</row>
    <row r="154" spans="2:28">
      <c r="B154" s="19" t="s">
        <v>95</v>
      </c>
      <c r="C154" s="19">
        <v>1</v>
      </c>
      <c r="D154" s="19">
        <v>4</v>
      </c>
      <c r="E154">
        <v>1</v>
      </c>
      <c r="J154">
        <v>1</v>
      </c>
      <c r="K154">
        <v>3</v>
      </c>
      <c r="L154">
        <v>5</v>
      </c>
      <c r="M154">
        <v>7</v>
      </c>
      <c r="P154" s="19">
        <v>10.119999999999999</v>
      </c>
      <c r="Q154" s="19"/>
      <c r="R154" s="19"/>
      <c r="S154" s="19"/>
      <c r="T154" s="19"/>
      <c r="U154" s="19">
        <f t="shared" ref="U154" si="51">P154</f>
        <v>10.119999999999999</v>
      </c>
      <c r="V154" s="19">
        <v>9.4209999999999994</v>
      </c>
      <c r="W154" s="19">
        <v>9.5180000000000007</v>
      </c>
      <c r="X154" s="19">
        <v>9.6140000000000008</v>
      </c>
      <c r="Y154" s="19">
        <v>9.7100000000000009</v>
      </c>
      <c r="Z154" s="19"/>
      <c r="AA154" s="19">
        <v>9.5660000000000007</v>
      </c>
      <c r="AB154" s="20">
        <v>9.673</v>
      </c>
    </row>
    <row r="155" spans="2:28">
      <c r="B155" s="19"/>
      <c r="C155" s="19"/>
      <c r="D155" s="19"/>
      <c r="E155">
        <v>14</v>
      </c>
      <c r="J155" s="2">
        <v>16</v>
      </c>
      <c r="K155">
        <v>18</v>
      </c>
      <c r="L155">
        <v>20</v>
      </c>
      <c r="M155">
        <v>22</v>
      </c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20"/>
    </row>
    <row r="156" spans="2:28">
      <c r="B156" s="19" t="s">
        <v>96</v>
      </c>
      <c r="C156" s="19">
        <v>1</v>
      </c>
      <c r="D156" s="19">
        <v>4</v>
      </c>
      <c r="E156">
        <v>1</v>
      </c>
      <c r="J156">
        <v>1</v>
      </c>
      <c r="K156">
        <v>3</v>
      </c>
      <c r="L156">
        <v>5</v>
      </c>
      <c r="M156">
        <v>7</v>
      </c>
      <c r="P156" s="19">
        <v>9.1329999999999991</v>
      </c>
      <c r="Q156" s="19"/>
      <c r="R156" s="19"/>
      <c r="S156" s="19"/>
      <c r="T156" s="19"/>
      <c r="U156" s="19">
        <f t="shared" ref="U156" si="52">P156</f>
        <v>9.1329999999999991</v>
      </c>
      <c r="V156" s="19">
        <v>10.119999999999999</v>
      </c>
      <c r="W156" s="19">
        <v>9.2059999999999995</v>
      </c>
      <c r="X156" s="19">
        <v>9.2989999999999995</v>
      </c>
      <c r="Y156" s="19">
        <v>9.391</v>
      </c>
      <c r="Z156" s="19"/>
      <c r="AA156" s="19">
        <v>9.4930000000000003</v>
      </c>
      <c r="AB156" s="21">
        <v>9.42</v>
      </c>
    </row>
    <row r="157" spans="2:28">
      <c r="B157" s="19"/>
      <c r="C157" s="19"/>
      <c r="D157" s="19"/>
      <c r="E157" s="2">
        <v>16</v>
      </c>
      <c r="J157">
        <v>14</v>
      </c>
      <c r="K157" s="2">
        <v>18</v>
      </c>
      <c r="L157">
        <v>20</v>
      </c>
      <c r="M157">
        <v>22</v>
      </c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21"/>
    </row>
    <row r="158" spans="2:28">
      <c r="B158" s="19" t="s">
        <v>97</v>
      </c>
      <c r="C158" s="19">
        <v>1</v>
      </c>
      <c r="D158" s="19">
        <v>4</v>
      </c>
      <c r="E158">
        <v>1</v>
      </c>
      <c r="J158">
        <v>1</v>
      </c>
      <c r="K158">
        <v>3</v>
      </c>
      <c r="L158">
        <v>5</v>
      </c>
      <c r="M158">
        <v>7</v>
      </c>
      <c r="P158" s="19">
        <v>8.1890000000000001</v>
      </c>
      <c r="Q158" s="19"/>
      <c r="R158" s="19"/>
      <c r="S158" s="19"/>
      <c r="T158" s="19"/>
      <c r="U158" s="19">
        <f t="shared" ref="U158" si="53">P158</f>
        <v>8.1890000000000001</v>
      </c>
      <c r="V158" s="19">
        <v>10.119999999999999</v>
      </c>
      <c r="W158" s="19">
        <v>10.021000000000001</v>
      </c>
      <c r="X158" s="19">
        <v>8.7590000000000003</v>
      </c>
      <c r="Y158" s="19">
        <v>8.8040000000000003</v>
      </c>
      <c r="Z158" s="19"/>
      <c r="AA158" s="19">
        <v>9.3840000000000003</v>
      </c>
      <c r="AB158" s="19">
        <v>9.1219999999999999</v>
      </c>
    </row>
    <row r="159" spans="2:28">
      <c r="B159" s="19"/>
      <c r="C159" s="19"/>
      <c r="D159" s="19"/>
      <c r="E159" s="3">
        <v>18</v>
      </c>
      <c r="J159">
        <v>14</v>
      </c>
      <c r="K159">
        <v>16</v>
      </c>
      <c r="L159" s="2">
        <v>20</v>
      </c>
      <c r="M159">
        <v>22</v>
      </c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</row>
    <row r="160" spans="2:28">
      <c r="B160" s="19" t="s">
        <v>98</v>
      </c>
      <c r="C160" s="19">
        <v>1</v>
      </c>
      <c r="D160" s="19">
        <v>4</v>
      </c>
      <c r="E160">
        <v>1</v>
      </c>
      <c r="J160">
        <v>1</v>
      </c>
      <c r="K160">
        <v>3</v>
      </c>
      <c r="L160">
        <v>5</v>
      </c>
      <c r="M160">
        <v>7</v>
      </c>
      <c r="P160" s="19">
        <v>7.3879999999999999</v>
      </c>
      <c r="Q160" s="19"/>
      <c r="R160" s="19"/>
      <c r="S160" s="19"/>
      <c r="T160" s="19"/>
      <c r="U160" s="19">
        <f t="shared" ref="U160" si="54">P160</f>
        <v>7.3879999999999999</v>
      </c>
      <c r="V160" s="19">
        <v>10.119999999999999</v>
      </c>
      <c r="W160" s="19">
        <v>10.021000000000001</v>
      </c>
      <c r="X160" s="19">
        <v>10.106</v>
      </c>
      <c r="Y160" s="19">
        <v>10.061</v>
      </c>
      <c r="Z160" s="19"/>
      <c r="AA160" s="19">
        <v>10.077</v>
      </c>
      <c r="AB160" s="22">
        <v>9.3949999999999996</v>
      </c>
    </row>
    <row r="161" spans="2:28">
      <c r="B161" s="19"/>
      <c r="C161" s="19"/>
      <c r="D161" s="19"/>
      <c r="E161" s="3">
        <v>22</v>
      </c>
      <c r="J161">
        <v>14</v>
      </c>
      <c r="K161">
        <v>16</v>
      </c>
      <c r="L161">
        <v>18</v>
      </c>
      <c r="M161">
        <v>20</v>
      </c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22"/>
    </row>
    <row r="162" spans="2:28">
      <c r="B162" s="19" t="s">
        <v>99</v>
      </c>
      <c r="C162" s="19">
        <v>1</v>
      </c>
      <c r="D162" s="19">
        <v>4</v>
      </c>
      <c r="E162">
        <v>1</v>
      </c>
      <c r="J162">
        <v>1</v>
      </c>
      <c r="K162">
        <v>3</v>
      </c>
      <c r="L162">
        <v>5</v>
      </c>
      <c r="M162">
        <v>8</v>
      </c>
      <c r="P162" s="19">
        <v>10.119999999999999</v>
      </c>
      <c r="Q162" s="19"/>
      <c r="R162" s="19"/>
      <c r="S162" s="19"/>
      <c r="T162" s="19"/>
      <c r="U162" s="19">
        <f t="shared" ref="U162" si="55">P162</f>
        <v>10.119999999999999</v>
      </c>
      <c r="V162" s="19">
        <v>9.4209999999999994</v>
      </c>
      <c r="W162" s="19">
        <v>9.5180000000000007</v>
      </c>
      <c r="X162" s="19">
        <v>9.6140000000000008</v>
      </c>
      <c r="Y162" s="19">
        <v>10.035</v>
      </c>
      <c r="Z162" s="19"/>
      <c r="AA162" s="19">
        <v>9.6430000000000007</v>
      </c>
      <c r="AB162" s="20">
        <v>9.7360000000000007</v>
      </c>
    </row>
    <row r="163" spans="2:28">
      <c r="B163" s="19"/>
      <c r="C163" s="19"/>
      <c r="D163" s="19"/>
      <c r="E163">
        <v>14</v>
      </c>
      <c r="J163" s="2">
        <v>16</v>
      </c>
      <c r="K163">
        <v>18</v>
      </c>
      <c r="L163">
        <v>20</v>
      </c>
      <c r="M163">
        <v>22</v>
      </c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20"/>
    </row>
    <row r="164" spans="2:28">
      <c r="B164" s="19" t="s">
        <v>100</v>
      </c>
      <c r="C164" s="19">
        <v>1</v>
      </c>
      <c r="D164" s="19">
        <v>4</v>
      </c>
      <c r="E164">
        <v>1</v>
      </c>
      <c r="J164">
        <v>1</v>
      </c>
      <c r="K164">
        <v>3</v>
      </c>
      <c r="L164">
        <v>5</v>
      </c>
      <c r="M164">
        <v>8</v>
      </c>
      <c r="P164" s="19">
        <v>9.1329999999999991</v>
      </c>
      <c r="Q164" s="19"/>
      <c r="R164" s="19"/>
      <c r="S164" s="19"/>
      <c r="T164" s="19"/>
      <c r="U164" s="19">
        <f t="shared" ref="U164" si="56">P164</f>
        <v>9.1329999999999991</v>
      </c>
      <c r="V164" s="19">
        <v>10.119999999999999</v>
      </c>
      <c r="W164" s="19">
        <v>9.2059999999999995</v>
      </c>
      <c r="X164" s="19">
        <v>9.2989999999999995</v>
      </c>
      <c r="Y164" s="19">
        <v>9.7520000000000007</v>
      </c>
      <c r="Z164" s="19"/>
      <c r="AA164" s="19">
        <v>9.5830000000000002</v>
      </c>
      <c r="AB164" s="21">
        <v>9.4909999999999997</v>
      </c>
    </row>
    <row r="165" spans="2:28">
      <c r="B165" s="19"/>
      <c r="C165" s="19"/>
      <c r="D165" s="19"/>
      <c r="E165" s="2">
        <v>16</v>
      </c>
      <c r="J165">
        <v>14</v>
      </c>
      <c r="K165" s="2">
        <v>18</v>
      </c>
      <c r="L165">
        <v>20</v>
      </c>
      <c r="M165">
        <v>22</v>
      </c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21"/>
    </row>
    <row r="166" spans="2:28">
      <c r="B166" s="19" t="s">
        <v>101</v>
      </c>
      <c r="C166" s="19">
        <v>1</v>
      </c>
      <c r="D166" s="19">
        <v>4</v>
      </c>
      <c r="E166">
        <v>1</v>
      </c>
      <c r="J166">
        <v>1</v>
      </c>
      <c r="K166">
        <v>3</v>
      </c>
      <c r="L166">
        <v>5</v>
      </c>
      <c r="M166">
        <v>8</v>
      </c>
      <c r="P166" s="19">
        <v>8.1890000000000001</v>
      </c>
      <c r="Q166" s="19"/>
      <c r="R166" s="19"/>
      <c r="S166" s="19"/>
      <c r="T166" s="19"/>
      <c r="U166" s="19">
        <f t="shared" ref="U166" si="57">P166</f>
        <v>8.1890000000000001</v>
      </c>
      <c r="V166" s="19">
        <v>10.119999999999999</v>
      </c>
      <c r="W166" s="19">
        <v>10.021000000000001</v>
      </c>
      <c r="X166" s="19">
        <v>8.7590000000000003</v>
      </c>
      <c r="Y166" s="19">
        <v>9.1300000000000008</v>
      </c>
      <c r="Z166" s="19"/>
      <c r="AA166" s="19">
        <v>9.4719999999999995</v>
      </c>
      <c r="AB166" s="19">
        <v>9.1890000000000001</v>
      </c>
    </row>
    <row r="167" spans="2:28">
      <c r="B167" s="19"/>
      <c r="C167" s="19"/>
      <c r="D167" s="19"/>
      <c r="E167" s="3">
        <v>18</v>
      </c>
      <c r="J167">
        <v>14</v>
      </c>
      <c r="K167">
        <v>16</v>
      </c>
      <c r="L167" s="2">
        <v>20</v>
      </c>
      <c r="M167">
        <v>22</v>
      </c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</row>
    <row r="168" spans="2:28">
      <c r="B168" s="19" t="s">
        <v>102</v>
      </c>
      <c r="C168" s="19">
        <v>1</v>
      </c>
      <c r="D168" s="19">
        <v>4</v>
      </c>
      <c r="E168">
        <v>1</v>
      </c>
      <c r="J168">
        <v>1</v>
      </c>
      <c r="K168">
        <v>3</v>
      </c>
      <c r="L168">
        <v>5</v>
      </c>
      <c r="M168">
        <v>8</v>
      </c>
      <c r="P168" s="19">
        <v>7.9589999999999996</v>
      </c>
      <c r="Q168" s="19"/>
      <c r="R168" s="19"/>
      <c r="S168" s="19"/>
      <c r="T168" s="19"/>
      <c r="U168" s="19">
        <f t="shared" ref="U168" si="58">P168</f>
        <v>7.9589999999999996</v>
      </c>
      <c r="V168" s="19">
        <v>10.119999999999999</v>
      </c>
      <c r="W168" s="19">
        <v>10.021000000000001</v>
      </c>
      <c r="X168" s="19">
        <v>10.106</v>
      </c>
      <c r="Y168" s="19">
        <v>9.3940000000000001</v>
      </c>
      <c r="Z168" s="19"/>
      <c r="AA168" s="19">
        <v>9.9</v>
      </c>
      <c r="AB168" s="21">
        <v>9.4469999999999992</v>
      </c>
    </row>
    <row r="169" spans="2:28">
      <c r="B169" s="19"/>
      <c r="C169" s="19"/>
      <c r="D169" s="19"/>
      <c r="E169" s="3">
        <v>20</v>
      </c>
      <c r="J169">
        <v>14</v>
      </c>
      <c r="K169">
        <v>16</v>
      </c>
      <c r="L169">
        <v>18</v>
      </c>
      <c r="M169" s="2">
        <v>22</v>
      </c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21"/>
    </row>
    <row r="170" spans="2:28">
      <c r="B170" s="19" t="s">
        <v>103</v>
      </c>
      <c r="C170" s="19">
        <v>1</v>
      </c>
      <c r="D170" s="19">
        <v>4</v>
      </c>
      <c r="E170">
        <v>1</v>
      </c>
      <c r="J170">
        <v>1</v>
      </c>
      <c r="K170">
        <v>3</v>
      </c>
      <c r="L170">
        <v>5</v>
      </c>
      <c r="M170">
        <v>8</v>
      </c>
      <c r="P170" s="19">
        <v>7.4889999999999999</v>
      </c>
      <c r="Q170" s="19"/>
      <c r="R170" s="19"/>
      <c r="S170" s="19"/>
      <c r="T170" s="19"/>
      <c r="U170" s="19">
        <f t="shared" ref="U170" si="59">P170</f>
        <v>7.4889999999999999</v>
      </c>
      <c r="V170" s="19">
        <v>10.119999999999999</v>
      </c>
      <c r="W170" s="19">
        <v>10.021000000000001</v>
      </c>
      <c r="X170" s="19">
        <v>10.106</v>
      </c>
      <c r="Y170" s="19">
        <v>10.061</v>
      </c>
      <c r="Z170" s="19"/>
      <c r="AA170" s="19">
        <v>10.077</v>
      </c>
      <c r="AB170" s="19">
        <v>9.42</v>
      </c>
    </row>
    <row r="171" spans="2:28">
      <c r="B171" s="19"/>
      <c r="C171" s="19"/>
      <c r="D171" s="19"/>
      <c r="E171" s="3">
        <v>23</v>
      </c>
      <c r="J171">
        <v>14</v>
      </c>
      <c r="K171">
        <v>16</v>
      </c>
      <c r="L171">
        <v>18</v>
      </c>
      <c r="M171">
        <v>21</v>
      </c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</row>
    <row r="172" spans="2:28">
      <c r="B172" s="19" t="s">
        <v>104</v>
      </c>
      <c r="C172" s="19">
        <v>1</v>
      </c>
      <c r="D172" s="19">
        <v>4</v>
      </c>
      <c r="E172">
        <v>1</v>
      </c>
      <c r="J172">
        <v>1</v>
      </c>
      <c r="K172">
        <v>3</v>
      </c>
      <c r="L172">
        <v>6</v>
      </c>
      <c r="M172">
        <v>8</v>
      </c>
      <c r="P172" s="19">
        <v>10.119999999999999</v>
      </c>
      <c r="Q172" s="19"/>
      <c r="R172" s="19"/>
      <c r="S172" s="19"/>
      <c r="T172" s="19"/>
      <c r="U172" s="19">
        <f t="shared" ref="U172" si="60">P172</f>
        <v>10.119999999999999</v>
      </c>
      <c r="V172" s="19">
        <v>9.4209999999999994</v>
      </c>
      <c r="W172" s="19">
        <v>9.5180000000000007</v>
      </c>
      <c r="X172" s="19">
        <v>9.9789999999999992</v>
      </c>
      <c r="Y172" s="19">
        <v>10.035</v>
      </c>
      <c r="Z172" s="19"/>
      <c r="AA172" s="19">
        <v>9.7330000000000005</v>
      </c>
      <c r="AB172" s="20">
        <v>9.8089999999999993</v>
      </c>
    </row>
    <row r="173" spans="2:28">
      <c r="B173" s="19"/>
      <c r="C173" s="19"/>
      <c r="D173" s="19"/>
      <c r="E173">
        <v>14</v>
      </c>
      <c r="J173" s="2">
        <v>16</v>
      </c>
      <c r="K173">
        <v>18</v>
      </c>
      <c r="L173">
        <v>20</v>
      </c>
      <c r="M173">
        <v>22</v>
      </c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20"/>
    </row>
    <row r="174" spans="2:28">
      <c r="B174" s="19" t="s">
        <v>105</v>
      </c>
      <c r="C174" s="19">
        <v>1</v>
      </c>
      <c r="D174" s="19">
        <v>4</v>
      </c>
      <c r="E174">
        <v>1</v>
      </c>
      <c r="J174">
        <v>1</v>
      </c>
      <c r="K174">
        <v>3</v>
      </c>
      <c r="L174">
        <v>6</v>
      </c>
      <c r="M174">
        <v>8</v>
      </c>
      <c r="P174" s="19">
        <v>9.1329999999999991</v>
      </c>
      <c r="Q174" s="19"/>
      <c r="R174" s="19"/>
      <c r="S174" s="19"/>
      <c r="T174" s="19"/>
      <c r="U174" s="19">
        <f t="shared" ref="U174" si="61">P174</f>
        <v>9.1329999999999991</v>
      </c>
      <c r="V174" s="19">
        <v>10.119999999999999</v>
      </c>
      <c r="W174" s="19">
        <v>9.2059999999999995</v>
      </c>
      <c r="X174" s="19">
        <v>9.6560000000000006</v>
      </c>
      <c r="Y174" s="19">
        <v>9.7520000000000007</v>
      </c>
      <c r="Z174" s="19"/>
      <c r="AA174" s="19">
        <v>9.6750000000000007</v>
      </c>
      <c r="AB174" s="19">
        <v>9.5630000000000006</v>
      </c>
    </row>
    <row r="175" spans="2:28">
      <c r="B175" s="19"/>
      <c r="C175" s="19"/>
      <c r="D175" s="19"/>
      <c r="E175" s="2">
        <v>16</v>
      </c>
      <c r="J175">
        <v>14</v>
      </c>
      <c r="K175" s="2">
        <v>18</v>
      </c>
      <c r="L175">
        <v>20</v>
      </c>
      <c r="M175">
        <v>22</v>
      </c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</row>
    <row r="176" spans="2:28">
      <c r="B176" s="19" t="s">
        <v>106</v>
      </c>
      <c r="C176" s="19">
        <v>1</v>
      </c>
      <c r="D176" s="19">
        <v>4</v>
      </c>
      <c r="E176">
        <v>1</v>
      </c>
      <c r="J176">
        <v>1</v>
      </c>
      <c r="K176">
        <v>3</v>
      </c>
      <c r="L176">
        <v>6</v>
      </c>
      <c r="M176">
        <v>8</v>
      </c>
      <c r="P176" s="19">
        <v>8.6069999999999993</v>
      </c>
      <c r="Q176" s="19"/>
      <c r="R176" s="19"/>
      <c r="S176" s="19"/>
      <c r="T176" s="19"/>
      <c r="U176" s="19">
        <f t="shared" ref="U176" si="62">P176</f>
        <v>8.6069999999999993</v>
      </c>
      <c r="V176" s="19">
        <v>10.119999999999999</v>
      </c>
      <c r="W176" s="19">
        <v>10.021000000000001</v>
      </c>
      <c r="X176" s="19">
        <v>9.6790000000000003</v>
      </c>
      <c r="Y176" s="19">
        <v>9.7739999999999991</v>
      </c>
      <c r="Z176" s="19"/>
      <c r="AA176" s="19">
        <v>9.8949999999999996</v>
      </c>
      <c r="AB176" s="21">
        <v>9.61</v>
      </c>
    </row>
    <row r="177" spans="2:28">
      <c r="B177" s="19"/>
      <c r="C177" s="19"/>
      <c r="D177" s="19"/>
      <c r="E177" s="3">
        <v>18</v>
      </c>
      <c r="J177">
        <v>14</v>
      </c>
      <c r="K177">
        <v>16</v>
      </c>
      <c r="L177" s="2">
        <v>20</v>
      </c>
      <c r="M177">
        <v>22</v>
      </c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21"/>
    </row>
    <row r="178" spans="2:28">
      <c r="B178" s="19" t="s">
        <v>107</v>
      </c>
      <c r="C178" s="19">
        <v>1</v>
      </c>
      <c r="D178" s="19">
        <v>4</v>
      </c>
      <c r="E178">
        <v>1</v>
      </c>
      <c r="J178">
        <v>1</v>
      </c>
      <c r="K178">
        <v>3</v>
      </c>
      <c r="L178">
        <v>6</v>
      </c>
      <c r="M178">
        <v>8</v>
      </c>
      <c r="P178" s="19">
        <v>7.9509999999999996</v>
      </c>
      <c r="Q178" s="19"/>
      <c r="R178" s="19"/>
      <c r="S178" s="19"/>
      <c r="T178" s="19"/>
      <c r="U178" s="19">
        <f t="shared" ref="U178" si="63">P178</f>
        <v>7.9509999999999996</v>
      </c>
      <c r="V178" s="19">
        <v>10.119999999999999</v>
      </c>
      <c r="W178" s="19">
        <v>10.021000000000001</v>
      </c>
      <c r="X178" s="19">
        <v>10.132</v>
      </c>
      <c r="Y178" s="19">
        <v>9.5559999999999992</v>
      </c>
      <c r="Z178" s="19"/>
      <c r="AA178" s="19">
        <v>9.9529999999999994</v>
      </c>
      <c r="AB178" s="19">
        <v>9.4830000000000005</v>
      </c>
    </row>
    <row r="179" spans="2:28">
      <c r="B179" s="19"/>
      <c r="C179" s="19"/>
      <c r="D179" s="19"/>
      <c r="E179" s="3">
        <v>21</v>
      </c>
      <c r="J179">
        <v>14</v>
      </c>
      <c r="K179">
        <v>16</v>
      </c>
      <c r="L179">
        <v>19</v>
      </c>
      <c r="M179" s="2">
        <v>23</v>
      </c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</row>
    <row r="180" spans="2:28">
      <c r="B180" s="19" t="s">
        <v>108</v>
      </c>
      <c r="C180" s="19">
        <v>1</v>
      </c>
      <c r="D180" s="19">
        <v>4</v>
      </c>
      <c r="E180">
        <v>1</v>
      </c>
      <c r="J180">
        <v>1</v>
      </c>
      <c r="K180">
        <v>3</v>
      </c>
      <c r="L180">
        <v>6</v>
      </c>
      <c r="M180">
        <v>8</v>
      </c>
      <c r="P180" s="19">
        <v>7.4809999999999999</v>
      </c>
      <c r="Q180" s="19"/>
      <c r="R180" s="19"/>
      <c r="S180" s="19"/>
      <c r="T180" s="19"/>
      <c r="U180" s="19">
        <f t="shared" ref="U180" si="64">P180</f>
        <v>7.4809999999999999</v>
      </c>
      <c r="V180" s="19">
        <v>10.119999999999999</v>
      </c>
      <c r="W180" s="19">
        <v>10.021000000000001</v>
      </c>
      <c r="X180" s="19">
        <v>10.132</v>
      </c>
      <c r="Y180" s="19">
        <v>10.061</v>
      </c>
      <c r="Z180" s="19"/>
      <c r="AA180" s="19">
        <v>10.083</v>
      </c>
      <c r="AB180" s="19">
        <v>9.423</v>
      </c>
    </row>
    <row r="181" spans="2:28">
      <c r="B181" s="19"/>
      <c r="C181" s="19"/>
      <c r="D181" s="19"/>
      <c r="E181" s="3">
        <v>23</v>
      </c>
      <c r="J181">
        <v>14</v>
      </c>
      <c r="K181">
        <v>16</v>
      </c>
      <c r="L181">
        <v>19</v>
      </c>
      <c r="M181">
        <v>21</v>
      </c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</row>
    <row r="182" spans="2:28">
      <c r="B182" s="19" t="s">
        <v>113</v>
      </c>
      <c r="C182" s="19">
        <v>1</v>
      </c>
      <c r="D182" s="19">
        <v>4</v>
      </c>
      <c r="E182">
        <v>1</v>
      </c>
      <c r="J182">
        <v>1</v>
      </c>
      <c r="K182">
        <v>4</v>
      </c>
      <c r="L182">
        <v>6</v>
      </c>
      <c r="M182">
        <v>8</v>
      </c>
      <c r="P182" s="19">
        <v>10.119999999999999</v>
      </c>
      <c r="Q182" s="19"/>
      <c r="R182" s="19"/>
      <c r="S182" s="19"/>
      <c r="T182" s="19"/>
      <c r="U182" s="19">
        <f t="shared" ref="U182" si="65">P182</f>
        <v>10.119999999999999</v>
      </c>
      <c r="V182" s="19">
        <v>9.4209999999999994</v>
      </c>
      <c r="W182" s="19">
        <v>9.8870000000000005</v>
      </c>
      <c r="X182" s="19">
        <v>9.9760000000000009</v>
      </c>
      <c r="Y182" s="19">
        <v>10.035</v>
      </c>
      <c r="Z182" s="19"/>
      <c r="AA182" s="19">
        <v>9.8260000000000005</v>
      </c>
      <c r="AB182" s="20">
        <v>9.8840000000000003</v>
      </c>
    </row>
    <row r="183" spans="2:28">
      <c r="B183" s="19"/>
      <c r="C183" s="19"/>
      <c r="D183" s="19"/>
      <c r="E183">
        <v>14</v>
      </c>
      <c r="J183" s="2">
        <v>16</v>
      </c>
      <c r="K183">
        <v>18</v>
      </c>
      <c r="L183">
        <v>20</v>
      </c>
      <c r="M183">
        <v>22</v>
      </c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20"/>
    </row>
    <row r="184" spans="2:28">
      <c r="B184" s="19" t="s">
        <v>109</v>
      </c>
      <c r="C184" s="19">
        <v>1</v>
      </c>
      <c r="D184" s="19">
        <v>4</v>
      </c>
      <c r="E184">
        <v>1</v>
      </c>
      <c r="J184">
        <v>1</v>
      </c>
      <c r="K184">
        <v>4</v>
      </c>
      <c r="L184">
        <v>6</v>
      </c>
      <c r="M184">
        <v>8</v>
      </c>
      <c r="P184" s="19">
        <v>9.1329999999999991</v>
      </c>
      <c r="Q184" s="19"/>
      <c r="R184" s="19"/>
      <c r="S184" s="19"/>
      <c r="T184" s="19"/>
      <c r="U184" s="19">
        <f t="shared" ref="U184" si="66">P184</f>
        <v>9.1329999999999991</v>
      </c>
      <c r="V184" s="19">
        <v>10.119999999999999</v>
      </c>
      <c r="W184" s="19">
        <v>9.5649999999999995</v>
      </c>
      <c r="X184" s="19">
        <v>9.6609999999999996</v>
      </c>
      <c r="Y184" s="19">
        <v>9.7569999999999997</v>
      </c>
      <c r="Z184" s="19"/>
      <c r="AA184" s="19">
        <v>9.7729999999999997</v>
      </c>
      <c r="AB184" s="19">
        <v>9.64</v>
      </c>
    </row>
    <row r="185" spans="2:28">
      <c r="B185" s="19"/>
      <c r="C185" s="19"/>
      <c r="D185" s="19"/>
      <c r="E185" s="2">
        <v>16</v>
      </c>
      <c r="J185">
        <v>14</v>
      </c>
      <c r="K185" s="2">
        <v>18</v>
      </c>
      <c r="L185">
        <v>20</v>
      </c>
      <c r="M185">
        <v>22</v>
      </c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</row>
    <row r="186" spans="2:28">
      <c r="B186" s="19" t="s">
        <v>110</v>
      </c>
      <c r="C186" s="19">
        <v>1</v>
      </c>
      <c r="D186" s="19">
        <v>4</v>
      </c>
      <c r="E186">
        <v>1</v>
      </c>
      <c r="J186">
        <v>1</v>
      </c>
      <c r="K186">
        <v>4</v>
      </c>
      <c r="L186">
        <v>6</v>
      </c>
      <c r="M186">
        <v>8</v>
      </c>
      <c r="P186" s="19">
        <v>8.2189999999999994</v>
      </c>
      <c r="Q186" s="19"/>
      <c r="R186" s="19"/>
      <c r="S186" s="19"/>
      <c r="T186" s="19"/>
      <c r="U186" s="19">
        <f t="shared" ref="U186" si="67">P186</f>
        <v>8.2189999999999994</v>
      </c>
      <c r="V186" s="19">
        <v>10.119999999999999</v>
      </c>
      <c r="W186" s="19">
        <v>10.021000000000001</v>
      </c>
      <c r="X186" s="19">
        <v>9.1389999999999993</v>
      </c>
      <c r="Y186" s="19">
        <v>9.2319999999999993</v>
      </c>
      <c r="Z186" s="19"/>
      <c r="AA186" s="19">
        <v>9.6110000000000007</v>
      </c>
      <c r="AB186" s="19">
        <v>9.2910000000000004</v>
      </c>
    </row>
    <row r="187" spans="2:28">
      <c r="B187" s="19"/>
      <c r="C187" s="19"/>
      <c r="D187" s="19"/>
      <c r="E187" s="3">
        <v>19</v>
      </c>
      <c r="J187">
        <v>14</v>
      </c>
      <c r="K187">
        <v>17</v>
      </c>
      <c r="L187" s="2">
        <v>21</v>
      </c>
      <c r="M187">
        <v>23</v>
      </c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</row>
    <row r="188" spans="2:28">
      <c r="B188" s="19" t="s">
        <v>111</v>
      </c>
      <c r="C188" s="19">
        <v>1</v>
      </c>
      <c r="D188" s="19">
        <v>4</v>
      </c>
      <c r="E188">
        <v>1</v>
      </c>
      <c r="J188">
        <v>1</v>
      </c>
      <c r="K188">
        <v>4</v>
      </c>
      <c r="L188">
        <v>6</v>
      </c>
      <c r="M188">
        <v>8</v>
      </c>
      <c r="P188" s="19">
        <v>7.9290000000000003</v>
      </c>
      <c r="Q188" s="19"/>
      <c r="R188" s="19"/>
      <c r="S188" s="19"/>
      <c r="T188" s="19"/>
      <c r="U188" s="19">
        <f t="shared" ref="U188" si="68">P188</f>
        <v>7.9290000000000003</v>
      </c>
      <c r="V188" s="19">
        <v>10.119999999999999</v>
      </c>
      <c r="W188" s="19">
        <v>10.021000000000001</v>
      </c>
      <c r="X188" s="19">
        <v>10.106</v>
      </c>
      <c r="Y188" s="19">
        <v>9.5310000000000006</v>
      </c>
      <c r="Z188" s="19"/>
      <c r="AA188" s="19">
        <v>9.0039999999999996</v>
      </c>
      <c r="AB188" s="19">
        <v>9.468</v>
      </c>
    </row>
    <row r="189" spans="2:28">
      <c r="B189" s="19"/>
      <c r="C189" s="19"/>
      <c r="D189" s="19"/>
      <c r="E189" s="3">
        <v>21</v>
      </c>
      <c r="J189">
        <v>14</v>
      </c>
      <c r="K189">
        <v>17</v>
      </c>
      <c r="L189">
        <v>19</v>
      </c>
      <c r="M189" s="2">
        <v>23</v>
      </c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</row>
    <row r="190" spans="2:28">
      <c r="B190" s="19" t="s">
        <v>112</v>
      </c>
      <c r="C190" s="19">
        <v>1</v>
      </c>
      <c r="D190" s="19">
        <v>4</v>
      </c>
      <c r="E190">
        <v>1</v>
      </c>
      <c r="J190">
        <v>1</v>
      </c>
      <c r="K190">
        <v>4</v>
      </c>
      <c r="L190">
        <v>6</v>
      </c>
      <c r="M190">
        <v>8</v>
      </c>
      <c r="P190" s="19">
        <v>7.4729999999999999</v>
      </c>
      <c r="Q190" s="19"/>
      <c r="R190" s="19"/>
      <c r="S190" s="19"/>
      <c r="T190" s="19"/>
      <c r="U190" s="19">
        <f t="shared" ref="U190" si="69">P190</f>
        <v>7.4729999999999999</v>
      </c>
      <c r="V190" s="19">
        <v>10.119999999999999</v>
      </c>
      <c r="W190" s="19">
        <v>10.021000000000001</v>
      </c>
      <c r="X190" s="19">
        <v>10.106</v>
      </c>
      <c r="Y190" s="19">
        <v>10.061</v>
      </c>
      <c r="Z190" s="19"/>
      <c r="AA190" s="19">
        <v>10.077</v>
      </c>
      <c r="AB190" s="19">
        <v>9.4160000000000004</v>
      </c>
    </row>
    <row r="191" spans="2:28">
      <c r="B191" s="19"/>
      <c r="C191" s="19"/>
      <c r="D191" s="19"/>
      <c r="E191" s="3">
        <v>23</v>
      </c>
      <c r="J191">
        <v>14</v>
      </c>
      <c r="K191">
        <v>17</v>
      </c>
      <c r="L191">
        <v>19</v>
      </c>
      <c r="M191">
        <v>21</v>
      </c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</row>
    <row r="192" spans="2:28">
      <c r="B192" s="19" t="s">
        <v>115</v>
      </c>
      <c r="C192" s="19">
        <v>2</v>
      </c>
      <c r="D192" s="19">
        <v>3</v>
      </c>
      <c r="E192">
        <v>1</v>
      </c>
      <c r="F192">
        <v>3</v>
      </c>
      <c r="J192">
        <v>1</v>
      </c>
      <c r="K192">
        <v>3</v>
      </c>
      <c r="L192">
        <v>5</v>
      </c>
      <c r="P192" s="19">
        <v>7.9240000000000004</v>
      </c>
      <c r="Q192" s="19">
        <v>8.0039999999999996</v>
      </c>
      <c r="R192" s="19"/>
      <c r="S192" s="19"/>
      <c r="T192" s="19"/>
      <c r="U192" s="19">
        <v>7.9640000000000004</v>
      </c>
      <c r="V192" s="19">
        <v>10.119999999999999</v>
      </c>
      <c r="W192" s="19">
        <v>10.132</v>
      </c>
      <c r="X192" s="19">
        <v>10.061</v>
      </c>
      <c r="Y192" s="19"/>
      <c r="Z192" s="19"/>
      <c r="AA192" s="19">
        <v>10.103999999999999</v>
      </c>
      <c r="AB192" s="19">
        <v>9.1359999999999992</v>
      </c>
    </row>
    <row r="193" spans="2:28">
      <c r="B193" s="19"/>
      <c r="C193" s="19"/>
      <c r="D193" s="19"/>
      <c r="E193" s="3">
        <v>20</v>
      </c>
      <c r="F193">
        <v>22</v>
      </c>
      <c r="J193">
        <v>14</v>
      </c>
      <c r="K193">
        <v>16</v>
      </c>
      <c r="L193">
        <v>18</v>
      </c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</row>
    <row r="194" spans="2:28">
      <c r="B194" s="19" t="s">
        <v>116</v>
      </c>
      <c r="C194" s="19">
        <v>2</v>
      </c>
      <c r="D194" s="19">
        <v>3</v>
      </c>
      <c r="E194">
        <v>1</v>
      </c>
      <c r="F194">
        <v>3</v>
      </c>
      <c r="J194">
        <v>1</v>
      </c>
      <c r="K194">
        <v>3</v>
      </c>
      <c r="L194">
        <v>5</v>
      </c>
      <c r="P194" s="19">
        <v>7.9610000000000003</v>
      </c>
      <c r="Q194" s="19">
        <v>7.9450000000000003</v>
      </c>
      <c r="R194" s="19"/>
      <c r="S194" s="19"/>
      <c r="T194" s="19"/>
      <c r="U194" s="19">
        <v>7.9530000000000003</v>
      </c>
      <c r="V194" s="19">
        <v>10.119999999999999</v>
      </c>
      <c r="W194" s="19">
        <v>10.132</v>
      </c>
      <c r="X194" s="19">
        <v>7.8879999999999999</v>
      </c>
      <c r="Y194" s="19"/>
      <c r="Z194" s="19"/>
      <c r="AA194" s="19">
        <v>9.2530000000000001</v>
      </c>
      <c r="AB194" s="19">
        <v>8.6929999999999996</v>
      </c>
    </row>
    <row r="195" spans="2:28">
      <c r="B195" s="19"/>
      <c r="C195" s="19"/>
      <c r="D195" s="19"/>
      <c r="E195" s="3">
        <v>18</v>
      </c>
      <c r="F195">
        <v>20</v>
      </c>
      <c r="J195">
        <v>14</v>
      </c>
      <c r="K195">
        <v>16</v>
      </c>
      <c r="L195" s="2">
        <v>22</v>
      </c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</row>
    <row r="196" spans="2:28">
      <c r="B196" s="19" t="s">
        <v>117</v>
      </c>
      <c r="C196" s="19">
        <v>2</v>
      </c>
      <c r="D196" s="19">
        <v>3</v>
      </c>
      <c r="E196">
        <v>1</v>
      </c>
      <c r="F196">
        <v>3</v>
      </c>
      <c r="J196">
        <v>1</v>
      </c>
      <c r="K196">
        <v>3</v>
      </c>
      <c r="L196">
        <v>5</v>
      </c>
      <c r="P196" s="19">
        <v>8.5020000000000007</v>
      </c>
      <c r="Q196" s="19">
        <v>7.6909999999999998</v>
      </c>
      <c r="R196" s="19"/>
      <c r="S196" s="19"/>
      <c r="T196" s="19"/>
      <c r="U196" s="19">
        <v>8.0830000000000002</v>
      </c>
      <c r="V196" s="19">
        <v>10.119999999999999</v>
      </c>
      <c r="W196" s="19">
        <v>10.132</v>
      </c>
      <c r="X196" s="19">
        <v>9.0120000000000005</v>
      </c>
      <c r="Y196" s="19"/>
      <c r="Z196" s="19"/>
      <c r="AA196" s="19">
        <v>9.7260000000000009</v>
      </c>
      <c r="AB196" s="19">
        <v>8.9990000000000006</v>
      </c>
    </row>
    <row r="197" spans="2:28">
      <c r="B197" s="19"/>
      <c r="C197" s="19"/>
      <c r="D197" s="19"/>
      <c r="E197" s="2">
        <v>18</v>
      </c>
      <c r="F197" s="2">
        <v>22</v>
      </c>
      <c r="J197">
        <v>14</v>
      </c>
      <c r="K197">
        <v>16</v>
      </c>
      <c r="L197" s="2">
        <v>20</v>
      </c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</row>
    <row r="198" spans="2:28">
      <c r="B198" s="19" t="s">
        <v>118</v>
      </c>
      <c r="C198" s="19">
        <v>2</v>
      </c>
      <c r="D198" s="19">
        <v>3</v>
      </c>
      <c r="E198">
        <v>1</v>
      </c>
      <c r="F198">
        <v>3</v>
      </c>
      <c r="J198">
        <v>1</v>
      </c>
      <c r="K198">
        <v>3</v>
      </c>
      <c r="L198">
        <v>5</v>
      </c>
      <c r="P198" s="19">
        <v>9.1329999999999991</v>
      </c>
      <c r="Q198" s="19">
        <v>8.2210000000000001</v>
      </c>
      <c r="R198" s="19"/>
      <c r="S198" s="19"/>
      <c r="T198" s="19"/>
      <c r="U198" s="19">
        <v>8.6460000000000008</v>
      </c>
      <c r="V198" s="19">
        <v>10.119999999999999</v>
      </c>
      <c r="W198" s="19">
        <v>9.2070000000000007</v>
      </c>
      <c r="X198" s="19">
        <v>8.2270000000000003</v>
      </c>
      <c r="Y198" s="19"/>
      <c r="Z198" s="19"/>
      <c r="AA198" s="19">
        <v>9.1270000000000007</v>
      </c>
      <c r="AB198" s="19">
        <v>8.9280000000000008</v>
      </c>
    </row>
    <row r="199" spans="2:28">
      <c r="B199" s="19"/>
      <c r="C199" s="19"/>
      <c r="D199" s="19"/>
      <c r="E199" s="2">
        <v>16</v>
      </c>
      <c r="F199" s="2">
        <v>20</v>
      </c>
      <c r="J199">
        <v>14</v>
      </c>
      <c r="K199" s="2">
        <v>18</v>
      </c>
      <c r="L199" s="2">
        <v>22</v>
      </c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</row>
    <row r="200" spans="2:28">
      <c r="B200" s="19" t="s">
        <v>119</v>
      </c>
      <c r="C200" s="19">
        <v>2</v>
      </c>
      <c r="D200" s="19">
        <v>3</v>
      </c>
      <c r="E200">
        <v>1</v>
      </c>
      <c r="F200">
        <v>3</v>
      </c>
      <c r="J200">
        <v>1</v>
      </c>
      <c r="K200">
        <v>3</v>
      </c>
      <c r="L200">
        <v>5</v>
      </c>
      <c r="P200" s="19">
        <v>9.1329999999999991</v>
      </c>
      <c r="Q200" s="19">
        <v>9.1920000000000002</v>
      </c>
      <c r="R200" s="19"/>
      <c r="S200" s="19"/>
      <c r="T200" s="19"/>
      <c r="U200" s="19">
        <v>9.1630000000000003</v>
      </c>
      <c r="V200" s="19">
        <v>10.119999999999999</v>
      </c>
      <c r="W200" s="19">
        <v>8.5619999999999994</v>
      </c>
      <c r="X200" s="19">
        <v>8.6479999999999997</v>
      </c>
      <c r="Y200" s="19"/>
      <c r="Z200" s="19"/>
      <c r="AA200" s="19">
        <v>9.0619999999999994</v>
      </c>
      <c r="AB200" s="19">
        <v>9.1020000000000003</v>
      </c>
    </row>
    <row r="201" spans="2:28">
      <c r="B201" s="19"/>
      <c r="C201" s="19"/>
      <c r="D201" s="19"/>
      <c r="E201" s="2">
        <v>16</v>
      </c>
      <c r="F201">
        <v>18</v>
      </c>
      <c r="J201">
        <v>14</v>
      </c>
      <c r="K201" s="3">
        <v>20</v>
      </c>
      <c r="L201">
        <v>22</v>
      </c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</row>
    <row r="202" spans="2:28">
      <c r="B202" s="19" t="s">
        <v>120</v>
      </c>
      <c r="C202" s="19">
        <v>2</v>
      </c>
      <c r="D202" s="19">
        <v>3</v>
      </c>
      <c r="E202">
        <v>1</v>
      </c>
      <c r="F202">
        <v>3</v>
      </c>
      <c r="J202">
        <v>1</v>
      </c>
      <c r="K202">
        <v>3</v>
      </c>
      <c r="L202">
        <v>5</v>
      </c>
      <c r="P202" s="19">
        <v>10.119999999999999</v>
      </c>
      <c r="Q202" s="19">
        <v>9.5</v>
      </c>
      <c r="R202" s="19"/>
      <c r="S202" s="19"/>
      <c r="T202" s="19"/>
      <c r="U202" s="19">
        <v>9.8040000000000003</v>
      </c>
      <c r="V202" s="19">
        <v>9.4209999999999994</v>
      </c>
      <c r="W202" s="19">
        <v>8.8940000000000001</v>
      </c>
      <c r="X202" s="19">
        <v>8.9830000000000005</v>
      </c>
      <c r="Y202" s="19"/>
      <c r="Z202" s="19"/>
      <c r="AA202" s="19">
        <v>9.0909999999999993</v>
      </c>
      <c r="AB202" s="19">
        <v>9.3650000000000002</v>
      </c>
    </row>
    <row r="203" spans="2:28">
      <c r="B203" s="19"/>
      <c r="C203" s="19"/>
      <c r="D203" s="19"/>
      <c r="E203">
        <v>14</v>
      </c>
      <c r="F203" s="2">
        <v>18</v>
      </c>
      <c r="J203" s="2">
        <v>16</v>
      </c>
      <c r="K203" s="2">
        <v>20</v>
      </c>
      <c r="L203">
        <v>22</v>
      </c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</row>
    <row r="204" spans="2:28">
      <c r="B204" s="19" t="s">
        <v>121</v>
      </c>
      <c r="C204" s="19">
        <v>2</v>
      </c>
      <c r="D204" s="19">
        <v>3</v>
      </c>
      <c r="E204">
        <v>1</v>
      </c>
      <c r="F204">
        <v>3</v>
      </c>
      <c r="J204">
        <v>1</v>
      </c>
      <c r="K204">
        <v>3</v>
      </c>
      <c r="L204">
        <v>5</v>
      </c>
      <c r="P204" s="19">
        <v>10.119999999999999</v>
      </c>
      <c r="Q204" s="19">
        <v>8.218</v>
      </c>
      <c r="R204" s="19"/>
      <c r="S204" s="19"/>
      <c r="T204" s="19"/>
      <c r="U204" s="19">
        <v>9.0820000000000007</v>
      </c>
      <c r="V204" s="19">
        <v>9.4209999999999994</v>
      </c>
      <c r="W204" s="19">
        <v>9.516</v>
      </c>
      <c r="X204" s="19">
        <v>9.6069999999999993</v>
      </c>
      <c r="Y204" s="19"/>
      <c r="Z204" s="19"/>
      <c r="AA204" s="19">
        <v>9.5139999999999993</v>
      </c>
      <c r="AB204" s="19">
        <v>9.3350000000000009</v>
      </c>
    </row>
    <row r="205" spans="2:28">
      <c r="B205" s="19"/>
      <c r="C205" s="19"/>
      <c r="D205" s="19"/>
      <c r="E205">
        <v>14</v>
      </c>
      <c r="F205" s="3">
        <v>22</v>
      </c>
      <c r="J205" s="2">
        <v>16</v>
      </c>
      <c r="K205">
        <v>18</v>
      </c>
      <c r="L205">
        <v>20</v>
      </c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</row>
    <row r="206" spans="2:28">
      <c r="B206" s="19" t="s">
        <v>122</v>
      </c>
      <c r="C206" s="19">
        <v>2</v>
      </c>
      <c r="D206" s="19">
        <v>3</v>
      </c>
      <c r="E206">
        <v>1</v>
      </c>
      <c r="F206">
        <v>3</v>
      </c>
      <c r="J206">
        <v>1</v>
      </c>
      <c r="K206">
        <v>3</v>
      </c>
      <c r="L206">
        <v>5</v>
      </c>
      <c r="P206" s="19">
        <v>10.119999999999999</v>
      </c>
      <c r="Q206" s="19">
        <v>10.021000000000001</v>
      </c>
      <c r="R206" s="19"/>
      <c r="S206" s="19"/>
      <c r="T206" s="19"/>
      <c r="U206" s="19">
        <v>10.07</v>
      </c>
      <c r="V206" s="19">
        <v>8.5660000000000007</v>
      </c>
      <c r="W206" s="19">
        <v>8.6519999999999992</v>
      </c>
      <c r="X206" s="19">
        <v>8.7379999999999995</v>
      </c>
      <c r="Y206" s="19"/>
      <c r="Z206" s="19"/>
      <c r="AA206" s="19">
        <v>8.6519999999999992</v>
      </c>
      <c r="AB206" s="19">
        <v>9.17</v>
      </c>
    </row>
    <row r="207" spans="2:28">
      <c r="B207" s="19"/>
      <c r="C207" s="19"/>
      <c r="D207" s="19"/>
      <c r="E207">
        <v>14</v>
      </c>
      <c r="F207">
        <v>16</v>
      </c>
      <c r="J207" s="3">
        <v>18</v>
      </c>
      <c r="K207">
        <v>20</v>
      </c>
      <c r="L207">
        <v>22</v>
      </c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</row>
    <row r="208" spans="2:28">
      <c r="B208" s="19" t="s">
        <v>123</v>
      </c>
      <c r="C208" s="19">
        <v>2</v>
      </c>
      <c r="D208" s="19">
        <v>3</v>
      </c>
      <c r="E208">
        <v>1</v>
      </c>
      <c r="F208">
        <v>3</v>
      </c>
      <c r="J208">
        <v>2</v>
      </c>
      <c r="K208">
        <v>4</v>
      </c>
      <c r="L208">
        <v>6</v>
      </c>
      <c r="P208" s="19">
        <v>7.6689999999999996</v>
      </c>
      <c r="Q208" s="19">
        <v>7.6749999999999998</v>
      </c>
      <c r="R208" s="19"/>
      <c r="S208" s="19"/>
      <c r="T208" s="19"/>
      <c r="U208" s="19">
        <v>7.6719999999999997</v>
      </c>
      <c r="V208" s="19">
        <v>10.119999999999999</v>
      </c>
      <c r="W208" s="19">
        <v>10.132</v>
      </c>
      <c r="X208" s="19">
        <v>10.061</v>
      </c>
      <c r="Y208" s="19"/>
      <c r="Z208" s="19"/>
      <c r="AA208" s="19">
        <v>10.103999999999999</v>
      </c>
      <c r="AB208" s="19">
        <v>8.9749999999999996</v>
      </c>
    </row>
    <row r="209" spans="2:28">
      <c r="B209" s="19"/>
      <c r="C209" s="19"/>
      <c r="D209" s="19"/>
      <c r="E209" s="3">
        <v>21</v>
      </c>
      <c r="F209">
        <v>23</v>
      </c>
      <c r="J209">
        <v>15</v>
      </c>
      <c r="K209">
        <v>17</v>
      </c>
      <c r="L209">
        <v>19</v>
      </c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</row>
    <row r="210" spans="2:28">
      <c r="B210" s="19" t="s">
        <v>124</v>
      </c>
      <c r="C210" s="19">
        <v>2</v>
      </c>
      <c r="D210" s="19">
        <v>3</v>
      </c>
      <c r="E210">
        <v>1</v>
      </c>
      <c r="F210">
        <v>3</v>
      </c>
      <c r="J210">
        <v>2</v>
      </c>
      <c r="K210">
        <v>4</v>
      </c>
      <c r="L210">
        <v>6</v>
      </c>
      <c r="P210" s="19">
        <v>7.5720000000000001</v>
      </c>
      <c r="Q210" s="19">
        <v>7.5060000000000002</v>
      </c>
      <c r="R210" s="19"/>
      <c r="S210" s="19"/>
      <c r="T210" s="19"/>
      <c r="U210" s="19">
        <v>7.5389999999999997</v>
      </c>
      <c r="V210" s="19">
        <v>10.119999999999999</v>
      </c>
      <c r="W210" s="19">
        <v>10.162000000000001</v>
      </c>
      <c r="X210" s="19">
        <v>7.7889999999999997</v>
      </c>
      <c r="Y210" s="19"/>
      <c r="Z210" s="19"/>
      <c r="AA210" s="19">
        <v>9.2230000000000008</v>
      </c>
      <c r="AB210" s="19">
        <v>8.4719999999999995</v>
      </c>
    </row>
    <row r="211" spans="2:28">
      <c r="B211" s="19"/>
      <c r="C211" s="19"/>
      <c r="D211" s="19"/>
      <c r="E211" s="3">
        <v>19</v>
      </c>
      <c r="F211">
        <v>21</v>
      </c>
      <c r="J211">
        <v>15</v>
      </c>
      <c r="K211">
        <v>17</v>
      </c>
      <c r="L211" s="2">
        <v>23</v>
      </c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</row>
    <row r="212" spans="2:28">
      <c r="B212" s="19" t="s">
        <v>125</v>
      </c>
      <c r="C212" s="19">
        <v>2</v>
      </c>
      <c r="D212" s="19">
        <v>3</v>
      </c>
      <c r="E212">
        <v>1</v>
      </c>
      <c r="F212">
        <v>3</v>
      </c>
      <c r="J212">
        <v>2</v>
      </c>
      <c r="K212">
        <v>4</v>
      </c>
      <c r="L212">
        <v>6</v>
      </c>
      <c r="P212" s="19">
        <v>8.1950000000000003</v>
      </c>
      <c r="Q212" s="19">
        <v>7.444</v>
      </c>
      <c r="R212" s="19"/>
      <c r="S212" s="19"/>
      <c r="T212" s="19"/>
      <c r="U212" s="19">
        <v>7.8019999999999996</v>
      </c>
      <c r="V212" s="19">
        <v>10.119999999999999</v>
      </c>
      <c r="W212" s="19">
        <v>10.132</v>
      </c>
      <c r="X212" s="19">
        <v>8.7100000000000009</v>
      </c>
      <c r="Y212" s="19"/>
      <c r="Z212" s="19"/>
      <c r="AA212" s="19">
        <v>9.6059999999999999</v>
      </c>
      <c r="AB212" s="19">
        <v>8.8059999999999992</v>
      </c>
    </row>
    <row r="213" spans="2:28">
      <c r="B213" s="19"/>
      <c r="C213" s="19"/>
      <c r="D213" s="19"/>
      <c r="E213" s="2">
        <v>19</v>
      </c>
      <c r="F213" s="2">
        <v>23</v>
      </c>
      <c r="J213">
        <v>15</v>
      </c>
      <c r="K213">
        <v>17</v>
      </c>
      <c r="L213" s="2">
        <v>21</v>
      </c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</row>
    <row r="214" spans="2:28">
      <c r="B214" s="19" t="s">
        <v>126</v>
      </c>
      <c r="C214" s="19">
        <v>2</v>
      </c>
      <c r="D214" s="19">
        <v>3</v>
      </c>
      <c r="E214">
        <v>1</v>
      </c>
      <c r="F214">
        <v>3</v>
      </c>
      <c r="J214">
        <v>2</v>
      </c>
      <c r="K214">
        <v>4</v>
      </c>
      <c r="L214">
        <v>6</v>
      </c>
      <c r="P214" s="19">
        <v>8.2210000000000001</v>
      </c>
      <c r="Q214" s="19">
        <v>7.4349999999999996</v>
      </c>
      <c r="R214" s="19"/>
      <c r="S214" s="19"/>
      <c r="T214" s="19"/>
      <c r="U214" s="19">
        <v>7.8159999999999998</v>
      </c>
      <c r="V214" s="19">
        <v>10.119999999999999</v>
      </c>
      <c r="W214" s="19">
        <v>8.5129999999999999</v>
      </c>
      <c r="X214" s="19">
        <v>7.73</v>
      </c>
      <c r="Y214" s="19"/>
      <c r="Z214" s="19"/>
      <c r="AA214" s="19">
        <v>8.6890000000000001</v>
      </c>
      <c r="AB214" s="19">
        <v>8.3160000000000007</v>
      </c>
    </row>
    <row r="215" spans="2:28">
      <c r="B215" s="19"/>
      <c r="C215" s="19"/>
      <c r="D215" s="19"/>
      <c r="E215" s="2">
        <v>17</v>
      </c>
      <c r="F215" s="2">
        <v>21</v>
      </c>
      <c r="J215">
        <v>15</v>
      </c>
      <c r="K215" s="2">
        <v>19</v>
      </c>
      <c r="L215" s="2">
        <v>23</v>
      </c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</row>
    <row r="216" spans="2:28">
      <c r="B216" s="19" t="s">
        <v>127</v>
      </c>
      <c r="C216" s="19">
        <v>2</v>
      </c>
      <c r="D216" s="19">
        <v>3</v>
      </c>
      <c r="E216">
        <v>1</v>
      </c>
      <c r="F216">
        <v>3</v>
      </c>
      <c r="J216">
        <v>2</v>
      </c>
      <c r="K216">
        <v>4</v>
      </c>
      <c r="L216">
        <v>6</v>
      </c>
      <c r="P216" s="19">
        <v>8.5</v>
      </c>
      <c r="Q216" s="19">
        <v>8.484</v>
      </c>
      <c r="R216" s="19"/>
      <c r="S216" s="19"/>
      <c r="T216" s="19"/>
      <c r="U216" s="19">
        <v>8.4920000000000009</v>
      </c>
      <c r="V216" s="19">
        <v>10.119999999999999</v>
      </c>
      <c r="W216" s="19">
        <v>8.0839999999999996</v>
      </c>
      <c r="X216" s="19">
        <v>8.1639999999999997</v>
      </c>
      <c r="Y216" s="19"/>
      <c r="Z216" s="19"/>
      <c r="AA216" s="19">
        <v>8.6969999999999992</v>
      </c>
      <c r="AB216" s="19">
        <v>8.6140000000000008</v>
      </c>
    </row>
    <row r="217" spans="2:28">
      <c r="B217" s="19"/>
      <c r="C217" s="19"/>
      <c r="D217" s="19"/>
      <c r="E217" s="2">
        <v>17</v>
      </c>
      <c r="F217">
        <v>19</v>
      </c>
      <c r="J217">
        <v>15</v>
      </c>
      <c r="K217" s="3">
        <v>21</v>
      </c>
      <c r="L217">
        <v>23</v>
      </c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</row>
    <row r="218" spans="2:28">
      <c r="B218" s="19" t="s">
        <v>128</v>
      </c>
      <c r="C218" s="19">
        <v>2</v>
      </c>
      <c r="D218" s="19">
        <v>3</v>
      </c>
      <c r="E218">
        <v>1</v>
      </c>
      <c r="F218">
        <v>3</v>
      </c>
      <c r="J218">
        <v>2</v>
      </c>
      <c r="K218">
        <v>4</v>
      </c>
      <c r="L218">
        <v>6</v>
      </c>
      <c r="P218" s="19">
        <v>10.119999999999999</v>
      </c>
      <c r="Q218" s="19">
        <v>9.4670000000000005</v>
      </c>
      <c r="R218" s="19"/>
      <c r="S218" s="19"/>
      <c r="T218" s="19"/>
      <c r="U218" s="19">
        <v>9.7870000000000008</v>
      </c>
      <c r="V218" s="19">
        <v>9.7989999999999995</v>
      </c>
      <c r="W218" s="19">
        <v>9.1929999999999996</v>
      </c>
      <c r="X218" s="19">
        <v>9.2850000000000001</v>
      </c>
      <c r="Y218" s="19"/>
      <c r="Z218" s="19"/>
      <c r="AA218" s="19">
        <v>9.4160000000000004</v>
      </c>
      <c r="AB218" s="19">
        <v>9.5619999999999994</v>
      </c>
    </row>
    <row r="219" spans="2:28">
      <c r="B219" s="19"/>
      <c r="C219" s="19"/>
      <c r="D219" s="19"/>
      <c r="E219">
        <v>14</v>
      </c>
      <c r="F219" s="2">
        <v>18</v>
      </c>
      <c r="J219" s="2">
        <v>16</v>
      </c>
      <c r="K219" s="2">
        <v>20</v>
      </c>
      <c r="L219">
        <v>22</v>
      </c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</row>
    <row r="220" spans="2:28">
      <c r="B220" s="19" t="s">
        <v>129</v>
      </c>
      <c r="C220" s="19">
        <v>2</v>
      </c>
      <c r="D220" s="19">
        <v>3</v>
      </c>
      <c r="E220">
        <v>1</v>
      </c>
      <c r="F220">
        <v>3</v>
      </c>
      <c r="J220">
        <v>2</v>
      </c>
      <c r="K220">
        <v>4</v>
      </c>
      <c r="L220">
        <v>6</v>
      </c>
      <c r="P220" s="19">
        <v>10.119999999999999</v>
      </c>
      <c r="Q220" s="19">
        <v>8.2070000000000007</v>
      </c>
      <c r="R220" s="19"/>
      <c r="S220" s="19"/>
      <c r="T220" s="19"/>
      <c r="U220" s="19">
        <v>9.0760000000000005</v>
      </c>
      <c r="V220" s="19">
        <v>9.7989999999999995</v>
      </c>
      <c r="W220" s="19">
        <v>9.8989999999999991</v>
      </c>
      <c r="X220" s="19">
        <v>9.9979999999999993</v>
      </c>
      <c r="Y220" s="19"/>
      <c r="Z220" s="19"/>
      <c r="AA220" s="19">
        <v>9.8989999999999991</v>
      </c>
      <c r="AB220" s="19">
        <v>9.5510000000000002</v>
      </c>
    </row>
    <row r="221" spans="2:28">
      <c r="B221" s="19"/>
      <c r="C221" s="19"/>
      <c r="D221" s="19"/>
      <c r="E221">
        <v>14</v>
      </c>
      <c r="F221" s="3">
        <v>22</v>
      </c>
      <c r="J221" s="2">
        <v>16</v>
      </c>
      <c r="K221">
        <v>18</v>
      </c>
      <c r="L221">
        <v>20</v>
      </c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</row>
    <row r="222" spans="2:28">
      <c r="B222" s="19" t="s">
        <v>130</v>
      </c>
      <c r="C222" s="19">
        <v>2</v>
      </c>
      <c r="D222" s="19">
        <v>3</v>
      </c>
      <c r="E222">
        <v>1</v>
      </c>
      <c r="F222">
        <v>3</v>
      </c>
      <c r="J222">
        <v>2</v>
      </c>
      <c r="K222">
        <v>4</v>
      </c>
      <c r="L222">
        <v>6</v>
      </c>
      <c r="P222" s="19">
        <v>10.119999999999999</v>
      </c>
      <c r="Q222" s="19">
        <v>10.021000000000001</v>
      </c>
      <c r="R222" s="19"/>
      <c r="S222" s="19"/>
      <c r="T222" s="19"/>
      <c r="U222" s="19">
        <v>10.07</v>
      </c>
      <c r="V222" s="19">
        <v>8.9740000000000002</v>
      </c>
      <c r="W222" s="19">
        <v>9.0630000000000006</v>
      </c>
      <c r="X222" s="19">
        <v>9.1199999999999992</v>
      </c>
      <c r="Y222" s="19"/>
      <c r="Z222" s="19"/>
      <c r="AA222" s="19">
        <v>9.0510000000000002</v>
      </c>
      <c r="AB222" s="19">
        <v>9.4339999999999993</v>
      </c>
    </row>
    <row r="223" spans="2:28">
      <c r="B223" s="19"/>
      <c r="C223" s="19"/>
      <c r="D223" s="19"/>
      <c r="E223">
        <v>14</v>
      </c>
      <c r="F223">
        <v>16</v>
      </c>
      <c r="J223" s="3">
        <v>18</v>
      </c>
      <c r="K223">
        <v>20</v>
      </c>
      <c r="L223">
        <v>22</v>
      </c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</row>
    <row r="224" spans="2:28">
      <c r="B224" s="19" t="s">
        <v>131</v>
      </c>
      <c r="C224" s="19">
        <v>2</v>
      </c>
      <c r="D224" s="19">
        <v>3</v>
      </c>
      <c r="E224">
        <v>1</v>
      </c>
      <c r="F224">
        <v>3</v>
      </c>
      <c r="J224">
        <v>1</v>
      </c>
      <c r="K224">
        <v>4</v>
      </c>
      <c r="L224">
        <v>7</v>
      </c>
      <c r="P224" s="19">
        <v>7.3860000000000001</v>
      </c>
      <c r="Q224" s="19">
        <v>7.4589999999999996</v>
      </c>
      <c r="R224" s="19"/>
      <c r="S224" s="19"/>
      <c r="T224" s="19"/>
      <c r="U224" s="19">
        <v>7.4219999999999997</v>
      </c>
      <c r="V224" s="19">
        <v>10.119999999999999</v>
      </c>
      <c r="W224" s="19">
        <v>10.132</v>
      </c>
      <c r="X224" s="19">
        <v>10.061</v>
      </c>
      <c r="Y224" s="19"/>
      <c r="Z224" s="19"/>
      <c r="AA224" s="19">
        <v>10.103999999999999</v>
      </c>
      <c r="AB224" s="19">
        <v>8.8290000000000006</v>
      </c>
    </row>
    <row r="225" spans="1:28">
      <c r="B225" s="19"/>
      <c r="C225" s="19"/>
      <c r="D225" s="19"/>
      <c r="E225" s="3">
        <v>22</v>
      </c>
      <c r="F225">
        <v>24</v>
      </c>
      <c r="J225">
        <v>14</v>
      </c>
      <c r="K225">
        <v>17</v>
      </c>
      <c r="L225">
        <v>20</v>
      </c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</row>
    <row r="226" spans="1:28">
      <c r="B226" s="19" t="s">
        <v>132</v>
      </c>
      <c r="C226" s="19">
        <v>2</v>
      </c>
      <c r="D226" s="19">
        <v>3</v>
      </c>
      <c r="E226">
        <v>1</v>
      </c>
      <c r="F226">
        <v>3</v>
      </c>
      <c r="J226">
        <v>1</v>
      </c>
      <c r="K226">
        <v>4</v>
      </c>
      <c r="L226">
        <v>7</v>
      </c>
      <c r="P226" s="19">
        <v>7.8479999999999999</v>
      </c>
      <c r="Q226" s="19">
        <v>7.83</v>
      </c>
      <c r="R226" s="19"/>
      <c r="S226" s="19"/>
      <c r="T226" s="19"/>
      <c r="U226" s="19">
        <v>7.8390000000000004</v>
      </c>
      <c r="V226" s="19">
        <v>10.119999999999999</v>
      </c>
      <c r="W226" s="19">
        <v>10.132</v>
      </c>
      <c r="X226" s="19">
        <v>8.36</v>
      </c>
      <c r="Y226" s="19"/>
      <c r="Z226" s="19"/>
      <c r="AA226" s="19">
        <v>9.4640000000000004</v>
      </c>
      <c r="AB226" s="19">
        <v>8.7420000000000009</v>
      </c>
    </row>
    <row r="227" spans="1:28">
      <c r="B227" s="19"/>
      <c r="C227" s="19"/>
      <c r="D227" s="19"/>
      <c r="E227" s="3">
        <v>19</v>
      </c>
      <c r="F227">
        <v>21</v>
      </c>
      <c r="J227">
        <v>14</v>
      </c>
      <c r="K227">
        <v>17</v>
      </c>
      <c r="L227" s="2">
        <v>23</v>
      </c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</row>
    <row r="228" spans="1:28">
      <c r="B228" s="19" t="s">
        <v>133</v>
      </c>
      <c r="C228" s="19">
        <v>2</v>
      </c>
      <c r="D228" s="19">
        <v>3</v>
      </c>
      <c r="E228">
        <v>1</v>
      </c>
      <c r="F228">
        <v>3</v>
      </c>
      <c r="J228">
        <v>1</v>
      </c>
      <c r="K228">
        <v>4</v>
      </c>
      <c r="L228">
        <v>7</v>
      </c>
      <c r="P228" s="19">
        <v>7.8479999999999999</v>
      </c>
      <c r="Q228" s="19">
        <v>7.46</v>
      </c>
      <c r="R228" s="19"/>
      <c r="S228" s="19"/>
      <c r="T228" s="19"/>
      <c r="U228" s="19">
        <v>7.6509999999999998</v>
      </c>
      <c r="V228" s="19">
        <v>10.119999999999999</v>
      </c>
      <c r="W228" s="19">
        <v>10.132</v>
      </c>
      <c r="X228" s="19">
        <v>9.0389999999999997</v>
      </c>
      <c r="Y228" s="19"/>
      <c r="Z228" s="19"/>
      <c r="AA228" s="19">
        <v>9.7360000000000007</v>
      </c>
      <c r="AB228" s="19">
        <v>8.7880000000000003</v>
      </c>
    </row>
    <row r="229" spans="1:28">
      <c r="B229" s="19"/>
      <c r="C229" s="19"/>
      <c r="D229" s="19"/>
      <c r="E229" s="2">
        <v>19</v>
      </c>
      <c r="F229" s="2">
        <v>23</v>
      </c>
      <c r="J229">
        <v>14</v>
      </c>
      <c r="K229">
        <v>17</v>
      </c>
      <c r="L229" s="2">
        <v>21</v>
      </c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</row>
    <row r="230" spans="1:28">
      <c r="B230" s="19" t="s">
        <v>134</v>
      </c>
      <c r="C230" s="19">
        <v>2</v>
      </c>
      <c r="D230" s="19">
        <v>3</v>
      </c>
      <c r="E230">
        <v>1</v>
      </c>
      <c r="F230">
        <v>3</v>
      </c>
      <c r="J230">
        <v>1</v>
      </c>
      <c r="K230">
        <v>4</v>
      </c>
      <c r="L230">
        <v>7</v>
      </c>
      <c r="P230" s="19">
        <v>9.1329999999999991</v>
      </c>
      <c r="Q230" s="19">
        <v>7.5979999999999999</v>
      </c>
      <c r="R230" s="19"/>
      <c r="S230" s="19"/>
      <c r="T230" s="19"/>
      <c r="U230" s="19">
        <v>8.2889999999999997</v>
      </c>
      <c r="V230" s="19">
        <v>10.119999999999999</v>
      </c>
      <c r="W230" s="19">
        <v>8.4640000000000004</v>
      </c>
      <c r="X230" s="19">
        <v>8.1530000000000005</v>
      </c>
      <c r="Y230" s="19"/>
      <c r="Z230" s="19"/>
      <c r="AA230" s="19">
        <v>8.8330000000000002</v>
      </c>
      <c r="AB230" s="19">
        <v>8.609</v>
      </c>
    </row>
    <row r="231" spans="1:28">
      <c r="B231" s="19"/>
      <c r="C231" s="19"/>
      <c r="D231" s="19"/>
      <c r="E231" s="2">
        <v>16</v>
      </c>
      <c r="F231" s="2">
        <v>20</v>
      </c>
      <c r="J231">
        <v>14</v>
      </c>
      <c r="K231" s="2">
        <v>18</v>
      </c>
      <c r="L231" s="2">
        <v>22</v>
      </c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</row>
    <row r="232" spans="1:28">
      <c r="B232" s="19" t="s">
        <v>135</v>
      </c>
      <c r="C232" s="19">
        <v>2</v>
      </c>
      <c r="D232" s="19">
        <v>3</v>
      </c>
      <c r="E232">
        <v>1</v>
      </c>
      <c r="F232">
        <v>3</v>
      </c>
      <c r="J232">
        <v>1</v>
      </c>
      <c r="K232">
        <v>4</v>
      </c>
      <c r="L232">
        <v>7</v>
      </c>
      <c r="P232" s="19">
        <v>9.4640000000000004</v>
      </c>
      <c r="Q232" s="19">
        <v>9.56</v>
      </c>
      <c r="R232" s="19"/>
      <c r="S232" s="19"/>
      <c r="T232" s="19"/>
      <c r="U232" s="19">
        <v>9.5120000000000005</v>
      </c>
      <c r="V232" s="19">
        <v>10.119999999999999</v>
      </c>
      <c r="W232" s="19">
        <v>9.2799999999999994</v>
      </c>
      <c r="X232" s="19">
        <v>9.7330000000000005</v>
      </c>
      <c r="Y232" s="19"/>
      <c r="Z232" s="19"/>
      <c r="AA232" s="19">
        <v>9.6999999999999993</v>
      </c>
      <c r="AB232" s="19">
        <v>9.625</v>
      </c>
    </row>
    <row r="233" spans="1:28">
      <c r="B233" s="19"/>
      <c r="C233" s="19"/>
      <c r="D233" s="19"/>
      <c r="E233" s="2">
        <v>16</v>
      </c>
      <c r="F233">
        <v>18</v>
      </c>
      <c r="J233">
        <v>14</v>
      </c>
      <c r="K233" s="3">
        <v>20</v>
      </c>
      <c r="L233">
        <v>22</v>
      </c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</row>
    <row r="234" spans="1:28">
      <c r="B234" s="19" t="s">
        <v>136</v>
      </c>
      <c r="C234" s="19">
        <v>2</v>
      </c>
      <c r="D234" s="19">
        <v>3</v>
      </c>
      <c r="E234">
        <v>1</v>
      </c>
      <c r="F234">
        <v>3</v>
      </c>
      <c r="J234">
        <v>1</v>
      </c>
      <c r="K234">
        <v>4</v>
      </c>
      <c r="L234">
        <v>7</v>
      </c>
      <c r="P234" s="19">
        <v>10.119999999999999</v>
      </c>
      <c r="Q234" s="19">
        <v>9.5</v>
      </c>
      <c r="R234" s="19"/>
      <c r="S234" s="19"/>
      <c r="T234" s="19"/>
      <c r="U234" s="19">
        <v>9.8040000000000003</v>
      </c>
      <c r="V234" s="19">
        <v>9.4209999999999994</v>
      </c>
      <c r="W234" s="19">
        <v>9.2240000000000002</v>
      </c>
      <c r="X234" s="19">
        <v>9.6750000000000007</v>
      </c>
      <c r="Y234" s="19"/>
      <c r="Z234" s="19"/>
      <c r="AA234" s="19">
        <v>9.4369999999999994</v>
      </c>
      <c r="AB234" s="19">
        <v>9.5809999999999995</v>
      </c>
    </row>
    <row r="235" spans="1:28">
      <c r="B235" s="19"/>
      <c r="C235" s="19"/>
      <c r="D235" s="19"/>
      <c r="E235">
        <v>14</v>
      </c>
      <c r="F235" s="2">
        <v>18</v>
      </c>
      <c r="J235" s="2">
        <v>16</v>
      </c>
      <c r="K235" s="2">
        <v>20</v>
      </c>
      <c r="L235">
        <v>22</v>
      </c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</row>
    <row r="236" spans="1:28">
      <c r="B236" s="19" t="s">
        <v>137</v>
      </c>
      <c r="C236" s="19">
        <v>2</v>
      </c>
      <c r="D236" s="19">
        <v>3</v>
      </c>
      <c r="E236">
        <v>1</v>
      </c>
      <c r="F236">
        <v>3</v>
      </c>
      <c r="J236">
        <v>1</v>
      </c>
      <c r="K236">
        <v>4</v>
      </c>
      <c r="L236">
        <v>7</v>
      </c>
      <c r="P236" s="19">
        <v>10.119999999999999</v>
      </c>
      <c r="Q236" s="19">
        <v>7.952</v>
      </c>
      <c r="R236" s="19"/>
      <c r="S236" s="19"/>
      <c r="T236" s="19"/>
      <c r="U236" s="19">
        <v>8.9030000000000005</v>
      </c>
      <c r="V236" s="19">
        <v>9.4209999999999994</v>
      </c>
      <c r="W236" s="19">
        <v>9.891</v>
      </c>
      <c r="X236" s="19">
        <v>10.061</v>
      </c>
      <c r="Y236" s="19"/>
      <c r="Z236" s="19"/>
      <c r="AA236" s="19">
        <v>9.7859999999999996</v>
      </c>
      <c r="AB236" s="19">
        <v>9.4079999999999995</v>
      </c>
    </row>
    <row r="237" spans="1:28">
      <c r="B237" s="19"/>
      <c r="C237" s="19"/>
      <c r="D237" s="19"/>
      <c r="E237">
        <v>14</v>
      </c>
      <c r="F237" s="3">
        <v>22</v>
      </c>
      <c r="J237" s="2">
        <v>16</v>
      </c>
      <c r="K237">
        <v>18</v>
      </c>
      <c r="L237">
        <v>20</v>
      </c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</row>
    <row r="238" spans="1:28">
      <c r="B238" s="19" t="s">
        <v>138</v>
      </c>
      <c r="C238" s="19">
        <v>2</v>
      </c>
      <c r="D238" s="19">
        <v>3</v>
      </c>
      <c r="E238">
        <v>1</v>
      </c>
      <c r="F238">
        <v>3</v>
      </c>
      <c r="J238">
        <v>1</v>
      </c>
      <c r="K238">
        <v>4</v>
      </c>
      <c r="L238">
        <v>7</v>
      </c>
      <c r="P238" s="19">
        <v>10.119999999999999</v>
      </c>
      <c r="Q238" s="19">
        <v>10.021000000000001</v>
      </c>
      <c r="R238" s="19"/>
      <c r="S238" s="19"/>
      <c r="T238" s="19"/>
      <c r="U238" s="19">
        <v>10.07</v>
      </c>
      <c r="V238" s="19">
        <v>8.5660000000000007</v>
      </c>
      <c r="W238" s="19">
        <v>8.9610000000000003</v>
      </c>
      <c r="X238" s="19">
        <v>9.3849999999999998</v>
      </c>
      <c r="Y238" s="19"/>
      <c r="Z238" s="19"/>
      <c r="AA238" s="19">
        <v>8.9610000000000003</v>
      </c>
      <c r="AB238" s="19">
        <v>9.375</v>
      </c>
    </row>
    <row r="239" spans="1:28">
      <c r="B239" s="19"/>
      <c r="C239" s="19"/>
      <c r="D239" s="19"/>
      <c r="E239">
        <v>14</v>
      </c>
      <c r="F239">
        <v>16</v>
      </c>
      <c r="J239" s="3">
        <v>18</v>
      </c>
      <c r="K239">
        <v>20</v>
      </c>
      <c r="L239">
        <v>22</v>
      </c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</row>
    <row r="240" spans="1:28">
      <c r="A240" t="s">
        <v>94</v>
      </c>
      <c r="B240" s="19"/>
      <c r="C240" s="19">
        <v>3</v>
      </c>
      <c r="D240" s="19">
        <v>2</v>
      </c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</row>
    <row r="241" spans="1:28">
      <c r="B241" s="19"/>
      <c r="C241" s="19"/>
      <c r="D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</row>
    <row r="242" spans="1:28">
      <c r="A242" t="s">
        <v>114</v>
      </c>
      <c r="B242" s="19"/>
      <c r="C242" s="19">
        <v>1</v>
      </c>
      <c r="D242" s="19">
        <v>5</v>
      </c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</row>
    <row r="243" spans="1:28">
      <c r="B243" s="19"/>
      <c r="C243" s="19"/>
      <c r="D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</row>
    <row r="244" spans="1:28">
      <c r="B244" s="19"/>
      <c r="C244" s="19">
        <v>2</v>
      </c>
      <c r="D244" s="19">
        <v>4</v>
      </c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</row>
    <row r="245" spans="1:28">
      <c r="B245" s="19"/>
      <c r="C245" s="19"/>
      <c r="D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</row>
    <row r="246" spans="1:28">
      <c r="B246" s="19"/>
      <c r="C246" s="19"/>
      <c r="D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</row>
    <row r="247" spans="1:28">
      <c r="B247" s="19"/>
      <c r="C247" s="19"/>
      <c r="D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</row>
    <row r="248" spans="1:28">
      <c r="B248" s="19"/>
      <c r="C248" s="19"/>
      <c r="D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</row>
    <row r="249" spans="1:28">
      <c r="B249" s="19"/>
      <c r="C249" s="19"/>
      <c r="D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</row>
    <row r="250" spans="1:28">
      <c r="B250" s="19"/>
      <c r="C250" s="19"/>
      <c r="D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</row>
    <row r="251" spans="1:28">
      <c r="B251" s="19"/>
      <c r="C251" s="19"/>
      <c r="D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</row>
    <row r="252" spans="1:28">
      <c r="B252" s="19"/>
      <c r="C252" s="19"/>
      <c r="D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</row>
    <row r="253" spans="1:28">
      <c r="B253" s="19"/>
      <c r="C253" s="19"/>
      <c r="D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</row>
    <row r="254" spans="1:28">
      <c r="B254" s="19"/>
      <c r="C254" s="19"/>
      <c r="D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</row>
    <row r="255" spans="1:28">
      <c r="B255" s="19"/>
      <c r="C255" s="19"/>
      <c r="D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</row>
    <row r="256" spans="1:28">
      <c r="B256" s="19"/>
      <c r="C256" s="19"/>
      <c r="D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</row>
    <row r="257" spans="2:28">
      <c r="B257" s="19"/>
      <c r="C257" s="19"/>
      <c r="D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</row>
    <row r="258" spans="2:28">
      <c r="B258" s="19"/>
      <c r="C258" s="19"/>
      <c r="D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</row>
    <row r="259" spans="2:28">
      <c r="B259" s="19"/>
      <c r="C259" s="19"/>
      <c r="D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</row>
    <row r="260" spans="2:28">
      <c r="B260" s="19"/>
      <c r="C260" s="19"/>
      <c r="D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</row>
    <row r="261" spans="2:28">
      <c r="B261" s="19"/>
      <c r="C261" s="19"/>
      <c r="D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</row>
    <row r="262" spans="2:28">
      <c r="B262" s="19"/>
      <c r="C262" s="19"/>
      <c r="D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</row>
    <row r="263" spans="2:28">
      <c r="B263" s="19"/>
      <c r="C263" s="19"/>
      <c r="D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</row>
    <row r="264" spans="2:28">
      <c r="B264" s="19"/>
      <c r="C264" s="19"/>
      <c r="D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</row>
    <row r="265" spans="2:28">
      <c r="B265" s="19"/>
      <c r="C265" s="19"/>
      <c r="D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</row>
    <row r="266" spans="2:28">
      <c r="B266" s="19"/>
      <c r="C266" s="19"/>
      <c r="D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</row>
    <row r="267" spans="2:28">
      <c r="B267" s="19"/>
      <c r="C267" s="19"/>
      <c r="D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</row>
    <row r="268" spans="2:28">
      <c r="B268" s="19"/>
      <c r="C268" s="19"/>
      <c r="D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</row>
    <row r="269" spans="2:28">
      <c r="B269" s="19"/>
      <c r="C269" s="19"/>
      <c r="D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</row>
    <row r="270" spans="2:28">
      <c r="B270" s="19"/>
      <c r="C270" s="19"/>
      <c r="D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</row>
    <row r="271" spans="2:28">
      <c r="B271" s="19"/>
      <c r="C271" s="19"/>
      <c r="D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</row>
    <row r="272" spans="2:28">
      <c r="B272" s="19"/>
      <c r="C272" s="19"/>
      <c r="D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</row>
    <row r="273" spans="2:28">
      <c r="B273" s="19"/>
      <c r="C273" s="19"/>
      <c r="D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</row>
  </sheetData>
  <mergeCells count="2149">
    <mergeCell ref="Y66:Y67"/>
    <mergeCell ref="Z66:Z67"/>
    <mergeCell ref="AA66:AA67"/>
    <mergeCell ref="AB66:AB67"/>
    <mergeCell ref="B68:B69"/>
    <mergeCell ref="C68:C69"/>
    <mergeCell ref="D68:D69"/>
    <mergeCell ref="P68:P69"/>
    <mergeCell ref="V66:V67"/>
    <mergeCell ref="W66:W67"/>
    <mergeCell ref="R68:R69"/>
    <mergeCell ref="S68:S69"/>
    <mergeCell ref="AA68:AA69"/>
    <mergeCell ref="AB68:AB69"/>
    <mergeCell ref="V68:V69"/>
    <mergeCell ref="W68:W69"/>
    <mergeCell ref="X68:X69"/>
    <mergeCell ref="Y68:Y69"/>
    <mergeCell ref="Z68:Z69"/>
    <mergeCell ref="Q68:Q69"/>
    <mergeCell ref="T68:T69"/>
    <mergeCell ref="U68:U69"/>
    <mergeCell ref="Y62:Y63"/>
    <mergeCell ref="Z62:Z63"/>
    <mergeCell ref="AA62:AA63"/>
    <mergeCell ref="AB62:AB63"/>
    <mergeCell ref="B64:B65"/>
    <mergeCell ref="C64:C65"/>
    <mergeCell ref="D64:D65"/>
    <mergeCell ref="P64:P65"/>
    <mergeCell ref="V62:V63"/>
    <mergeCell ref="W62:W63"/>
    <mergeCell ref="R64:R65"/>
    <mergeCell ref="S64:S65"/>
    <mergeCell ref="AA64:AA65"/>
    <mergeCell ref="AB64:AB65"/>
    <mergeCell ref="B66:B67"/>
    <mergeCell ref="C66:C67"/>
    <mergeCell ref="D66:D67"/>
    <mergeCell ref="P66:P67"/>
    <mergeCell ref="Q66:Q67"/>
    <mergeCell ref="T66:T67"/>
    <mergeCell ref="U66:U67"/>
    <mergeCell ref="V64:V65"/>
    <mergeCell ref="W64:W65"/>
    <mergeCell ref="X64:X65"/>
    <mergeCell ref="Y64:Y65"/>
    <mergeCell ref="Z64:Z65"/>
    <mergeCell ref="Q64:Q65"/>
    <mergeCell ref="T64:T65"/>
    <mergeCell ref="U64:U65"/>
    <mergeCell ref="R66:R67"/>
    <mergeCell ref="S66:S67"/>
    <mergeCell ref="X66:X67"/>
    <mergeCell ref="Y58:Y59"/>
    <mergeCell ref="Z58:Z59"/>
    <mergeCell ref="AA58:AA59"/>
    <mergeCell ref="AB58:AB59"/>
    <mergeCell ref="B60:B61"/>
    <mergeCell ref="C60:C61"/>
    <mergeCell ref="D60:D61"/>
    <mergeCell ref="P60:P61"/>
    <mergeCell ref="V58:V59"/>
    <mergeCell ref="W58:W59"/>
    <mergeCell ref="R60:R61"/>
    <mergeCell ref="S60:S61"/>
    <mergeCell ref="AA60:AA61"/>
    <mergeCell ref="AB60:AB61"/>
    <mergeCell ref="B62:B63"/>
    <mergeCell ref="C62:C63"/>
    <mergeCell ref="D62:D63"/>
    <mergeCell ref="P62:P63"/>
    <mergeCell ref="Q62:Q63"/>
    <mergeCell ref="T62:T63"/>
    <mergeCell ref="U62:U63"/>
    <mergeCell ref="V60:V61"/>
    <mergeCell ref="W60:W61"/>
    <mergeCell ref="X60:X61"/>
    <mergeCell ref="Y60:Y61"/>
    <mergeCell ref="Z60:Z61"/>
    <mergeCell ref="Q60:Q61"/>
    <mergeCell ref="T60:T61"/>
    <mergeCell ref="U60:U61"/>
    <mergeCell ref="R62:R63"/>
    <mergeCell ref="S62:S63"/>
    <mergeCell ref="X62:X63"/>
    <mergeCell ref="Y54:Y55"/>
    <mergeCell ref="Z54:Z55"/>
    <mergeCell ref="AA54:AA55"/>
    <mergeCell ref="AB54:AB55"/>
    <mergeCell ref="B56:B57"/>
    <mergeCell ref="C56:C57"/>
    <mergeCell ref="D56:D57"/>
    <mergeCell ref="P56:P57"/>
    <mergeCell ref="V54:V55"/>
    <mergeCell ref="W54:W55"/>
    <mergeCell ref="R56:R57"/>
    <mergeCell ref="S56:S57"/>
    <mergeCell ref="AA56:AA57"/>
    <mergeCell ref="AB56:AB57"/>
    <mergeCell ref="B58:B59"/>
    <mergeCell ref="C58:C59"/>
    <mergeCell ref="D58:D59"/>
    <mergeCell ref="P58:P59"/>
    <mergeCell ref="Q58:Q59"/>
    <mergeCell ref="T58:T59"/>
    <mergeCell ref="U58:U59"/>
    <mergeCell ref="V56:V57"/>
    <mergeCell ref="W56:W57"/>
    <mergeCell ref="X56:X57"/>
    <mergeCell ref="Y56:Y57"/>
    <mergeCell ref="Z56:Z57"/>
    <mergeCell ref="Q56:Q57"/>
    <mergeCell ref="T56:T57"/>
    <mergeCell ref="U56:U57"/>
    <mergeCell ref="R58:R59"/>
    <mergeCell ref="S58:S59"/>
    <mergeCell ref="X58:X59"/>
    <mergeCell ref="Y50:Y51"/>
    <mergeCell ref="Z50:Z51"/>
    <mergeCell ref="AA50:AA51"/>
    <mergeCell ref="AB50:AB51"/>
    <mergeCell ref="B52:B53"/>
    <mergeCell ref="C52:C53"/>
    <mergeCell ref="D52:D53"/>
    <mergeCell ref="P52:P53"/>
    <mergeCell ref="V50:V51"/>
    <mergeCell ref="W50:W51"/>
    <mergeCell ref="R52:R53"/>
    <mergeCell ref="S52:S53"/>
    <mergeCell ref="AA52:AA53"/>
    <mergeCell ref="AB52:AB53"/>
    <mergeCell ref="B54:B55"/>
    <mergeCell ref="C54:C55"/>
    <mergeCell ref="D54:D55"/>
    <mergeCell ref="P54:P55"/>
    <mergeCell ref="Q54:Q55"/>
    <mergeCell ref="T54:T55"/>
    <mergeCell ref="U54:U55"/>
    <mergeCell ref="V52:V53"/>
    <mergeCell ref="W52:W53"/>
    <mergeCell ref="X52:X53"/>
    <mergeCell ref="Y52:Y53"/>
    <mergeCell ref="Z52:Z53"/>
    <mergeCell ref="Q52:Q53"/>
    <mergeCell ref="T52:T53"/>
    <mergeCell ref="U52:U53"/>
    <mergeCell ref="R54:R55"/>
    <mergeCell ref="S54:S55"/>
    <mergeCell ref="X54:X55"/>
    <mergeCell ref="Y46:Y47"/>
    <mergeCell ref="Z46:Z47"/>
    <mergeCell ref="AA46:AA47"/>
    <mergeCell ref="AB46:AB47"/>
    <mergeCell ref="B48:B49"/>
    <mergeCell ref="C48:C49"/>
    <mergeCell ref="D48:D49"/>
    <mergeCell ref="P48:P49"/>
    <mergeCell ref="V46:V47"/>
    <mergeCell ref="W46:W47"/>
    <mergeCell ref="R48:R49"/>
    <mergeCell ref="S48:S49"/>
    <mergeCell ref="AA48:AA49"/>
    <mergeCell ref="AB48:AB49"/>
    <mergeCell ref="B50:B51"/>
    <mergeCell ref="C50:C51"/>
    <mergeCell ref="D50:D51"/>
    <mergeCell ref="P50:P51"/>
    <mergeCell ref="Q50:Q51"/>
    <mergeCell ref="T50:T51"/>
    <mergeCell ref="U50:U51"/>
    <mergeCell ref="V48:V49"/>
    <mergeCell ref="W48:W49"/>
    <mergeCell ref="X48:X49"/>
    <mergeCell ref="Y48:Y49"/>
    <mergeCell ref="Z48:Z49"/>
    <mergeCell ref="Q48:Q49"/>
    <mergeCell ref="T48:T49"/>
    <mergeCell ref="U48:U49"/>
    <mergeCell ref="R50:R51"/>
    <mergeCell ref="S50:S51"/>
    <mergeCell ref="X50:X51"/>
    <mergeCell ref="Y42:Y43"/>
    <mergeCell ref="Z42:Z43"/>
    <mergeCell ref="AA42:AA43"/>
    <mergeCell ref="AB42:AB43"/>
    <mergeCell ref="B44:B45"/>
    <mergeCell ref="C44:C45"/>
    <mergeCell ref="D44:D45"/>
    <mergeCell ref="P44:P45"/>
    <mergeCell ref="V42:V43"/>
    <mergeCell ref="W42:W43"/>
    <mergeCell ref="R44:R45"/>
    <mergeCell ref="S44:S45"/>
    <mergeCell ref="AA44:AA45"/>
    <mergeCell ref="AB44:AB45"/>
    <mergeCell ref="B46:B47"/>
    <mergeCell ref="C46:C47"/>
    <mergeCell ref="D46:D47"/>
    <mergeCell ref="P46:P47"/>
    <mergeCell ref="Q46:Q47"/>
    <mergeCell ref="T46:T47"/>
    <mergeCell ref="U46:U47"/>
    <mergeCell ref="V44:V45"/>
    <mergeCell ref="W44:W45"/>
    <mergeCell ref="X44:X45"/>
    <mergeCell ref="Y44:Y45"/>
    <mergeCell ref="Z44:Z45"/>
    <mergeCell ref="Q44:Q45"/>
    <mergeCell ref="T44:T45"/>
    <mergeCell ref="U44:U45"/>
    <mergeCell ref="R46:R47"/>
    <mergeCell ref="S46:S47"/>
    <mergeCell ref="X46:X47"/>
    <mergeCell ref="Y38:Y39"/>
    <mergeCell ref="Z38:Z39"/>
    <mergeCell ref="AA38:AA39"/>
    <mergeCell ref="AB38:AB39"/>
    <mergeCell ref="B40:B41"/>
    <mergeCell ref="C40:C41"/>
    <mergeCell ref="D40:D41"/>
    <mergeCell ref="P40:P41"/>
    <mergeCell ref="V38:V39"/>
    <mergeCell ref="W38:W39"/>
    <mergeCell ref="R40:R41"/>
    <mergeCell ref="S40:S41"/>
    <mergeCell ref="AA40:AA41"/>
    <mergeCell ref="AB40:AB41"/>
    <mergeCell ref="B42:B43"/>
    <mergeCell ref="C42:C43"/>
    <mergeCell ref="D42:D43"/>
    <mergeCell ref="P42:P43"/>
    <mergeCell ref="Q42:Q43"/>
    <mergeCell ref="T42:T43"/>
    <mergeCell ref="U42:U43"/>
    <mergeCell ref="V40:V41"/>
    <mergeCell ref="W40:W41"/>
    <mergeCell ref="X40:X41"/>
    <mergeCell ref="Y40:Y41"/>
    <mergeCell ref="Z40:Z41"/>
    <mergeCell ref="Q40:Q41"/>
    <mergeCell ref="T40:T41"/>
    <mergeCell ref="U40:U41"/>
    <mergeCell ref="R42:R43"/>
    <mergeCell ref="S42:S43"/>
    <mergeCell ref="X42:X43"/>
    <mergeCell ref="Y34:Y35"/>
    <mergeCell ref="Z34:Z35"/>
    <mergeCell ref="AA34:AA35"/>
    <mergeCell ref="AB34:AB35"/>
    <mergeCell ref="B36:B37"/>
    <mergeCell ref="C36:C37"/>
    <mergeCell ref="D36:D37"/>
    <mergeCell ref="P36:P37"/>
    <mergeCell ref="V34:V35"/>
    <mergeCell ref="W34:W35"/>
    <mergeCell ref="R36:R37"/>
    <mergeCell ref="S36:S37"/>
    <mergeCell ref="AA36:AA37"/>
    <mergeCell ref="AB36:AB37"/>
    <mergeCell ref="B38:B39"/>
    <mergeCell ref="C38:C39"/>
    <mergeCell ref="D38:D39"/>
    <mergeCell ref="P38:P39"/>
    <mergeCell ref="Q38:Q39"/>
    <mergeCell ref="T38:T39"/>
    <mergeCell ref="U38:U39"/>
    <mergeCell ref="V36:V37"/>
    <mergeCell ref="W36:W37"/>
    <mergeCell ref="X36:X37"/>
    <mergeCell ref="Y36:Y37"/>
    <mergeCell ref="Z36:Z37"/>
    <mergeCell ref="Q36:Q37"/>
    <mergeCell ref="T36:T37"/>
    <mergeCell ref="U36:U37"/>
    <mergeCell ref="R38:R39"/>
    <mergeCell ref="S38:S39"/>
    <mergeCell ref="X38:X39"/>
    <mergeCell ref="Y30:Y31"/>
    <mergeCell ref="Z30:Z31"/>
    <mergeCell ref="AA30:AA31"/>
    <mergeCell ref="AB30:AB31"/>
    <mergeCell ref="B32:B33"/>
    <mergeCell ref="C32:C33"/>
    <mergeCell ref="D32:D33"/>
    <mergeCell ref="P32:P33"/>
    <mergeCell ref="V30:V31"/>
    <mergeCell ref="W30:W31"/>
    <mergeCell ref="R32:R33"/>
    <mergeCell ref="S32:S33"/>
    <mergeCell ref="AA32:AA33"/>
    <mergeCell ref="AB32:AB33"/>
    <mergeCell ref="B34:B35"/>
    <mergeCell ref="C34:C35"/>
    <mergeCell ref="D34:D35"/>
    <mergeCell ref="P34:P35"/>
    <mergeCell ref="Q34:Q35"/>
    <mergeCell ref="T34:T35"/>
    <mergeCell ref="U34:U35"/>
    <mergeCell ref="V32:V33"/>
    <mergeCell ref="W32:W33"/>
    <mergeCell ref="X32:X33"/>
    <mergeCell ref="Y32:Y33"/>
    <mergeCell ref="Z32:Z33"/>
    <mergeCell ref="Q32:Q33"/>
    <mergeCell ref="T32:T33"/>
    <mergeCell ref="U32:U33"/>
    <mergeCell ref="R34:R35"/>
    <mergeCell ref="S34:S35"/>
    <mergeCell ref="X34:X35"/>
    <mergeCell ref="Y26:Y27"/>
    <mergeCell ref="Z26:Z27"/>
    <mergeCell ref="AA26:AA27"/>
    <mergeCell ref="AB26:AB27"/>
    <mergeCell ref="B28:B29"/>
    <mergeCell ref="C28:C29"/>
    <mergeCell ref="D28:D29"/>
    <mergeCell ref="P28:P29"/>
    <mergeCell ref="V26:V27"/>
    <mergeCell ref="W26:W27"/>
    <mergeCell ref="R28:R29"/>
    <mergeCell ref="S28:S29"/>
    <mergeCell ref="AA28:AA29"/>
    <mergeCell ref="AB28:AB29"/>
    <mergeCell ref="B30:B31"/>
    <mergeCell ref="C30:C31"/>
    <mergeCell ref="D30:D31"/>
    <mergeCell ref="P30:P31"/>
    <mergeCell ref="Q30:Q31"/>
    <mergeCell ref="T30:T31"/>
    <mergeCell ref="U30:U31"/>
    <mergeCell ref="V28:V29"/>
    <mergeCell ref="W28:W29"/>
    <mergeCell ref="X28:X29"/>
    <mergeCell ref="Y28:Y29"/>
    <mergeCell ref="Z28:Z29"/>
    <mergeCell ref="Q28:Q29"/>
    <mergeCell ref="T28:T29"/>
    <mergeCell ref="U28:U29"/>
    <mergeCell ref="R30:R31"/>
    <mergeCell ref="S30:S31"/>
    <mergeCell ref="X30:X31"/>
    <mergeCell ref="Y22:Y23"/>
    <mergeCell ref="Z22:Z23"/>
    <mergeCell ref="AA22:AA23"/>
    <mergeCell ref="AB22:AB23"/>
    <mergeCell ref="B24:B25"/>
    <mergeCell ref="C24:C25"/>
    <mergeCell ref="D24:D25"/>
    <mergeCell ref="P24:P25"/>
    <mergeCell ref="V22:V23"/>
    <mergeCell ref="W22:W23"/>
    <mergeCell ref="R24:R25"/>
    <mergeCell ref="S24:S25"/>
    <mergeCell ref="AA24:AA25"/>
    <mergeCell ref="AB24:AB25"/>
    <mergeCell ref="B26:B27"/>
    <mergeCell ref="C26:C27"/>
    <mergeCell ref="D26:D27"/>
    <mergeCell ref="P26:P27"/>
    <mergeCell ref="Q26:Q27"/>
    <mergeCell ref="T26:T27"/>
    <mergeCell ref="U26:U27"/>
    <mergeCell ref="V24:V25"/>
    <mergeCell ref="W24:W25"/>
    <mergeCell ref="X24:X25"/>
    <mergeCell ref="Y24:Y25"/>
    <mergeCell ref="Z24:Z25"/>
    <mergeCell ref="Q24:Q25"/>
    <mergeCell ref="T24:T25"/>
    <mergeCell ref="U24:U25"/>
    <mergeCell ref="R26:R27"/>
    <mergeCell ref="S26:S27"/>
    <mergeCell ref="X26:X27"/>
    <mergeCell ref="Y18:Y19"/>
    <mergeCell ref="Z18:Z19"/>
    <mergeCell ref="AA18:AA19"/>
    <mergeCell ref="AB18:AB19"/>
    <mergeCell ref="B20:B21"/>
    <mergeCell ref="C20:C21"/>
    <mergeCell ref="D20:D21"/>
    <mergeCell ref="P20:P21"/>
    <mergeCell ref="V18:V19"/>
    <mergeCell ref="W18:W19"/>
    <mergeCell ref="R20:R21"/>
    <mergeCell ref="S20:S21"/>
    <mergeCell ref="AA20:AA21"/>
    <mergeCell ref="AB20:AB21"/>
    <mergeCell ref="B22:B23"/>
    <mergeCell ref="C22:C23"/>
    <mergeCell ref="D22:D23"/>
    <mergeCell ref="P22:P23"/>
    <mergeCell ref="Q22:Q23"/>
    <mergeCell ref="T22:T23"/>
    <mergeCell ref="U22:U23"/>
    <mergeCell ref="V20:V21"/>
    <mergeCell ref="W20:W21"/>
    <mergeCell ref="X20:X21"/>
    <mergeCell ref="Y20:Y21"/>
    <mergeCell ref="Z20:Z21"/>
    <mergeCell ref="Q20:Q21"/>
    <mergeCell ref="T20:T21"/>
    <mergeCell ref="U20:U21"/>
    <mergeCell ref="R22:R23"/>
    <mergeCell ref="S22:S23"/>
    <mergeCell ref="X22:X23"/>
    <mergeCell ref="Y14:Y15"/>
    <mergeCell ref="Z14:Z15"/>
    <mergeCell ref="AA14:AA15"/>
    <mergeCell ref="AB14:AB15"/>
    <mergeCell ref="B16:B17"/>
    <mergeCell ref="C16:C17"/>
    <mergeCell ref="D16:D17"/>
    <mergeCell ref="P16:P17"/>
    <mergeCell ref="V14:V15"/>
    <mergeCell ref="W14:W15"/>
    <mergeCell ref="R16:R17"/>
    <mergeCell ref="S16:S17"/>
    <mergeCell ref="AA16:AA17"/>
    <mergeCell ref="AB16:AB17"/>
    <mergeCell ref="B18:B19"/>
    <mergeCell ref="C18:C19"/>
    <mergeCell ref="D18:D19"/>
    <mergeCell ref="P18:P19"/>
    <mergeCell ref="Q18:Q19"/>
    <mergeCell ref="T18:T19"/>
    <mergeCell ref="U18:U19"/>
    <mergeCell ref="V16:V17"/>
    <mergeCell ref="W16:W17"/>
    <mergeCell ref="X16:X17"/>
    <mergeCell ref="Y16:Y17"/>
    <mergeCell ref="Z16:Z17"/>
    <mergeCell ref="Q16:Q17"/>
    <mergeCell ref="T16:T17"/>
    <mergeCell ref="U16:U17"/>
    <mergeCell ref="R18:R19"/>
    <mergeCell ref="S18:S19"/>
    <mergeCell ref="X18:X19"/>
    <mergeCell ref="AA10:AA11"/>
    <mergeCell ref="AB10:AB11"/>
    <mergeCell ref="B12:B13"/>
    <mergeCell ref="C12:C13"/>
    <mergeCell ref="D12:D13"/>
    <mergeCell ref="P12:P13"/>
    <mergeCell ref="V10:V11"/>
    <mergeCell ref="W10:W11"/>
    <mergeCell ref="R10:R11"/>
    <mergeCell ref="S10:S11"/>
    <mergeCell ref="R12:R13"/>
    <mergeCell ref="S12:S13"/>
    <mergeCell ref="AA12:AA13"/>
    <mergeCell ref="AB12:AB13"/>
    <mergeCell ref="B14:B15"/>
    <mergeCell ref="C14:C15"/>
    <mergeCell ref="D14:D15"/>
    <mergeCell ref="P14:P15"/>
    <mergeCell ref="Q14:Q15"/>
    <mergeCell ref="T14:T15"/>
    <mergeCell ref="U14:U15"/>
    <mergeCell ref="V12:V13"/>
    <mergeCell ref="W12:W13"/>
    <mergeCell ref="X12:X13"/>
    <mergeCell ref="Y12:Y13"/>
    <mergeCell ref="Z12:Z13"/>
    <mergeCell ref="Q12:Q13"/>
    <mergeCell ref="T12:T13"/>
    <mergeCell ref="U12:U13"/>
    <mergeCell ref="R14:R15"/>
    <mergeCell ref="S14:S15"/>
    <mergeCell ref="X14:X15"/>
    <mergeCell ref="B10:B11"/>
    <mergeCell ref="C10:C11"/>
    <mergeCell ref="D10:D11"/>
    <mergeCell ref="P10:P11"/>
    <mergeCell ref="Q10:Q11"/>
    <mergeCell ref="T10:T11"/>
    <mergeCell ref="U10:U11"/>
    <mergeCell ref="V8:V9"/>
    <mergeCell ref="W8:W9"/>
    <mergeCell ref="X8:X9"/>
    <mergeCell ref="Y8:Y9"/>
    <mergeCell ref="Z8:Z9"/>
    <mergeCell ref="Q8:Q9"/>
    <mergeCell ref="T8:T9"/>
    <mergeCell ref="U8:U9"/>
    <mergeCell ref="R8:R9"/>
    <mergeCell ref="S8:S9"/>
    <mergeCell ref="X10:X11"/>
    <mergeCell ref="Y10:Y11"/>
    <mergeCell ref="Z10:Z11"/>
    <mergeCell ref="C4:D4"/>
    <mergeCell ref="E4:I4"/>
    <mergeCell ref="J4:N4"/>
    <mergeCell ref="C6:C7"/>
    <mergeCell ref="D6:D7"/>
    <mergeCell ref="R6:R7"/>
    <mergeCell ref="S6:S7"/>
    <mergeCell ref="Z6:Z7"/>
    <mergeCell ref="AA6:AA7"/>
    <mergeCell ref="V4:AA4"/>
    <mergeCell ref="AB6:AB7"/>
    <mergeCell ref="B6:B7"/>
    <mergeCell ref="B8:B9"/>
    <mergeCell ref="C8:C9"/>
    <mergeCell ref="D8:D9"/>
    <mergeCell ref="P8:P9"/>
    <mergeCell ref="V6:V7"/>
    <mergeCell ref="W6:W7"/>
    <mergeCell ref="X6:X7"/>
    <mergeCell ref="P4:U4"/>
    <mergeCell ref="Y6:Y7"/>
    <mergeCell ref="P6:P7"/>
    <mergeCell ref="Q6:Q7"/>
    <mergeCell ref="T6:T7"/>
    <mergeCell ref="U6:U7"/>
    <mergeCell ref="AA8:AA9"/>
    <mergeCell ref="AB8:AB9"/>
    <mergeCell ref="V70:V71"/>
    <mergeCell ref="W70:W71"/>
    <mergeCell ref="X70:X71"/>
    <mergeCell ref="Y70:Y71"/>
    <mergeCell ref="Z70:Z71"/>
    <mergeCell ref="AA70:AA71"/>
    <mergeCell ref="AB70:AB71"/>
    <mergeCell ref="B72:B73"/>
    <mergeCell ref="C72:C73"/>
    <mergeCell ref="D72:D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B70:B71"/>
    <mergeCell ref="C70:C71"/>
    <mergeCell ref="D70:D71"/>
    <mergeCell ref="P70:P71"/>
    <mergeCell ref="Q70:Q71"/>
    <mergeCell ref="R70:R71"/>
    <mergeCell ref="S70:S71"/>
    <mergeCell ref="T70:T71"/>
    <mergeCell ref="U70:U71"/>
    <mergeCell ref="V74:V75"/>
    <mergeCell ref="W74:W75"/>
    <mergeCell ref="X74:X75"/>
    <mergeCell ref="Y74:Y75"/>
    <mergeCell ref="Z74:Z75"/>
    <mergeCell ref="AA74:AA75"/>
    <mergeCell ref="AB74:AB75"/>
    <mergeCell ref="B76:B77"/>
    <mergeCell ref="C76:C77"/>
    <mergeCell ref="D76:D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B74:B75"/>
    <mergeCell ref="C74:C75"/>
    <mergeCell ref="D74:D75"/>
    <mergeCell ref="P74:P75"/>
    <mergeCell ref="Q74:Q75"/>
    <mergeCell ref="R74:R75"/>
    <mergeCell ref="S74:S75"/>
    <mergeCell ref="T74:T75"/>
    <mergeCell ref="U74:U75"/>
    <mergeCell ref="V78:V79"/>
    <mergeCell ref="W78:W79"/>
    <mergeCell ref="X78:X79"/>
    <mergeCell ref="Y78:Y79"/>
    <mergeCell ref="Z78:Z79"/>
    <mergeCell ref="AA78:AA79"/>
    <mergeCell ref="AB78:AB79"/>
    <mergeCell ref="B80:B81"/>
    <mergeCell ref="C80:C81"/>
    <mergeCell ref="D80:D81"/>
    <mergeCell ref="P80:P81"/>
    <mergeCell ref="Q80:Q81"/>
    <mergeCell ref="R80:R81"/>
    <mergeCell ref="S80:S81"/>
    <mergeCell ref="T80:T81"/>
    <mergeCell ref="U80:U81"/>
    <mergeCell ref="V80:V81"/>
    <mergeCell ref="W80:W81"/>
    <mergeCell ref="X80:X81"/>
    <mergeCell ref="Y80:Y81"/>
    <mergeCell ref="Z80:Z81"/>
    <mergeCell ref="AA80:AA81"/>
    <mergeCell ref="AB80:AB81"/>
    <mergeCell ref="B78:B79"/>
    <mergeCell ref="C78:C79"/>
    <mergeCell ref="D78:D79"/>
    <mergeCell ref="P78:P79"/>
    <mergeCell ref="Q78:Q79"/>
    <mergeCell ref="R78:R79"/>
    <mergeCell ref="S78:S79"/>
    <mergeCell ref="T78:T79"/>
    <mergeCell ref="U78:U79"/>
    <mergeCell ref="V82:V83"/>
    <mergeCell ref="W82:W83"/>
    <mergeCell ref="X82:X83"/>
    <mergeCell ref="Y82:Y83"/>
    <mergeCell ref="Z82:Z83"/>
    <mergeCell ref="AA82:AA83"/>
    <mergeCell ref="AB82:AB83"/>
    <mergeCell ref="B84:B85"/>
    <mergeCell ref="C84:C85"/>
    <mergeCell ref="D84:D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B82:B83"/>
    <mergeCell ref="C82:C83"/>
    <mergeCell ref="D82:D83"/>
    <mergeCell ref="P82:P83"/>
    <mergeCell ref="Q82:Q83"/>
    <mergeCell ref="R82:R83"/>
    <mergeCell ref="S82:S83"/>
    <mergeCell ref="T82:T83"/>
    <mergeCell ref="U82:U83"/>
    <mergeCell ref="V86:V87"/>
    <mergeCell ref="W86:W87"/>
    <mergeCell ref="X86:X87"/>
    <mergeCell ref="Y86:Y87"/>
    <mergeCell ref="Z86:Z87"/>
    <mergeCell ref="AA86:AA87"/>
    <mergeCell ref="AB86:AB87"/>
    <mergeCell ref="B88:B89"/>
    <mergeCell ref="C88:C89"/>
    <mergeCell ref="D88:D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B86:B87"/>
    <mergeCell ref="C86:C87"/>
    <mergeCell ref="D86:D87"/>
    <mergeCell ref="P86:P87"/>
    <mergeCell ref="Q86:Q87"/>
    <mergeCell ref="R86:R87"/>
    <mergeCell ref="S86:S87"/>
    <mergeCell ref="T86:T87"/>
    <mergeCell ref="U86:U87"/>
    <mergeCell ref="V90:V91"/>
    <mergeCell ref="W90:W91"/>
    <mergeCell ref="X90:X91"/>
    <mergeCell ref="Y90:Y91"/>
    <mergeCell ref="Z90:Z91"/>
    <mergeCell ref="AA90:AA91"/>
    <mergeCell ref="AB90:AB91"/>
    <mergeCell ref="B92:B93"/>
    <mergeCell ref="C92:C93"/>
    <mergeCell ref="D92:D93"/>
    <mergeCell ref="P92:P93"/>
    <mergeCell ref="Q92:Q93"/>
    <mergeCell ref="R92:R93"/>
    <mergeCell ref="S92:S93"/>
    <mergeCell ref="T92:T93"/>
    <mergeCell ref="U92:U93"/>
    <mergeCell ref="V92:V93"/>
    <mergeCell ref="W92:W93"/>
    <mergeCell ref="X92:X93"/>
    <mergeCell ref="Y92:Y93"/>
    <mergeCell ref="Z92:Z93"/>
    <mergeCell ref="AA92:AA93"/>
    <mergeCell ref="AB92:AB93"/>
    <mergeCell ref="B90:B91"/>
    <mergeCell ref="C90:C91"/>
    <mergeCell ref="D90:D91"/>
    <mergeCell ref="P90:P91"/>
    <mergeCell ref="Q90:Q91"/>
    <mergeCell ref="R90:R91"/>
    <mergeCell ref="S90:S91"/>
    <mergeCell ref="T90:T91"/>
    <mergeCell ref="U90:U91"/>
    <mergeCell ref="V94:V95"/>
    <mergeCell ref="W94:W95"/>
    <mergeCell ref="X94:X95"/>
    <mergeCell ref="Y94:Y95"/>
    <mergeCell ref="Z94:Z95"/>
    <mergeCell ref="AA94:AA95"/>
    <mergeCell ref="AB94:AB95"/>
    <mergeCell ref="B96:B97"/>
    <mergeCell ref="C96:C97"/>
    <mergeCell ref="D96:D97"/>
    <mergeCell ref="P96:P97"/>
    <mergeCell ref="Q96:Q97"/>
    <mergeCell ref="R96:R97"/>
    <mergeCell ref="S96:S97"/>
    <mergeCell ref="T96:T97"/>
    <mergeCell ref="U96:U97"/>
    <mergeCell ref="V96:V97"/>
    <mergeCell ref="W96:W97"/>
    <mergeCell ref="X96:X97"/>
    <mergeCell ref="Y96:Y97"/>
    <mergeCell ref="Z96:Z97"/>
    <mergeCell ref="AA96:AA97"/>
    <mergeCell ref="AB96:AB97"/>
    <mergeCell ref="B94:B95"/>
    <mergeCell ref="C94:C95"/>
    <mergeCell ref="D94:D95"/>
    <mergeCell ref="P94:P95"/>
    <mergeCell ref="Q94:Q95"/>
    <mergeCell ref="R94:R95"/>
    <mergeCell ref="S94:S95"/>
    <mergeCell ref="T94:T95"/>
    <mergeCell ref="U94:U95"/>
    <mergeCell ref="V98:V99"/>
    <mergeCell ref="W98:W99"/>
    <mergeCell ref="X98:X99"/>
    <mergeCell ref="Y98:Y99"/>
    <mergeCell ref="Z98:Z99"/>
    <mergeCell ref="AA98:AA99"/>
    <mergeCell ref="AB98:AB99"/>
    <mergeCell ref="B100:B101"/>
    <mergeCell ref="C100:C101"/>
    <mergeCell ref="D100:D101"/>
    <mergeCell ref="P100:P101"/>
    <mergeCell ref="Q100:Q101"/>
    <mergeCell ref="R100:R101"/>
    <mergeCell ref="S100:S101"/>
    <mergeCell ref="T100:T101"/>
    <mergeCell ref="U100:U101"/>
    <mergeCell ref="V100:V101"/>
    <mergeCell ref="W100:W101"/>
    <mergeCell ref="X100:X101"/>
    <mergeCell ref="Y100:Y101"/>
    <mergeCell ref="Z100:Z101"/>
    <mergeCell ref="AA100:AA101"/>
    <mergeCell ref="AB100:AB101"/>
    <mergeCell ref="B98:B99"/>
    <mergeCell ref="C98:C99"/>
    <mergeCell ref="D98:D99"/>
    <mergeCell ref="P98:P99"/>
    <mergeCell ref="Q98:Q99"/>
    <mergeCell ref="R98:R99"/>
    <mergeCell ref="S98:S99"/>
    <mergeCell ref="T98:T99"/>
    <mergeCell ref="U98:U99"/>
    <mergeCell ref="V102:V103"/>
    <mergeCell ref="W102:W103"/>
    <mergeCell ref="X102:X103"/>
    <mergeCell ref="Y102:Y103"/>
    <mergeCell ref="Z102:Z103"/>
    <mergeCell ref="AA102:AA103"/>
    <mergeCell ref="AB102:AB103"/>
    <mergeCell ref="B104:B105"/>
    <mergeCell ref="C104:C105"/>
    <mergeCell ref="D104:D105"/>
    <mergeCell ref="P104:P105"/>
    <mergeCell ref="Q104:Q105"/>
    <mergeCell ref="R104:R105"/>
    <mergeCell ref="S104:S105"/>
    <mergeCell ref="T104:T105"/>
    <mergeCell ref="U104:U105"/>
    <mergeCell ref="V104:V105"/>
    <mergeCell ref="W104:W105"/>
    <mergeCell ref="X104:X105"/>
    <mergeCell ref="Y104:Y105"/>
    <mergeCell ref="Z104:Z105"/>
    <mergeCell ref="AA104:AA105"/>
    <mergeCell ref="AB104:AB105"/>
    <mergeCell ref="B102:B103"/>
    <mergeCell ref="C102:C103"/>
    <mergeCell ref="D102:D103"/>
    <mergeCell ref="P102:P103"/>
    <mergeCell ref="Q102:Q103"/>
    <mergeCell ref="R102:R103"/>
    <mergeCell ref="S102:S103"/>
    <mergeCell ref="T102:T103"/>
    <mergeCell ref="U102:U103"/>
    <mergeCell ref="V106:V107"/>
    <mergeCell ref="W106:W107"/>
    <mergeCell ref="X106:X107"/>
    <mergeCell ref="Y106:Y107"/>
    <mergeCell ref="Z106:Z107"/>
    <mergeCell ref="AA106:AA107"/>
    <mergeCell ref="AB106:AB107"/>
    <mergeCell ref="B108:B109"/>
    <mergeCell ref="C108:C109"/>
    <mergeCell ref="D108:D109"/>
    <mergeCell ref="P108:P109"/>
    <mergeCell ref="Q108:Q109"/>
    <mergeCell ref="R108:R109"/>
    <mergeCell ref="S108:S109"/>
    <mergeCell ref="T108:T109"/>
    <mergeCell ref="U108:U109"/>
    <mergeCell ref="V108:V109"/>
    <mergeCell ref="W108:W109"/>
    <mergeCell ref="X108:X109"/>
    <mergeCell ref="Y108:Y109"/>
    <mergeCell ref="Z108:Z109"/>
    <mergeCell ref="AA108:AA109"/>
    <mergeCell ref="AB108:AB109"/>
    <mergeCell ref="B106:B107"/>
    <mergeCell ref="C106:C107"/>
    <mergeCell ref="D106:D107"/>
    <mergeCell ref="P106:P107"/>
    <mergeCell ref="Q106:Q107"/>
    <mergeCell ref="R106:R107"/>
    <mergeCell ref="S106:S107"/>
    <mergeCell ref="T106:T107"/>
    <mergeCell ref="U106:U107"/>
    <mergeCell ref="V110:V111"/>
    <mergeCell ref="W110:W111"/>
    <mergeCell ref="X110:X111"/>
    <mergeCell ref="Y110:Y111"/>
    <mergeCell ref="Z110:Z111"/>
    <mergeCell ref="AA110:AA111"/>
    <mergeCell ref="AB110:AB111"/>
    <mergeCell ref="B112:B113"/>
    <mergeCell ref="C112:C113"/>
    <mergeCell ref="D112:D113"/>
    <mergeCell ref="P112:P113"/>
    <mergeCell ref="Q112:Q113"/>
    <mergeCell ref="R112:R113"/>
    <mergeCell ref="S112:S113"/>
    <mergeCell ref="T112:T113"/>
    <mergeCell ref="U112:U113"/>
    <mergeCell ref="V112:V113"/>
    <mergeCell ref="W112:W113"/>
    <mergeCell ref="X112:X113"/>
    <mergeCell ref="Y112:Y113"/>
    <mergeCell ref="Z112:Z113"/>
    <mergeCell ref="AA112:AA113"/>
    <mergeCell ref="AB112:AB113"/>
    <mergeCell ref="B110:B111"/>
    <mergeCell ref="C110:C111"/>
    <mergeCell ref="D110:D111"/>
    <mergeCell ref="P110:P111"/>
    <mergeCell ref="Q110:Q111"/>
    <mergeCell ref="R110:R111"/>
    <mergeCell ref="S110:S111"/>
    <mergeCell ref="T110:T111"/>
    <mergeCell ref="U110:U111"/>
    <mergeCell ref="V114:V115"/>
    <mergeCell ref="W114:W115"/>
    <mergeCell ref="X114:X115"/>
    <mergeCell ref="Y114:Y115"/>
    <mergeCell ref="Z114:Z115"/>
    <mergeCell ref="AA114:AA115"/>
    <mergeCell ref="AB114:AB115"/>
    <mergeCell ref="B116:B117"/>
    <mergeCell ref="C116:C117"/>
    <mergeCell ref="D116:D117"/>
    <mergeCell ref="P116:P117"/>
    <mergeCell ref="Q116:Q117"/>
    <mergeCell ref="R116:R117"/>
    <mergeCell ref="S116:S117"/>
    <mergeCell ref="T116:T117"/>
    <mergeCell ref="U116:U117"/>
    <mergeCell ref="V116:V117"/>
    <mergeCell ref="W116:W117"/>
    <mergeCell ref="X116:X117"/>
    <mergeCell ref="Y116:Y117"/>
    <mergeCell ref="Z116:Z117"/>
    <mergeCell ref="AA116:AA117"/>
    <mergeCell ref="AB116:AB117"/>
    <mergeCell ref="B114:B115"/>
    <mergeCell ref="C114:C115"/>
    <mergeCell ref="D114:D115"/>
    <mergeCell ref="P114:P115"/>
    <mergeCell ref="Q114:Q115"/>
    <mergeCell ref="R114:R115"/>
    <mergeCell ref="S114:S115"/>
    <mergeCell ref="T114:T115"/>
    <mergeCell ref="U114:U115"/>
    <mergeCell ref="V118:V119"/>
    <mergeCell ref="W118:W119"/>
    <mergeCell ref="X118:X119"/>
    <mergeCell ref="Y118:Y119"/>
    <mergeCell ref="Z118:Z119"/>
    <mergeCell ref="AA118:AA119"/>
    <mergeCell ref="AB118:AB119"/>
    <mergeCell ref="B120:B121"/>
    <mergeCell ref="C120:C121"/>
    <mergeCell ref="D120:D121"/>
    <mergeCell ref="P120:P121"/>
    <mergeCell ref="Q120:Q121"/>
    <mergeCell ref="R120:R121"/>
    <mergeCell ref="S120:S121"/>
    <mergeCell ref="T120:T121"/>
    <mergeCell ref="U120:U121"/>
    <mergeCell ref="V120:V121"/>
    <mergeCell ref="W120:W121"/>
    <mergeCell ref="X120:X121"/>
    <mergeCell ref="Y120:Y121"/>
    <mergeCell ref="Z120:Z121"/>
    <mergeCell ref="AA120:AA121"/>
    <mergeCell ref="AB120:AB121"/>
    <mergeCell ref="B118:B119"/>
    <mergeCell ref="C118:C119"/>
    <mergeCell ref="D118:D119"/>
    <mergeCell ref="P118:P119"/>
    <mergeCell ref="Q118:Q119"/>
    <mergeCell ref="R118:R119"/>
    <mergeCell ref="S118:S119"/>
    <mergeCell ref="T118:T119"/>
    <mergeCell ref="U118:U119"/>
    <mergeCell ref="V122:V123"/>
    <mergeCell ref="W122:W123"/>
    <mergeCell ref="X122:X123"/>
    <mergeCell ref="Y122:Y123"/>
    <mergeCell ref="Z122:Z123"/>
    <mergeCell ref="AA122:AA123"/>
    <mergeCell ref="AB122:AB123"/>
    <mergeCell ref="B124:B125"/>
    <mergeCell ref="C124:C125"/>
    <mergeCell ref="D124:D125"/>
    <mergeCell ref="P124:P125"/>
    <mergeCell ref="Q124:Q125"/>
    <mergeCell ref="R124:R125"/>
    <mergeCell ref="S124:S125"/>
    <mergeCell ref="T124:T125"/>
    <mergeCell ref="U124:U125"/>
    <mergeCell ref="V124:V125"/>
    <mergeCell ref="W124:W125"/>
    <mergeCell ref="X124:X125"/>
    <mergeCell ref="Y124:Y125"/>
    <mergeCell ref="Z124:Z125"/>
    <mergeCell ref="AA124:AA125"/>
    <mergeCell ref="AB124:AB125"/>
    <mergeCell ref="B122:B123"/>
    <mergeCell ref="C122:C123"/>
    <mergeCell ref="D122:D123"/>
    <mergeCell ref="P122:P123"/>
    <mergeCell ref="Q122:Q123"/>
    <mergeCell ref="R122:R123"/>
    <mergeCell ref="S122:S123"/>
    <mergeCell ref="T122:T123"/>
    <mergeCell ref="U122:U123"/>
    <mergeCell ref="V126:V127"/>
    <mergeCell ref="W126:W127"/>
    <mergeCell ref="X126:X127"/>
    <mergeCell ref="Y126:Y127"/>
    <mergeCell ref="Z126:Z127"/>
    <mergeCell ref="AA126:AA127"/>
    <mergeCell ref="AB126:AB127"/>
    <mergeCell ref="B128:B129"/>
    <mergeCell ref="C128:C129"/>
    <mergeCell ref="D128:D129"/>
    <mergeCell ref="P128:P129"/>
    <mergeCell ref="Q128:Q129"/>
    <mergeCell ref="R128:R129"/>
    <mergeCell ref="S128:S129"/>
    <mergeCell ref="T128:T129"/>
    <mergeCell ref="U128:U129"/>
    <mergeCell ref="V128:V129"/>
    <mergeCell ref="W128:W129"/>
    <mergeCell ref="X128:X129"/>
    <mergeCell ref="Y128:Y129"/>
    <mergeCell ref="Z128:Z129"/>
    <mergeCell ref="AA128:AA129"/>
    <mergeCell ref="AB128:AB129"/>
    <mergeCell ref="B126:B127"/>
    <mergeCell ref="C126:C127"/>
    <mergeCell ref="D126:D127"/>
    <mergeCell ref="P126:P127"/>
    <mergeCell ref="Q126:Q127"/>
    <mergeCell ref="R126:R127"/>
    <mergeCell ref="S126:S127"/>
    <mergeCell ref="T126:T127"/>
    <mergeCell ref="U126:U127"/>
    <mergeCell ref="V130:V131"/>
    <mergeCell ref="W130:W131"/>
    <mergeCell ref="X130:X131"/>
    <mergeCell ref="Y130:Y131"/>
    <mergeCell ref="Z130:Z131"/>
    <mergeCell ref="AA130:AA131"/>
    <mergeCell ref="AB130:AB131"/>
    <mergeCell ref="B132:B133"/>
    <mergeCell ref="C132:C133"/>
    <mergeCell ref="D132:D133"/>
    <mergeCell ref="P132:P133"/>
    <mergeCell ref="Q132:Q133"/>
    <mergeCell ref="R132:R133"/>
    <mergeCell ref="S132:S133"/>
    <mergeCell ref="T132:T133"/>
    <mergeCell ref="U132:U133"/>
    <mergeCell ref="V132:V133"/>
    <mergeCell ref="W132:W133"/>
    <mergeCell ref="X132:X133"/>
    <mergeCell ref="Y132:Y133"/>
    <mergeCell ref="Z132:Z133"/>
    <mergeCell ref="AA132:AA133"/>
    <mergeCell ref="AB132:AB133"/>
    <mergeCell ref="B130:B131"/>
    <mergeCell ref="C130:C131"/>
    <mergeCell ref="D130:D131"/>
    <mergeCell ref="P130:P131"/>
    <mergeCell ref="Q130:Q131"/>
    <mergeCell ref="R130:R131"/>
    <mergeCell ref="S130:S131"/>
    <mergeCell ref="T130:T131"/>
    <mergeCell ref="U130:U131"/>
    <mergeCell ref="V134:V135"/>
    <mergeCell ref="W134:W135"/>
    <mergeCell ref="X134:X135"/>
    <mergeCell ref="Y134:Y135"/>
    <mergeCell ref="Z134:Z135"/>
    <mergeCell ref="AA134:AA135"/>
    <mergeCell ref="AB134:AB135"/>
    <mergeCell ref="B136:B137"/>
    <mergeCell ref="C136:C137"/>
    <mergeCell ref="D136:D137"/>
    <mergeCell ref="P136:P137"/>
    <mergeCell ref="Q136:Q137"/>
    <mergeCell ref="R136:R137"/>
    <mergeCell ref="S136:S137"/>
    <mergeCell ref="T136:T137"/>
    <mergeCell ref="U136:U137"/>
    <mergeCell ref="V136:V137"/>
    <mergeCell ref="W136:W137"/>
    <mergeCell ref="X136:X137"/>
    <mergeCell ref="Y136:Y137"/>
    <mergeCell ref="Z136:Z137"/>
    <mergeCell ref="AA136:AA137"/>
    <mergeCell ref="AB136:AB137"/>
    <mergeCell ref="B134:B135"/>
    <mergeCell ref="C134:C135"/>
    <mergeCell ref="D134:D135"/>
    <mergeCell ref="P134:P135"/>
    <mergeCell ref="Q134:Q135"/>
    <mergeCell ref="R134:R135"/>
    <mergeCell ref="S134:S135"/>
    <mergeCell ref="T134:T135"/>
    <mergeCell ref="U134:U135"/>
    <mergeCell ref="V138:V139"/>
    <mergeCell ref="W138:W139"/>
    <mergeCell ref="X138:X139"/>
    <mergeCell ref="Y138:Y139"/>
    <mergeCell ref="Z138:Z139"/>
    <mergeCell ref="AA138:AA139"/>
    <mergeCell ref="AB138:AB139"/>
    <mergeCell ref="B140:B141"/>
    <mergeCell ref="C140:C141"/>
    <mergeCell ref="D140:D141"/>
    <mergeCell ref="P140:P141"/>
    <mergeCell ref="Q140:Q141"/>
    <mergeCell ref="R140:R141"/>
    <mergeCell ref="S140:S141"/>
    <mergeCell ref="T140:T141"/>
    <mergeCell ref="U140:U141"/>
    <mergeCell ref="V140:V141"/>
    <mergeCell ref="W140:W141"/>
    <mergeCell ref="X140:X141"/>
    <mergeCell ref="Y140:Y141"/>
    <mergeCell ref="Z140:Z141"/>
    <mergeCell ref="AA140:AA141"/>
    <mergeCell ref="AB140:AB141"/>
    <mergeCell ref="B138:B139"/>
    <mergeCell ref="C138:C139"/>
    <mergeCell ref="D138:D139"/>
    <mergeCell ref="P138:P139"/>
    <mergeCell ref="Q138:Q139"/>
    <mergeCell ref="R138:R139"/>
    <mergeCell ref="S138:S139"/>
    <mergeCell ref="T138:T139"/>
    <mergeCell ref="U138:U139"/>
    <mergeCell ref="V142:V143"/>
    <mergeCell ref="W142:W143"/>
    <mergeCell ref="X142:X143"/>
    <mergeCell ref="Y142:Y143"/>
    <mergeCell ref="Z142:Z143"/>
    <mergeCell ref="AA142:AA143"/>
    <mergeCell ref="AB142:AB143"/>
    <mergeCell ref="B144:B145"/>
    <mergeCell ref="C144:C145"/>
    <mergeCell ref="D144:D145"/>
    <mergeCell ref="P144:P145"/>
    <mergeCell ref="Q144:Q145"/>
    <mergeCell ref="R144:R145"/>
    <mergeCell ref="S144:S145"/>
    <mergeCell ref="T144:T145"/>
    <mergeCell ref="U144:U145"/>
    <mergeCell ref="V144:V145"/>
    <mergeCell ref="W144:W145"/>
    <mergeCell ref="X144:X145"/>
    <mergeCell ref="Y144:Y145"/>
    <mergeCell ref="Z144:Z145"/>
    <mergeCell ref="AA144:AA145"/>
    <mergeCell ref="AB144:AB145"/>
    <mergeCell ref="B142:B143"/>
    <mergeCell ref="C142:C143"/>
    <mergeCell ref="D142:D143"/>
    <mergeCell ref="P142:P143"/>
    <mergeCell ref="Q142:Q143"/>
    <mergeCell ref="R142:R143"/>
    <mergeCell ref="S142:S143"/>
    <mergeCell ref="T142:T143"/>
    <mergeCell ref="U142:U143"/>
    <mergeCell ref="V146:V147"/>
    <mergeCell ref="W146:W147"/>
    <mergeCell ref="X146:X147"/>
    <mergeCell ref="Y146:Y147"/>
    <mergeCell ref="Z146:Z147"/>
    <mergeCell ref="AA146:AA147"/>
    <mergeCell ref="AB146:AB147"/>
    <mergeCell ref="B148:B149"/>
    <mergeCell ref="C148:C149"/>
    <mergeCell ref="D148:D149"/>
    <mergeCell ref="P148:P149"/>
    <mergeCell ref="Q148:Q149"/>
    <mergeCell ref="R148:R149"/>
    <mergeCell ref="S148:S149"/>
    <mergeCell ref="T148:T149"/>
    <mergeCell ref="U148:U149"/>
    <mergeCell ref="V148:V149"/>
    <mergeCell ref="W148:W149"/>
    <mergeCell ref="X148:X149"/>
    <mergeCell ref="Y148:Y149"/>
    <mergeCell ref="Z148:Z149"/>
    <mergeCell ref="AA148:AA149"/>
    <mergeCell ref="AB148:AB149"/>
    <mergeCell ref="B146:B147"/>
    <mergeCell ref="C146:C147"/>
    <mergeCell ref="D146:D147"/>
    <mergeCell ref="P146:P147"/>
    <mergeCell ref="Q146:Q147"/>
    <mergeCell ref="R146:R147"/>
    <mergeCell ref="S146:S147"/>
    <mergeCell ref="T146:T147"/>
    <mergeCell ref="U146:U147"/>
    <mergeCell ref="V150:V151"/>
    <mergeCell ref="W150:W151"/>
    <mergeCell ref="X150:X151"/>
    <mergeCell ref="Y150:Y151"/>
    <mergeCell ref="Z150:Z151"/>
    <mergeCell ref="AA150:AA151"/>
    <mergeCell ref="AB150:AB151"/>
    <mergeCell ref="B152:B153"/>
    <mergeCell ref="C152:C153"/>
    <mergeCell ref="D152:D153"/>
    <mergeCell ref="P152:P153"/>
    <mergeCell ref="Q152:Q153"/>
    <mergeCell ref="R152:R153"/>
    <mergeCell ref="S152:S153"/>
    <mergeCell ref="T152:T153"/>
    <mergeCell ref="U152:U153"/>
    <mergeCell ref="V152:V153"/>
    <mergeCell ref="W152:W153"/>
    <mergeCell ref="X152:X153"/>
    <mergeCell ref="Y152:Y153"/>
    <mergeCell ref="Z152:Z153"/>
    <mergeCell ref="AA152:AA153"/>
    <mergeCell ref="AB152:AB153"/>
    <mergeCell ref="B150:B151"/>
    <mergeCell ref="C150:C151"/>
    <mergeCell ref="D150:D151"/>
    <mergeCell ref="P150:P151"/>
    <mergeCell ref="Q150:Q151"/>
    <mergeCell ref="R150:R151"/>
    <mergeCell ref="S150:S151"/>
    <mergeCell ref="T150:T151"/>
    <mergeCell ref="U150:U151"/>
    <mergeCell ref="V154:V155"/>
    <mergeCell ref="W154:W155"/>
    <mergeCell ref="X154:X155"/>
    <mergeCell ref="Y154:Y155"/>
    <mergeCell ref="Z154:Z155"/>
    <mergeCell ref="AA154:AA155"/>
    <mergeCell ref="AB154:AB155"/>
    <mergeCell ref="B156:B157"/>
    <mergeCell ref="C156:C157"/>
    <mergeCell ref="D156:D157"/>
    <mergeCell ref="P156:P157"/>
    <mergeCell ref="Q156:Q157"/>
    <mergeCell ref="R156:R157"/>
    <mergeCell ref="S156:S157"/>
    <mergeCell ref="T156:T157"/>
    <mergeCell ref="U156:U157"/>
    <mergeCell ref="V156:V157"/>
    <mergeCell ref="W156:W157"/>
    <mergeCell ref="X156:X157"/>
    <mergeCell ref="Y156:Y157"/>
    <mergeCell ref="Z156:Z157"/>
    <mergeCell ref="AA156:AA157"/>
    <mergeCell ref="AB156:AB157"/>
    <mergeCell ref="B154:B155"/>
    <mergeCell ref="C154:C155"/>
    <mergeCell ref="D154:D155"/>
    <mergeCell ref="P154:P155"/>
    <mergeCell ref="Q154:Q155"/>
    <mergeCell ref="R154:R155"/>
    <mergeCell ref="S154:S155"/>
    <mergeCell ref="T154:T155"/>
    <mergeCell ref="U154:U155"/>
    <mergeCell ref="V158:V159"/>
    <mergeCell ref="W158:W159"/>
    <mergeCell ref="X158:X159"/>
    <mergeCell ref="Y158:Y159"/>
    <mergeCell ref="Z158:Z159"/>
    <mergeCell ref="AA158:AA159"/>
    <mergeCell ref="AB158:AB159"/>
    <mergeCell ref="B160:B161"/>
    <mergeCell ref="C160:C161"/>
    <mergeCell ref="D160:D161"/>
    <mergeCell ref="P160:P161"/>
    <mergeCell ref="Q160:Q161"/>
    <mergeCell ref="R160:R161"/>
    <mergeCell ref="S160:S161"/>
    <mergeCell ref="T160:T161"/>
    <mergeCell ref="U160:U161"/>
    <mergeCell ref="V160:V161"/>
    <mergeCell ref="W160:W161"/>
    <mergeCell ref="X160:X161"/>
    <mergeCell ref="Y160:Y161"/>
    <mergeCell ref="Z160:Z161"/>
    <mergeCell ref="AA160:AA161"/>
    <mergeCell ref="AB160:AB161"/>
    <mergeCell ref="B158:B159"/>
    <mergeCell ref="C158:C159"/>
    <mergeCell ref="D158:D159"/>
    <mergeCell ref="P158:P159"/>
    <mergeCell ref="Q158:Q159"/>
    <mergeCell ref="R158:R159"/>
    <mergeCell ref="S158:S159"/>
    <mergeCell ref="T158:T159"/>
    <mergeCell ref="U158:U159"/>
    <mergeCell ref="V162:V163"/>
    <mergeCell ref="W162:W163"/>
    <mergeCell ref="X162:X163"/>
    <mergeCell ref="Y162:Y163"/>
    <mergeCell ref="Z162:Z163"/>
    <mergeCell ref="AA162:AA163"/>
    <mergeCell ref="AB162:AB163"/>
    <mergeCell ref="B164:B165"/>
    <mergeCell ref="C164:C165"/>
    <mergeCell ref="D164:D165"/>
    <mergeCell ref="P164:P165"/>
    <mergeCell ref="Q164:Q165"/>
    <mergeCell ref="R164:R165"/>
    <mergeCell ref="S164:S165"/>
    <mergeCell ref="T164:T165"/>
    <mergeCell ref="U164:U165"/>
    <mergeCell ref="V164:V165"/>
    <mergeCell ref="W164:W165"/>
    <mergeCell ref="X164:X165"/>
    <mergeCell ref="Y164:Y165"/>
    <mergeCell ref="Z164:Z165"/>
    <mergeCell ref="AA164:AA165"/>
    <mergeCell ref="AB164:AB165"/>
    <mergeCell ref="B162:B163"/>
    <mergeCell ref="C162:C163"/>
    <mergeCell ref="D162:D163"/>
    <mergeCell ref="P162:P163"/>
    <mergeCell ref="Q162:Q163"/>
    <mergeCell ref="R162:R163"/>
    <mergeCell ref="S162:S163"/>
    <mergeCell ref="T162:T163"/>
    <mergeCell ref="U162:U163"/>
    <mergeCell ref="V166:V167"/>
    <mergeCell ref="W166:W167"/>
    <mergeCell ref="X166:X167"/>
    <mergeCell ref="Y166:Y167"/>
    <mergeCell ref="Z166:Z167"/>
    <mergeCell ref="AA166:AA167"/>
    <mergeCell ref="AB166:AB167"/>
    <mergeCell ref="B168:B169"/>
    <mergeCell ref="C168:C169"/>
    <mergeCell ref="D168:D169"/>
    <mergeCell ref="P168:P169"/>
    <mergeCell ref="Q168:Q169"/>
    <mergeCell ref="R168:R169"/>
    <mergeCell ref="S168:S169"/>
    <mergeCell ref="T168:T169"/>
    <mergeCell ref="U168:U169"/>
    <mergeCell ref="V168:V169"/>
    <mergeCell ref="W168:W169"/>
    <mergeCell ref="X168:X169"/>
    <mergeCell ref="Y168:Y169"/>
    <mergeCell ref="Z168:Z169"/>
    <mergeCell ref="AA168:AA169"/>
    <mergeCell ref="AB168:AB169"/>
    <mergeCell ref="B166:B167"/>
    <mergeCell ref="C166:C167"/>
    <mergeCell ref="D166:D167"/>
    <mergeCell ref="P166:P167"/>
    <mergeCell ref="Q166:Q167"/>
    <mergeCell ref="R166:R167"/>
    <mergeCell ref="S166:S167"/>
    <mergeCell ref="T166:T167"/>
    <mergeCell ref="U166:U167"/>
    <mergeCell ref="V170:V171"/>
    <mergeCell ref="W170:W171"/>
    <mergeCell ref="X170:X171"/>
    <mergeCell ref="Y170:Y171"/>
    <mergeCell ref="Z170:Z171"/>
    <mergeCell ref="AA170:AA171"/>
    <mergeCell ref="AB170:AB171"/>
    <mergeCell ref="B172:B173"/>
    <mergeCell ref="C172:C173"/>
    <mergeCell ref="D172:D173"/>
    <mergeCell ref="P172:P173"/>
    <mergeCell ref="Q172:Q173"/>
    <mergeCell ref="R172:R173"/>
    <mergeCell ref="S172:S173"/>
    <mergeCell ref="T172:T173"/>
    <mergeCell ref="U172:U173"/>
    <mergeCell ref="V172:V173"/>
    <mergeCell ref="W172:W173"/>
    <mergeCell ref="X172:X173"/>
    <mergeCell ref="Y172:Y173"/>
    <mergeCell ref="Z172:Z173"/>
    <mergeCell ref="AA172:AA173"/>
    <mergeCell ref="AB172:AB173"/>
    <mergeCell ref="B170:B171"/>
    <mergeCell ref="C170:C171"/>
    <mergeCell ref="D170:D171"/>
    <mergeCell ref="P170:P171"/>
    <mergeCell ref="Q170:Q171"/>
    <mergeCell ref="R170:R171"/>
    <mergeCell ref="S170:S171"/>
    <mergeCell ref="T170:T171"/>
    <mergeCell ref="U170:U171"/>
    <mergeCell ref="V174:V175"/>
    <mergeCell ref="W174:W175"/>
    <mergeCell ref="X174:X175"/>
    <mergeCell ref="Y174:Y175"/>
    <mergeCell ref="Z174:Z175"/>
    <mergeCell ref="AA174:AA175"/>
    <mergeCell ref="AB174:AB175"/>
    <mergeCell ref="B176:B177"/>
    <mergeCell ref="C176:C177"/>
    <mergeCell ref="D176:D177"/>
    <mergeCell ref="P176:P177"/>
    <mergeCell ref="Q176:Q177"/>
    <mergeCell ref="R176:R177"/>
    <mergeCell ref="S176:S177"/>
    <mergeCell ref="T176:T177"/>
    <mergeCell ref="U176:U177"/>
    <mergeCell ref="V176:V177"/>
    <mergeCell ref="W176:W177"/>
    <mergeCell ref="X176:X177"/>
    <mergeCell ref="Y176:Y177"/>
    <mergeCell ref="Z176:Z177"/>
    <mergeCell ref="AA176:AA177"/>
    <mergeCell ref="AB176:AB177"/>
    <mergeCell ref="B174:B175"/>
    <mergeCell ref="C174:C175"/>
    <mergeCell ref="D174:D175"/>
    <mergeCell ref="P174:P175"/>
    <mergeCell ref="Q174:Q175"/>
    <mergeCell ref="R174:R175"/>
    <mergeCell ref="S174:S175"/>
    <mergeCell ref="T174:T175"/>
    <mergeCell ref="U174:U175"/>
    <mergeCell ref="V178:V179"/>
    <mergeCell ref="W178:W179"/>
    <mergeCell ref="X178:X179"/>
    <mergeCell ref="Y178:Y179"/>
    <mergeCell ref="Z178:Z179"/>
    <mergeCell ref="AA178:AA179"/>
    <mergeCell ref="AB178:AB179"/>
    <mergeCell ref="B180:B181"/>
    <mergeCell ref="C180:C181"/>
    <mergeCell ref="D180:D181"/>
    <mergeCell ref="P180:P181"/>
    <mergeCell ref="Q180:Q181"/>
    <mergeCell ref="R180:R181"/>
    <mergeCell ref="S180:S181"/>
    <mergeCell ref="T180:T181"/>
    <mergeCell ref="U180:U181"/>
    <mergeCell ref="V180:V181"/>
    <mergeCell ref="W180:W181"/>
    <mergeCell ref="X180:X181"/>
    <mergeCell ref="Y180:Y181"/>
    <mergeCell ref="Z180:Z181"/>
    <mergeCell ref="AA180:AA181"/>
    <mergeCell ref="AB180:AB181"/>
    <mergeCell ref="B178:B179"/>
    <mergeCell ref="C178:C179"/>
    <mergeCell ref="D178:D179"/>
    <mergeCell ref="P178:P179"/>
    <mergeCell ref="Q178:Q179"/>
    <mergeCell ref="R178:R179"/>
    <mergeCell ref="S178:S179"/>
    <mergeCell ref="T178:T179"/>
    <mergeCell ref="U178:U179"/>
    <mergeCell ref="V182:V183"/>
    <mergeCell ref="W182:W183"/>
    <mergeCell ref="X182:X183"/>
    <mergeCell ref="Y182:Y183"/>
    <mergeCell ref="Z182:Z183"/>
    <mergeCell ref="AA182:AA183"/>
    <mergeCell ref="AB182:AB183"/>
    <mergeCell ref="B184:B185"/>
    <mergeCell ref="C184:C185"/>
    <mergeCell ref="D184:D185"/>
    <mergeCell ref="P184:P185"/>
    <mergeCell ref="Q184:Q185"/>
    <mergeCell ref="R184:R185"/>
    <mergeCell ref="S184:S185"/>
    <mergeCell ref="T184:T185"/>
    <mergeCell ref="U184:U185"/>
    <mergeCell ref="V184:V185"/>
    <mergeCell ref="W184:W185"/>
    <mergeCell ref="X184:X185"/>
    <mergeCell ref="Y184:Y185"/>
    <mergeCell ref="Z184:Z185"/>
    <mergeCell ref="AA184:AA185"/>
    <mergeCell ref="AB184:AB185"/>
    <mergeCell ref="B182:B183"/>
    <mergeCell ref="C182:C183"/>
    <mergeCell ref="D182:D183"/>
    <mergeCell ref="P182:P183"/>
    <mergeCell ref="Q182:Q183"/>
    <mergeCell ref="R182:R183"/>
    <mergeCell ref="S182:S183"/>
    <mergeCell ref="T182:T183"/>
    <mergeCell ref="U182:U183"/>
    <mergeCell ref="V186:V187"/>
    <mergeCell ref="W186:W187"/>
    <mergeCell ref="X186:X187"/>
    <mergeCell ref="Y186:Y187"/>
    <mergeCell ref="Z186:Z187"/>
    <mergeCell ref="AA186:AA187"/>
    <mergeCell ref="AB186:AB187"/>
    <mergeCell ref="B188:B189"/>
    <mergeCell ref="C188:C189"/>
    <mergeCell ref="D188:D189"/>
    <mergeCell ref="P188:P189"/>
    <mergeCell ref="Q188:Q189"/>
    <mergeCell ref="R188:R189"/>
    <mergeCell ref="S188:S189"/>
    <mergeCell ref="T188:T189"/>
    <mergeCell ref="U188:U189"/>
    <mergeCell ref="V188:V189"/>
    <mergeCell ref="W188:W189"/>
    <mergeCell ref="X188:X189"/>
    <mergeCell ref="Y188:Y189"/>
    <mergeCell ref="Z188:Z189"/>
    <mergeCell ref="AA188:AA189"/>
    <mergeCell ref="AB188:AB189"/>
    <mergeCell ref="B186:B187"/>
    <mergeCell ref="C186:C187"/>
    <mergeCell ref="D186:D187"/>
    <mergeCell ref="P186:P187"/>
    <mergeCell ref="Q186:Q187"/>
    <mergeCell ref="R186:R187"/>
    <mergeCell ref="S186:S187"/>
    <mergeCell ref="T186:T187"/>
    <mergeCell ref="U186:U187"/>
    <mergeCell ref="V190:V191"/>
    <mergeCell ref="W190:W191"/>
    <mergeCell ref="X190:X191"/>
    <mergeCell ref="Y190:Y191"/>
    <mergeCell ref="Z190:Z191"/>
    <mergeCell ref="AA190:AA191"/>
    <mergeCell ref="AB190:AB191"/>
    <mergeCell ref="B192:B193"/>
    <mergeCell ref="C192:C193"/>
    <mergeCell ref="D192:D193"/>
    <mergeCell ref="P192:P193"/>
    <mergeCell ref="Q192:Q193"/>
    <mergeCell ref="R192:R193"/>
    <mergeCell ref="S192:S193"/>
    <mergeCell ref="T192:T193"/>
    <mergeCell ref="U192:U193"/>
    <mergeCell ref="V192:V193"/>
    <mergeCell ref="W192:W193"/>
    <mergeCell ref="X192:X193"/>
    <mergeCell ref="Y192:Y193"/>
    <mergeCell ref="Z192:Z193"/>
    <mergeCell ref="AA192:AA193"/>
    <mergeCell ref="AB192:AB193"/>
    <mergeCell ref="B190:B191"/>
    <mergeCell ref="C190:C191"/>
    <mergeCell ref="D190:D191"/>
    <mergeCell ref="P190:P191"/>
    <mergeCell ref="Q190:Q191"/>
    <mergeCell ref="R190:R191"/>
    <mergeCell ref="S190:S191"/>
    <mergeCell ref="T190:T191"/>
    <mergeCell ref="U190:U191"/>
    <mergeCell ref="V194:V195"/>
    <mergeCell ref="W194:W195"/>
    <mergeCell ref="X194:X195"/>
    <mergeCell ref="Y194:Y195"/>
    <mergeCell ref="Z194:Z195"/>
    <mergeCell ref="AA194:AA195"/>
    <mergeCell ref="AB194:AB195"/>
    <mergeCell ref="B196:B197"/>
    <mergeCell ref="C196:C197"/>
    <mergeCell ref="D196:D197"/>
    <mergeCell ref="P196:P197"/>
    <mergeCell ref="Q196:Q197"/>
    <mergeCell ref="R196:R197"/>
    <mergeCell ref="S196:S197"/>
    <mergeCell ref="T196:T197"/>
    <mergeCell ref="U196:U197"/>
    <mergeCell ref="V196:V197"/>
    <mergeCell ref="W196:W197"/>
    <mergeCell ref="X196:X197"/>
    <mergeCell ref="Y196:Y197"/>
    <mergeCell ref="Z196:Z197"/>
    <mergeCell ref="AA196:AA197"/>
    <mergeCell ref="AB196:AB197"/>
    <mergeCell ref="B194:B195"/>
    <mergeCell ref="C194:C195"/>
    <mergeCell ref="D194:D195"/>
    <mergeCell ref="P194:P195"/>
    <mergeCell ref="Q194:Q195"/>
    <mergeCell ref="R194:R195"/>
    <mergeCell ref="S194:S195"/>
    <mergeCell ref="T194:T195"/>
    <mergeCell ref="U194:U195"/>
    <mergeCell ref="V198:V199"/>
    <mergeCell ref="W198:W199"/>
    <mergeCell ref="X198:X199"/>
    <mergeCell ref="Y198:Y199"/>
    <mergeCell ref="Z198:Z199"/>
    <mergeCell ref="AA198:AA199"/>
    <mergeCell ref="AB198:AB199"/>
    <mergeCell ref="B200:B201"/>
    <mergeCell ref="C200:C201"/>
    <mergeCell ref="D200:D201"/>
    <mergeCell ref="P200:P201"/>
    <mergeCell ref="Q200:Q201"/>
    <mergeCell ref="R200:R201"/>
    <mergeCell ref="S200:S201"/>
    <mergeCell ref="T200:T201"/>
    <mergeCell ref="U200:U201"/>
    <mergeCell ref="V200:V201"/>
    <mergeCell ref="W200:W201"/>
    <mergeCell ref="X200:X201"/>
    <mergeCell ref="Y200:Y201"/>
    <mergeCell ref="Z200:Z201"/>
    <mergeCell ref="AA200:AA201"/>
    <mergeCell ref="AB200:AB201"/>
    <mergeCell ref="B198:B199"/>
    <mergeCell ref="C198:C199"/>
    <mergeCell ref="D198:D199"/>
    <mergeCell ref="P198:P199"/>
    <mergeCell ref="Q198:Q199"/>
    <mergeCell ref="R198:R199"/>
    <mergeCell ref="S198:S199"/>
    <mergeCell ref="T198:T199"/>
    <mergeCell ref="U198:U199"/>
    <mergeCell ref="V202:V203"/>
    <mergeCell ref="W202:W203"/>
    <mergeCell ref="X202:X203"/>
    <mergeCell ref="Y202:Y203"/>
    <mergeCell ref="Z202:Z203"/>
    <mergeCell ref="AA202:AA203"/>
    <mergeCell ref="AB202:AB203"/>
    <mergeCell ref="B204:B205"/>
    <mergeCell ref="C204:C205"/>
    <mergeCell ref="D204:D205"/>
    <mergeCell ref="P204:P205"/>
    <mergeCell ref="Q204:Q205"/>
    <mergeCell ref="R204:R205"/>
    <mergeCell ref="S204:S205"/>
    <mergeCell ref="T204:T205"/>
    <mergeCell ref="U204:U205"/>
    <mergeCell ref="V204:V205"/>
    <mergeCell ref="W204:W205"/>
    <mergeCell ref="X204:X205"/>
    <mergeCell ref="Y204:Y205"/>
    <mergeCell ref="Z204:Z205"/>
    <mergeCell ref="AA204:AA205"/>
    <mergeCell ref="AB204:AB205"/>
    <mergeCell ref="B202:B203"/>
    <mergeCell ref="C202:C203"/>
    <mergeCell ref="D202:D203"/>
    <mergeCell ref="P202:P203"/>
    <mergeCell ref="Q202:Q203"/>
    <mergeCell ref="R202:R203"/>
    <mergeCell ref="S202:S203"/>
    <mergeCell ref="T202:T203"/>
    <mergeCell ref="U202:U203"/>
    <mergeCell ref="V206:V207"/>
    <mergeCell ref="W206:W207"/>
    <mergeCell ref="X206:X207"/>
    <mergeCell ref="Y206:Y207"/>
    <mergeCell ref="Z206:Z207"/>
    <mergeCell ref="AA206:AA207"/>
    <mergeCell ref="AB206:AB207"/>
    <mergeCell ref="B208:B209"/>
    <mergeCell ref="C208:C209"/>
    <mergeCell ref="D208:D209"/>
    <mergeCell ref="P208:P209"/>
    <mergeCell ref="Q208:Q209"/>
    <mergeCell ref="R208:R209"/>
    <mergeCell ref="S208:S209"/>
    <mergeCell ref="T208:T209"/>
    <mergeCell ref="U208:U209"/>
    <mergeCell ref="V208:V209"/>
    <mergeCell ref="W208:W209"/>
    <mergeCell ref="X208:X209"/>
    <mergeCell ref="Y208:Y209"/>
    <mergeCell ref="Z208:Z209"/>
    <mergeCell ref="AA208:AA209"/>
    <mergeCell ref="AB208:AB209"/>
    <mergeCell ref="B206:B207"/>
    <mergeCell ref="C206:C207"/>
    <mergeCell ref="D206:D207"/>
    <mergeCell ref="P206:P207"/>
    <mergeCell ref="Q206:Q207"/>
    <mergeCell ref="R206:R207"/>
    <mergeCell ref="S206:S207"/>
    <mergeCell ref="T206:T207"/>
    <mergeCell ref="U206:U207"/>
    <mergeCell ref="V210:V211"/>
    <mergeCell ref="W210:W211"/>
    <mergeCell ref="X210:X211"/>
    <mergeCell ref="Y210:Y211"/>
    <mergeCell ref="Z210:Z211"/>
    <mergeCell ref="AA210:AA211"/>
    <mergeCell ref="AB210:AB211"/>
    <mergeCell ref="B212:B213"/>
    <mergeCell ref="C212:C213"/>
    <mergeCell ref="D212:D213"/>
    <mergeCell ref="P212:P213"/>
    <mergeCell ref="Q212:Q213"/>
    <mergeCell ref="R212:R213"/>
    <mergeCell ref="S212:S213"/>
    <mergeCell ref="T212:T213"/>
    <mergeCell ref="U212:U213"/>
    <mergeCell ref="V212:V213"/>
    <mergeCell ref="W212:W213"/>
    <mergeCell ref="X212:X213"/>
    <mergeCell ref="Y212:Y213"/>
    <mergeCell ref="Z212:Z213"/>
    <mergeCell ref="AA212:AA213"/>
    <mergeCell ref="AB212:AB213"/>
    <mergeCell ref="B210:B211"/>
    <mergeCell ref="C210:C211"/>
    <mergeCell ref="D210:D211"/>
    <mergeCell ref="P210:P211"/>
    <mergeCell ref="Q210:Q211"/>
    <mergeCell ref="R210:R211"/>
    <mergeCell ref="S210:S211"/>
    <mergeCell ref="T210:T211"/>
    <mergeCell ref="U210:U211"/>
    <mergeCell ref="V214:V215"/>
    <mergeCell ref="W214:W215"/>
    <mergeCell ref="X214:X215"/>
    <mergeCell ref="Y214:Y215"/>
    <mergeCell ref="Z214:Z215"/>
    <mergeCell ref="AA214:AA215"/>
    <mergeCell ref="AB214:AB215"/>
    <mergeCell ref="B216:B217"/>
    <mergeCell ref="C216:C217"/>
    <mergeCell ref="D216:D217"/>
    <mergeCell ref="P216:P217"/>
    <mergeCell ref="Q216:Q217"/>
    <mergeCell ref="R216:R217"/>
    <mergeCell ref="S216:S217"/>
    <mergeCell ref="T216:T217"/>
    <mergeCell ref="U216:U217"/>
    <mergeCell ref="V216:V217"/>
    <mergeCell ref="W216:W217"/>
    <mergeCell ref="X216:X217"/>
    <mergeCell ref="Y216:Y217"/>
    <mergeCell ref="Z216:Z217"/>
    <mergeCell ref="AA216:AA217"/>
    <mergeCell ref="AB216:AB217"/>
    <mergeCell ref="B214:B215"/>
    <mergeCell ref="C214:C215"/>
    <mergeCell ref="D214:D215"/>
    <mergeCell ref="P214:P215"/>
    <mergeCell ref="Q214:Q215"/>
    <mergeCell ref="R214:R215"/>
    <mergeCell ref="S214:S215"/>
    <mergeCell ref="T214:T215"/>
    <mergeCell ref="U214:U215"/>
    <mergeCell ref="V218:V219"/>
    <mergeCell ref="W218:W219"/>
    <mergeCell ref="X218:X219"/>
    <mergeCell ref="Y218:Y219"/>
    <mergeCell ref="Z218:Z219"/>
    <mergeCell ref="AA218:AA219"/>
    <mergeCell ref="AB218:AB219"/>
    <mergeCell ref="B220:B221"/>
    <mergeCell ref="C220:C221"/>
    <mergeCell ref="D220:D221"/>
    <mergeCell ref="P220:P221"/>
    <mergeCell ref="Q220:Q221"/>
    <mergeCell ref="R220:R221"/>
    <mergeCell ref="S220:S221"/>
    <mergeCell ref="T220:T221"/>
    <mergeCell ref="U220:U221"/>
    <mergeCell ref="V220:V221"/>
    <mergeCell ref="W220:W221"/>
    <mergeCell ref="X220:X221"/>
    <mergeCell ref="Y220:Y221"/>
    <mergeCell ref="Z220:Z221"/>
    <mergeCell ref="AA220:AA221"/>
    <mergeCell ref="AB220:AB221"/>
    <mergeCell ref="B218:B219"/>
    <mergeCell ref="C218:C219"/>
    <mergeCell ref="D218:D219"/>
    <mergeCell ref="P218:P219"/>
    <mergeCell ref="Q218:Q219"/>
    <mergeCell ref="R218:R219"/>
    <mergeCell ref="S218:S219"/>
    <mergeCell ref="T218:T219"/>
    <mergeCell ref="U218:U219"/>
    <mergeCell ref="V222:V223"/>
    <mergeCell ref="W222:W223"/>
    <mergeCell ref="X222:X223"/>
    <mergeCell ref="Y222:Y223"/>
    <mergeCell ref="Z222:Z223"/>
    <mergeCell ref="AA222:AA223"/>
    <mergeCell ref="AB222:AB223"/>
    <mergeCell ref="B224:B225"/>
    <mergeCell ref="C224:C225"/>
    <mergeCell ref="D224:D225"/>
    <mergeCell ref="P224:P225"/>
    <mergeCell ref="Q224:Q225"/>
    <mergeCell ref="R224:R225"/>
    <mergeCell ref="S224:S225"/>
    <mergeCell ref="T224:T225"/>
    <mergeCell ref="U224:U225"/>
    <mergeCell ref="V224:V225"/>
    <mergeCell ref="W224:W225"/>
    <mergeCell ref="X224:X225"/>
    <mergeCell ref="Y224:Y225"/>
    <mergeCell ref="Z224:Z225"/>
    <mergeCell ref="AA224:AA225"/>
    <mergeCell ref="AB224:AB225"/>
    <mergeCell ref="B222:B223"/>
    <mergeCell ref="C222:C223"/>
    <mergeCell ref="D222:D223"/>
    <mergeCell ref="P222:P223"/>
    <mergeCell ref="Q222:Q223"/>
    <mergeCell ref="R222:R223"/>
    <mergeCell ref="S222:S223"/>
    <mergeCell ref="T222:T223"/>
    <mergeCell ref="U222:U223"/>
    <mergeCell ref="V226:V227"/>
    <mergeCell ref="W226:W227"/>
    <mergeCell ref="X226:X227"/>
    <mergeCell ref="Y226:Y227"/>
    <mergeCell ref="Z226:Z227"/>
    <mergeCell ref="AA226:AA227"/>
    <mergeCell ref="AB226:AB227"/>
    <mergeCell ref="B228:B229"/>
    <mergeCell ref="C228:C229"/>
    <mergeCell ref="D228:D229"/>
    <mergeCell ref="P228:P229"/>
    <mergeCell ref="Q228:Q229"/>
    <mergeCell ref="R228:R229"/>
    <mergeCell ref="S228:S229"/>
    <mergeCell ref="T228:T229"/>
    <mergeCell ref="U228:U229"/>
    <mergeCell ref="V228:V229"/>
    <mergeCell ref="W228:W229"/>
    <mergeCell ref="X228:X229"/>
    <mergeCell ref="Y228:Y229"/>
    <mergeCell ref="Z228:Z229"/>
    <mergeCell ref="AA228:AA229"/>
    <mergeCell ref="AB228:AB229"/>
    <mergeCell ref="B226:B227"/>
    <mergeCell ref="C226:C227"/>
    <mergeCell ref="D226:D227"/>
    <mergeCell ref="P226:P227"/>
    <mergeCell ref="Q226:Q227"/>
    <mergeCell ref="R226:R227"/>
    <mergeCell ref="S226:S227"/>
    <mergeCell ref="T226:T227"/>
    <mergeCell ref="U226:U227"/>
    <mergeCell ref="V230:V231"/>
    <mergeCell ref="W230:W231"/>
    <mergeCell ref="X230:X231"/>
    <mergeCell ref="Y230:Y231"/>
    <mergeCell ref="Z230:Z231"/>
    <mergeCell ref="AA230:AA231"/>
    <mergeCell ref="AB230:AB231"/>
    <mergeCell ref="B232:B233"/>
    <mergeCell ref="C232:C233"/>
    <mergeCell ref="D232:D233"/>
    <mergeCell ref="P232:P233"/>
    <mergeCell ref="Q232:Q233"/>
    <mergeCell ref="R232:R233"/>
    <mergeCell ref="S232:S233"/>
    <mergeCell ref="T232:T233"/>
    <mergeCell ref="U232:U233"/>
    <mergeCell ref="V232:V233"/>
    <mergeCell ref="W232:W233"/>
    <mergeCell ref="X232:X233"/>
    <mergeCell ref="Y232:Y233"/>
    <mergeCell ref="Z232:Z233"/>
    <mergeCell ref="AA232:AA233"/>
    <mergeCell ref="AB232:AB233"/>
    <mergeCell ref="B230:B231"/>
    <mergeCell ref="C230:C231"/>
    <mergeCell ref="D230:D231"/>
    <mergeCell ref="P230:P231"/>
    <mergeCell ref="Q230:Q231"/>
    <mergeCell ref="R230:R231"/>
    <mergeCell ref="S230:S231"/>
    <mergeCell ref="T230:T231"/>
    <mergeCell ref="U230:U231"/>
    <mergeCell ref="V234:V235"/>
    <mergeCell ref="W234:W235"/>
    <mergeCell ref="X234:X235"/>
    <mergeCell ref="Y234:Y235"/>
    <mergeCell ref="Z234:Z235"/>
    <mergeCell ref="AA234:AA235"/>
    <mergeCell ref="AB234:AB235"/>
    <mergeCell ref="B236:B237"/>
    <mergeCell ref="C236:C237"/>
    <mergeCell ref="D236:D237"/>
    <mergeCell ref="P236:P237"/>
    <mergeCell ref="Q236:Q237"/>
    <mergeCell ref="R236:R237"/>
    <mergeCell ref="S236:S237"/>
    <mergeCell ref="T236:T237"/>
    <mergeCell ref="U236:U237"/>
    <mergeCell ref="V236:V237"/>
    <mergeCell ref="W236:W237"/>
    <mergeCell ref="X236:X237"/>
    <mergeCell ref="Y236:Y237"/>
    <mergeCell ref="Z236:Z237"/>
    <mergeCell ref="AA236:AA237"/>
    <mergeCell ref="AB236:AB237"/>
    <mergeCell ref="B234:B235"/>
    <mergeCell ref="C234:C235"/>
    <mergeCell ref="D234:D235"/>
    <mergeCell ref="P234:P235"/>
    <mergeCell ref="Q234:Q235"/>
    <mergeCell ref="R234:R235"/>
    <mergeCell ref="S234:S235"/>
    <mergeCell ref="T234:T235"/>
    <mergeCell ref="U234:U235"/>
    <mergeCell ref="V238:V239"/>
    <mergeCell ref="W238:W239"/>
    <mergeCell ref="X238:X239"/>
    <mergeCell ref="Y238:Y239"/>
    <mergeCell ref="Z238:Z239"/>
    <mergeCell ref="AA238:AA239"/>
    <mergeCell ref="AB238:AB239"/>
    <mergeCell ref="B240:B241"/>
    <mergeCell ref="C240:C241"/>
    <mergeCell ref="D240:D241"/>
    <mergeCell ref="P240:P241"/>
    <mergeCell ref="Q240:Q241"/>
    <mergeCell ref="R240:R241"/>
    <mergeCell ref="S240:S241"/>
    <mergeCell ref="T240:T241"/>
    <mergeCell ref="U240:U241"/>
    <mergeCell ref="V240:V241"/>
    <mergeCell ref="W240:W241"/>
    <mergeCell ref="X240:X241"/>
    <mergeCell ref="Y240:Y241"/>
    <mergeCell ref="Z240:Z241"/>
    <mergeCell ref="AA240:AA241"/>
    <mergeCell ref="AB240:AB241"/>
    <mergeCell ref="B238:B239"/>
    <mergeCell ref="C238:C239"/>
    <mergeCell ref="D238:D239"/>
    <mergeCell ref="P238:P239"/>
    <mergeCell ref="Q238:Q239"/>
    <mergeCell ref="R238:R239"/>
    <mergeCell ref="S238:S239"/>
    <mergeCell ref="T238:T239"/>
    <mergeCell ref="U238:U239"/>
    <mergeCell ref="V242:V243"/>
    <mergeCell ref="W242:W243"/>
    <mergeCell ref="X242:X243"/>
    <mergeCell ref="Y242:Y243"/>
    <mergeCell ref="Z242:Z243"/>
    <mergeCell ref="AA242:AA243"/>
    <mergeCell ref="AB242:AB243"/>
    <mergeCell ref="B244:B245"/>
    <mergeCell ref="C244:C245"/>
    <mergeCell ref="D244:D245"/>
    <mergeCell ref="P244:P245"/>
    <mergeCell ref="Q244:Q245"/>
    <mergeCell ref="R244:R245"/>
    <mergeCell ref="S244:S245"/>
    <mergeCell ref="T244:T245"/>
    <mergeCell ref="U244:U245"/>
    <mergeCell ref="V244:V245"/>
    <mergeCell ref="W244:W245"/>
    <mergeCell ref="X244:X245"/>
    <mergeCell ref="Y244:Y245"/>
    <mergeCell ref="Z244:Z245"/>
    <mergeCell ref="AA244:AA245"/>
    <mergeCell ref="AB244:AB245"/>
    <mergeCell ref="B242:B243"/>
    <mergeCell ref="C242:C243"/>
    <mergeCell ref="D242:D243"/>
    <mergeCell ref="P242:P243"/>
    <mergeCell ref="Q242:Q243"/>
    <mergeCell ref="R242:R243"/>
    <mergeCell ref="S242:S243"/>
    <mergeCell ref="T242:T243"/>
    <mergeCell ref="U242:U243"/>
    <mergeCell ref="V246:V247"/>
    <mergeCell ref="W246:W247"/>
    <mergeCell ref="X246:X247"/>
    <mergeCell ref="Y246:Y247"/>
    <mergeCell ref="Z246:Z247"/>
    <mergeCell ref="AA246:AA247"/>
    <mergeCell ref="AB246:AB247"/>
    <mergeCell ref="B248:B249"/>
    <mergeCell ref="C248:C249"/>
    <mergeCell ref="D248:D249"/>
    <mergeCell ref="P248:P249"/>
    <mergeCell ref="Q248:Q249"/>
    <mergeCell ref="R248:R249"/>
    <mergeCell ref="S248:S249"/>
    <mergeCell ref="T248:T249"/>
    <mergeCell ref="U248:U249"/>
    <mergeCell ref="V248:V249"/>
    <mergeCell ref="W248:W249"/>
    <mergeCell ref="X248:X249"/>
    <mergeCell ref="Y248:Y249"/>
    <mergeCell ref="Z248:Z249"/>
    <mergeCell ref="AA248:AA249"/>
    <mergeCell ref="AB248:AB249"/>
    <mergeCell ref="B246:B247"/>
    <mergeCell ref="C246:C247"/>
    <mergeCell ref="D246:D247"/>
    <mergeCell ref="P246:P247"/>
    <mergeCell ref="Q246:Q247"/>
    <mergeCell ref="R246:R247"/>
    <mergeCell ref="S246:S247"/>
    <mergeCell ref="T246:T247"/>
    <mergeCell ref="U246:U247"/>
    <mergeCell ref="V250:V251"/>
    <mergeCell ref="W250:W251"/>
    <mergeCell ref="X250:X251"/>
    <mergeCell ref="Y250:Y251"/>
    <mergeCell ref="Z250:Z251"/>
    <mergeCell ref="AA250:AA251"/>
    <mergeCell ref="AB250:AB251"/>
    <mergeCell ref="B252:B253"/>
    <mergeCell ref="C252:C253"/>
    <mergeCell ref="D252:D253"/>
    <mergeCell ref="P252:P253"/>
    <mergeCell ref="Q252:Q253"/>
    <mergeCell ref="R252:R253"/>
    <mergeCell ref="S252:S253"/>
    <mergeCell ref="T252:T253"/>
    <mergeCell ref="U252:U253"/>
    <mergeCell ref="V252:V253"/>
    <mergeCell ref="W252:W253"/>
    <mergeCell ref="X252:X253"/>
    <mergeCell ref="Y252:Y253"/>
    <mergeCell ref="Z252:Z253"/>
    <mergeCell ref="AA252:AA253"/>
    <mergeCell ref="AB252:AB253"/>
    <mergeCell ref="B250:B251"/>
    <mergeCell ref="C250:C251"/>
    <mergeCell ref="D250:D251"/>
    <mergeCell ref="P250:P251"/>
    <mergeCell ref="Q250:Q251"/>
    <mergeCell ref="R250:R251"/>
    <mergeCell ref="S250:S251"/>
    <mergeCell ref="T250:T251"/>
    <mergeCell ref="U250:U251"/>
    <mergeCell ref="V254:V255"/>
    <mergeCell ref="W254:W255"/>
    <mergeCell ref="X254:X255"/>
    <mergeCell ref="Y254:Y255"/>
    <mergeCell ref="Z254:Z255"/>
    <mergeCell ref="AA254:AA255"/>
    <mergeCell ref="AB254:AB255"/>
    <mergeCell ref="B256:B257"/>
    <mergeCell ref="C256:C257"/>
    <mergeCell ref="D256:D257"/>
    <mergeCell ref="P256:P257"/>
    <mergeCell ref="Q256:Q257"/>
    <mergeCell ref="R256:R257"/>
    <mergeCell ref="S256:S257"/>
    <mergeCell ref="T256:T257"/>
    <mergeCell ref="U256:U257"/>
    <mergeCell ref="V256:V257"/>
    <mergeCell ref="W256:W257"/>
    <mergeCell ref="X256:X257"/>
    <mergeCell ref="Y256:Y257"/>
    <mergeCell ref="Z256:Z257"/>
    <mergeCell ref="AA256:AA257"/>
    <mergeCell ref="AB256:AB257"/>
    <mergeCell ref="B254:B255"/>
    <mergeCell ref="C254:C255"/>
    <mergeCell ref="D254:D255"/>
    <mergeCell ref="P254:P255"/>
    <mergeCell ref="Q254:Q255"/>
    <mergeCell ref="R254:R255"/>
    <mergeCell ref="S254:S255"/>
    <mergeCell ref="T254:T255"/>
    <mergeCell ref="U254:U255"/>
    <mergeCell ref="V258:V259"/>
    <mergeCell ref="W258:W259"/>
    <mergeCell ref="X258:X259"/>
    <mergeCell ref="Y258:Y259"/>
    <mergeCell ref="Z258:Z259"/>
    <mergeCell ref="AA258:AA259"/>
    <mergeCell ref="AB258:AB259"/>
    <mergeCell ref="B260:B261"/>
    <mergeCell ref="C260:C261"/>
    <mergeCell ref="D260:D261"/>
    <mergeCell ref="P260:P261"/>
    <mergeCell ref="Q260:Q261"/>
    <mergeCell ref="R260:R261"/>
    <mergeCell ref="S260:S261"/>
    <mergeCell ref="T260:T261"/>
    <mergeCell ref="U260:U261"/>
    <mergeCell ref="V260:V261"/>
    <mergeCell ref="W260:W261"/>
    <mergeCell ref="X260:X261"/>
    <mergeCell ref="Y260:Y261"/>
    <mergeCell ref="Z260:Z261"/>
    <mergeCell ref="AA260:AA261"/>
    <mergeCell ref="AB260:AB261"/>
    <mergeCell ref="B258:B259"/>
    <mergeCell ref="C258:C259"/>
    <mergeCell ref="D258:D259"/>
    <mergeCell ref="P258:P259"/>
    <mergeCell ref="Q258:Q259"/>
    <mergeCell ref="R258:R259"/>
    <mergeCell ref="S258:S259"/>
    <mergeCell ref="T258:T259"/>
    <mergeCell ref="U258:U259"/>
    <mergeCell ref="V262:V263"/>
    <mergeCell ref="W262:W263"/>
    <mergeCell ref="X262:X263"/>
    <mergeCell ref="Y262:Y263"/>
    <mergeCell ref="Z262:Z263"/>
    <mergeCell ref="AA262:AA263"/>
    <mergeCell ref="AB262:AB263"/>
    <mergeCell ref="B264:B265"/>
    <mergeCell ref="C264:C265"/>
    <mergeCell ref="D264:D265"/>
    <mergeCell ref="P264:P265"/>
    <mergeCell ref="Q264:Q265"/>
    <mergeCell ref="R264:R265"/>
    <mergeCell ref="S264:S265"/>
    <mergeCell ref="T264:T265"/>
    <mergeCell ref="U264:U265"/>
    <mergeCell ref="V264:V265"/>
    <mergeCell ref="W264:W265"/>
    <mergeCell ref="X264:X265"/>
    <mergeCell ref="Y264:Y265"/>
    <mergeCell ref="Z264:Z265"/>
    <mergeCell ref="AA264:AA265"/>
    <mergeCell ref="AB264:AB265"/>
    <mergeCell ref="B262:B263"/>
    <mergeCell ref="C262:C263"/>
    <mergeCell ref="D262:D263"/>
    <mergeCell ref="P262:P263"/>
    <mergeCell ref="Q262:Q263"/>
    <mergeCell ref="R262:R263"/>
    <mergeCell ref="S262:S263"/>
    <mergeCell ref="T262:T263"/>
    <mergeCell ref="U262:U263"/>
    <mergeCell ref="V266:V267"/>
    <mergeCell ref="W266:W267"/>
    <mergeCell ref="X266:X267"/>
    <mergeCell ref="Y266:Y267"/>
    <mergeCell ref="Z266:Z267"/>
    <mergeCell ref="AA266:AA267"/>
    <mergeCell ref="AB266:AB267"/>
    <mergeCell ref="B268:B269"/>
    <mergeCell ref="C268:C269"/>
    <mergeCell ref="D268:D269"/>
    <mergeCell ref="P268:P269"/>
    <mergeCell ref="Q268:Q269"/>
    <mergeCell ref="R268:R269"/>
    <mergeCell ref="S268:S269"/>
    <mergeCell ref="T268:T269"/>
    <mergeCell ref="U268:U269"/>
    <mergeCell ref="V268:V269"/>
    <mergeCell ref="W268:W269"/>
    <mergeCell ref="X268:X269"/>
    <mergeCell ref="Y268:Y269"/>
    <mergeCell ref="Z268:Z269"/>
    <mergeCell ref="AA268:AA269"/>
    <mergeCell ref="AB268:AB269"/>
    <mergeCell ref="B266:B267"/>
    <mergeCell ref="C266:C267"/>
    <mergeCell ref="D266:D267"/>
    <mergeCell ref="P266:P267"/>
    <mergeCell ref="Q266:Q267"/>
    <mergeCell ref="R266:R267"/>
    <mergeCell ref="S266:S267"/>
    <mergeCell ref="T266:T267"/>
    <mergeCell ref="U266:U267"/>
    <mergeCell ref="V270:V271"/>
    <mergeCell ref="W270:W271"/>
    <mergeCell ref="X270:X271"/>
    <mergeCell ref="Y270:Y271"/>
    <mergeCell ref="Z270:Z271"/>
    <mergeCell ref="AA270:AA271"/>
    <mergeCell ref="AB270:AB271"/>
    <mergeCell ref="B272:B273"/>
    <mergeCell ref="C272:C273"/>
    <mergeCell ref="D272:D273"/>
    <mergeCell ref="P272:P273"/>
    <mergeCell ref="Q272:Q273"/>
    <mergeCell ref="R272:R273"/>
    <mergeCell ref="S272:S273"/>
    <mergeCell ref="T272:T273"/>
    <mergeCell ref="U272:U273"/>
    <mergeCell ref="V272:V273"/>
    <mergeCell ref="W272:W273"/>
    <mergeCell ref="X272:X273"/>
    <mergeCell ref="Y272:Y273"/>
    <mergeCell ref="Z272:Z273"/>
    <mergeCell ref="AA272:AA273"/>
    <mergeCell ref="AB272:AB273"/>
    <mergeCell ref="B270:B271"/>
    <mergeCell ref="C270:C271"/>
    <mergeCell ref="D270:D271"/>
    <mergeCell ref="P270:P271"/>
    <mergeCell ref="Q270:Q271"/>
    <mergeCell ref="R270:R271"/>
    <mergeCell ref="S270:S271"/>
    <mergeCell ref="T270:T271"/>
    <mergeCell ref="U270:U271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2E676-15CF-7D4A-A66D-654AE4758F59}">
  <dimension ref="C2:U55"/>
  <sheetViews>
    <sheetView workbookViewId="0">
      <selection activeCell="P34" sqref="P34"/>
    </sheetView>
  </sheetViews>
  <sheetFormatPr baseColWidth="10" defaultRowHeight="20"/>
  <cols>
    <col min="3" max="4" width="11" customWidth="1"/>
    <col min="5" max="13" width="2.5703125" customWidth="1"/>
  </cols>
  <sheetData>
    <row r="2" spans="3:20">
      <c r="T2">
        <v>2</v>
      </c>
    </row>
    <row r="3" spans="3:20">
      <c r="S3" t="s">
        <v>160</v>
      </c>
      <c r="T3" t="s">
        <v>161</v>
      </c>
    </row>
    <row r="4" spans="3:20">
      <c r="C4" s="28" t="s">
        <v>154</v>
      </c>
      <c r="D4" s="28"/>
      <c r="E4" s="29" t="s">
        <v>159</v>
      </c>
      <c r="F4" s="30"/>
      <c r="G4" s="30"/>
      <c r="H4" s="30"/>
      <c r="I4" s="30"/>
      <c r="J4" s="30"/>
      <c r="K4" s="30"/>
      <c r="L4" s="30"/>
      <c r="M4" s="31"/>
    </row>
    <row r="5" spans="3:20">
      <c r="C5" s="5" t="s">
        <v>155</v>
      </c>
      <c r="D5" s="5" t="s">
        <v>156</v>
      </c>
      <c r="E5" s="13" t="s">
        <v>157</v>
      </c>
      <c r="F5" s="14"/>
      <c r="G5" s="14"/>
      <c r="H5" s="14"/>
      <c r="I5" s="14"/>
      <c r="J5" s="14" t="s">
        <v>158</v>
      </c>
      <c r="K5" s="14"/>
      <c r="L5" s="14"/>
      <c r="M5" s="16"/>
      <c r="Q5">
        <v>0</v>
      </c>
      <c r="R5">
        <f>SUM(S5:U5)</f>
        <v>5.125</v>
      </c>
      <c r="S5">
        <f>-1+Q5/5</f>
        <v>-1</v>
      </c>
      <c r="T5">
        <f>(Q5-3.5)^2/T$2</f>
        <v>6.125</v>
      </c>
    </row>
    <row r="6" spans="3:20">
      <c r="C6" s="6" t="s">
        <v>148</v>
      </c>
      <c r="D6" s="7"/>
      <c r="E6" s="13"/>
      <c r="F6" s="14"/>
      <c r="G6" s="14"/>
      <c r="H6" s="15"/>
      <c r="I6" s="15"/>
      <c r="J6" s="15"/>
      <c r="K6" s="14"/>
      <c r="L6" s="14"/>
      <c r="M6" s="16"/>
      <c r="Q6">
        <v>0.2</v>
      </c>
      <c r="R6">
        <f t="shared" ref="R6:R40" si="0">SUM(S6:U6)</f>
        <v>4.4849999999999994</v>
      </c>
      <c r="S6">
        <f t="shared" ref="S6:S30" si="1">-1+Q6/5</f>
        <v>-0.96</v>
      </c>
      <c r="T6">
        <f t="shared" ref="T6:T40" si="2">(Q6-3.5)^2/T$2</f>
        <v>5.4449999999999994</v>
      </c>
    </row>
    <row r="7" spans="3:20">
      <c r="C7" s="26" t="s">
        <v>149</v>
      </c>
      <c r="D7" s="9" t="s">
        <v>152</v>
      </c>
      <c r="E7" s="10"/>
      <c r="F7" s="10"/>
      <c r="G7" s="10"/>
      <c r="H7" s="10"/>
      <c r="I7" s="10"/>
      <c r="J7" s="10"/>
      <c r="K7" s="18"/>
      <c r="L7" s="18"/>
      <c r="M7" s="7"/>
      <c r="Q7">
        <v>0.4</v>
      </c>
      <c r="R7">
        <f t="shared" si="0"/>
        <v>3.8850000000000007</v>
      </c>
      <c r="S7">
        <f t="shared" si="1"/>
        <v>-0.92</v>
      </c>
      <c r="T7">
        <f t="shared" si="2"/>
        <v>4.8050000000000006</v>
      </c>
    </row>
    <row r="8" spans="3:20">
      <c r="C8" s="27"/>
      <c r="D8" s="8" t="s">
        <v>153</v>
      </c>
      <c r="E8" s="17"/>
      <c r="F8" s="17"/>
      <c r="G8" s="11"/>
      <c r="H8" s="11"/>
      <c r="I8" s="11"/>
      <c r="J8" s="11"/>
      <c r="K8" s="11"/>
      <c r="L8" s="11"/>
      <c r="M8" s="12"/>
      <c r="Q8">
        <v>0.6</v>
      </c>
      <c r="R8">
        <f t="shared" si="0"/>
        <v>3.3250000000000002</v>
      </c>
      <c r="S8">
        <f t="shared" si="1"/>
        <v>-0.88</v>
      </c>
      <c r="T8">
        <f t="shared" si="2"/>
        <v>4.2050000000000001</v>
      </c>
    </row>
    <row r="9" spans="3:20">
      <c r="C9" s="26" t="s">
        <v>150</v>
      </c>
      <c r="D9" s="9" t="s">
        <v>152</v>
      </c>
      <c r="E9" s="10"/>
      <c r="F9" s="10"/>
      <c r="G9" s="10"/>
      <c r="H9" s="10"/>
      <c r="I9" s="10"/>
      <c r="J9" s="10"/>
      <c r="L9" s="18"/>
      <c r="M9" s="18"/>
      <c r="Q9">
        <v>0.8</v>
      </c>
      <c r="R9">
        <f t="shared" si="0"/>
        <v>2.8050000000000006</v>
      </c>
      <c r="S9">
        <f t="shared" si="1"/>
        <v>-0.84</v>
      </c>
      <c r="T9">
        <f t="shared" si="2"/>
        <v>3.6450000000000005</v>
      </c>
    </row>
    <row r="10" spans="3:20">
      <c r="C10" s="27"/>
      <c r="D10" s="8" t="s">
        <v>153</v>
      </c>
      <c r="E10" s="11"/>
      <c r="F10" s="11"/>
      <c r="G10" s="17"/>
      <c r="H10" s="17"/>
      <c r="I10" s="11"/>
      <c r="J10" s="11"/>
      <c r="K10" s="11"/>
      <c r="L10" s="11"/>
      <c r="M10" s="12"/>
      <c r="Q10">
        <v>1</v>
      </c>
      <c r="R10">
        <f t="shared" si="0"/>
        <v>2.3250000000000002</v>
      </c>
      <c r="S10">
        <f t="shared" si="1"/>
        <v>-0.8</v>
      </c>
      <c r="T10">
        <f t="shared" si="2"/>
        <v>3.125</v>
      </c>
    </row>
    <row r="11" spans="3:20">
      <c r="C11" s="26" t="s">
        <v>151</v>
      </c>
      <c r="D11" s="9" t="s">
        <v>152</v>
      </c>
      <c r="E11" s="10"/>
      <c r="F11" s="10"/>
      <c r="G11" s="10"/>
      <c r="H11" s="10"/>
      <c r="I11" s="10"/>
      <c r="J11" s="18"/>
      <c r="K11" s="18"/>
      <c r="M11" s="7"/>
      <c r="Q11">
        <v>1.2</v>
      </c>
      <c r="R11">
        <f t="shared" si="0"/>
        <v>1.8849999999999996</v>
      </c>
      <c r="S11">
        <f t="shared" si="1"/>
        <v>-0.76</v>
      </c>
      <c r="T11">
        <f t="shared" si="2"/>
        <v>2.6449999999999996</v>
      </c>
    </row>
    <row r="12" spans="3:20">
      <c r="C12" s="27"/>
      <c r="D12" s="8" t="s">
        <v>153</v>
      </c>
      <c r="E12" s="11"/>
      <c r="F12" s="11"/>
      <c r="G12" s="11"/>
      <c r="H12" s="11"/>
      <c r="I12" s="11"/>
      <c r="J12" s="17"/>
      <c r="K12" s="17"/>
      <c r="L12" s="11"/>
      <c r="M12" s="12"/>
      <c r="Q12">
        <v>1.4</v>
      </c>
      <c r="R12">
        <f t="shared" si="0"/>
        <v>1.4850000000000001</v>
      </c>
      <c r="S12">
        <f t="shared" si="1"/>
        <v>-0.72</v>
      </c>
      <c r="T12">
        <f t="shared" si="2"/>
        <v>2.2050000000000001</v>
      </c>
    </row>
    <row r="13" spans="3:20">
      <c r="Q13">
        <v>1.6</v>
      </c>
      <c r="R13">
        <f t="shared" si="0"/>
        <v>1.125</v>
      </c>
      <c r="S13">
        <f t="shared" si="1"/>
        <v>-0.67999999999999994</v>
      </c>
      <c r="T13">
        <f t="shared" si="2"/>
        <v>1.8049999999999999</v>
      </c>
    </row>
    <row r="14" spans="3:20">
      <c r="Q14">
        <v>1.8</v>
      </c>
      <c r="R14">
        <f t="shared" si="0"/>
        <v>0.80499999999999983</v>
      </c>
      <c r="S14">
        <f t="shared" si="1"/>
        <v>-0.64</v>
      </c>
      <c r="T14">
        <f t="shared" si="2"/>
        <v>1.4449999999999998</v>
      </c>
    </row>
    <row r="15" spans="3:20">
      <c r="Q15">
        <v>2</v>
      </c>
      <c r="R15">
        <f t="shared" si="0"/>
        <v>0.52500000000000002</v>
      </c>
      <c r="S15">
        <f t="shared" si="1"/>
        <v>-0.6</v>
      </c>
      <c r="T15">
        <f t="shared" si="2"/>
        <v>1.125</v>
      </c>
    </row>
    <row r="16" spans="3:20">
      <c r="Q16">
        <v>2.2000000000000002</v>
      </c>
      <c r="R16">
        <f t="shared" si="0"/>
        <v>0.28499999999999981</v>
      </c>
      <c r="S16">
        <f t="shared" si="1"/>
        <v>-0.55999999999999994</v>
      </c>
      <c r="T16">
        <f t="shared" si="2"/>
        <v>0.84499999999999975</v>
      </c>
    </row>
    <row r="17" spans="17:21">
      <c r="Q17">
        <v>2.4</v>
      </c>
      <c r="R17">
        <f t="shared" si="0"/>
        <v>8.5000000000000075E-2</v>
      </c>
      <c r="S17">
        <f t="shared" si="1"/>
        <v>-0.52</v>
      </c>
      <c r="T17">
        <f t="shared" si="2"/>
        <v>0.60500000000000009</v>
      </c>
    </row>
    <row r="18" spans="17:21">
      <c r="Q18">
        <v>2.6</v>
      </c>
      <c r="R18">
        <f t="shared" si="0"/>
        <v>-7.5000000000000067E-2</v>
      </c>
      <c r="S18">
        <f t="shared" si="1"/>
        <v>-0.48</v>
      </c>
      <c r="T18">
        <f t="shared" si="2"/>
        <v>0.40499999999999992</v>
      </c>
    </row>
    <row r="19" spans="17:21">
      <c r="Q19">
        <v>2.8</v>
      </c>
      <c r="R19">
        <f t="shared" si="0"/>
        <v>-0.19499999999999992</v>
      </c>
      <c r="S19">
        <f t="shared" si="1"/>
        <v>-0.44000000000000006</v>
      </c>
      <c r="T19">
        <f t="shared" si="2"/>
        <v>0.24500000000000013</v>
      </c>
    </row>
    <row r="20" spans="17:21">
      <c r="Q20">
        <v>3</v>
      </c>
      <c r="R20">
        <f t="shared" si="0"/>
        <v>-0.27500000000000002</v>
      </c>
      <c r="S20">
        <f t="shared" si="1"/>
        <v>-0.4</v>
      </c>
      <c r="T20">
        <f t="shared" si="2"/>
        <v>0.125</v>
      </c>
    </row>
    <row r="21" spans="17:21">
      <c r="Q21">
        <v>3.2</v>
      </c>
      <c r="R21">
        <f t="shared" si="0"/>
        <v>-0.31500000000000006</v>
      </c>
      <c r="S21">
        <f t="shared" si="1"/>
        <v>-0.36</v>
      </c>
      <c r="T21">
        <f t="shared" si="2"/>
        <v>4.499999999999995E-2</v>
      </c>
    </row>
    <row r="22" spans="17:21">
      <c r="Q22">
        <v>3.4</v>
      </c>
      <c r="R22">
        <f t="shared" si="0"/>
        <v>-0.31500000000000006</v>
      </c>
      <c r="S22">
        <f t="shared" si="1"/>
        <v>-0.32000000000000006</v>
      </c>
      <c r="T22">
        <f t="shared" si="2"/>
        <v>5.0000000000000088E-3</v>
      </c>
    </row>
    <row r="23" spans="17:21">
      <c r="Q23">
        <v>3.6</v>
      </c>
      <c r="R23">
        <f t="shared" si="0"/>
        <v>-0.27500000000000002</v>
      </c>
      <c r="S23">
        <f t="shared" si="1"/>
        <v>-0.28000000000000003</v>
      </c>
      <c r="T23">
        <f t="shared" si="2"/>
        <v>5.0000000000000088E-3</v>
      </c>
    </row>
    <row r="24" spans="17:21">
      <c r="Q24">
        <v>3.8</v>
      </c>
      <c r="R24">
        <f t="shared" si="0"/>
        <v>-0.19500000000000003</v>
      </c>
      <c r="S24">
        <f t="shared" si="1"/>
        <v>-0.24</v>
      </c>
      <c r="T24">
        <f t="shared" si="2"/>
        <v>4.499999999999995E-2</v>
      </c>
    </row>
    <row r="25" spans="17:21">
      <c r="Q25">
        <v>4</v>
      </c>
      <c r="R25">
        <f t="shared" si="0"/>
        <v>-7.4999999999999956E-2</v>
      </c>
      <c r="S25">
        <f t="shared" si="1"/>
        <v>-0.19999999999999996</v>
      </c>
      <c r="T25">
        <f t="shared" si="2"/>
        <v>0.125</v>
      </c>
    </row>
    <row r="26" spans="17:21">
      <c r="Q26">
        <v>4.2</v>
      </c>
      <c r="R26">
        <f t="shared" si="0"/>
        <v>8.5000000000000214E-2</v>
      </c>
      <c r="S26">
        <f t="shared" si="1"/>
        <v>-0.15999999999999992</v>
      </c>
      <c r="T26">
        <f t="shared" si="2"/>
        <v>0.24500000000000013</v>
      </c>
    </row>
    <row r="27" spans="17:21">
      <c r="Q27">
        <v>4.4000000000000004</v>
      </c>
      <c r="R27">
        <f t="shared" si="0"/>
        <v>0.28500000000000042</v>
      </c>
      <c r="S27">
        <f t="shared" si="1"/>
        <v>-0.11999999999999988</v>
      </c>
      <c r="T27">
        <f t="shared" si="2"/>
        <v>0.4050000000000003</v>
      </c>
    </row>
    <row r="28" spans="17:21">
      <c r="Q28">
        <v>4.5999999999999996</v>
      </c>
      <c r="R28">
        <f t="shared" si="0"/>
        <v>0.52499999999999958</v>
      </c>
      <c r="S28">
        <f t="shared" si="1"/>
        <v>-8.0000000000000071E-2</v>
      </c>
      <c r="T28">
        <f t="shared" si="2"/>
        <v>0.60499999999999965</v>
      </c>
    </row>
    <row r="29" spans="17:21">
      <c r="Q29">
        <v>4.8</v>
      </c>
      <c r="R29">
        <f t="shared" si="0"/>
        <v>0.80499999999999972</v>
      </c>
      <c r="S29">
        <f t="shared" si="1"/>
        <v>-4.0000000000000036E-2</v>
      </c>
      <c r="T29">
        <f t="shared" si="2"/>
        <v>0.84499999999999975</v>
      </c>
    </row>
    <row r="30" spans="17:21">
      <c r="Q30">
        <v>5</v>
      </c>
      <c r="R30">
        <f t="shared" si="0"/>
        <v>0.97499999999999998</v>
      </c>
      <c r="S30">
        <f t="shared" si="1"/>
        <v>0</v>
      </c>
      <c r="T30">
        <f t="shared" si="2"/>
        <v>1.125</v>
      </c>
      <c r="U30">
        <v>-0.15</v>
      </c>
    </row>
    <row r="31" spans="17:21">
      <c r="Q31">
        <v>5.2</v>
      </c>
      <c r="R31">
        <f t="shared" si="0"/>
        <v>0.96777442494833821</v>
      </c>
      <c r="T31">
        <f t="shared" si="2"/>
        <v>1.4450000000000003</v>
      </c>
      <c r="U31">
        <f t="shared" ref="U31:U40" si="3">-SQRT(Q31-4)*5+5</f>
        <v>-0.47722557505166208</v>
      </c>
    </row>
    <row r="32" spans="17:21">
      <c r="Q32">
        <v>5.4</v>
      </c>
      <c r="R32">
        <f t="shared" si="0"/>
        <v>0.88892021690038359</v>
      </c>
      <c r="T32">
        <f t="shared" si="2"/>
        <v>1.8050000000000006</v>
      </c>
      <c r="U32">
        <f t="shared" si="3"/>
        <v>-0.91607978309961702</v>
      </c>
    </row>
    <row r="33" spans="17:21">
      <c r="Q33">
        <v>5.6</v>
      </c>
      <c r="R33">
        <f>SUM(S33:U33)</f>
        <v>0.88044467966324103</v>
      </c>
      <c r="T33">
        <f t="shared" si="2"/>
        <v>2.2049999999999992</v>
      </c>
      <c r="U33">
        <f t="shared" si="3"/>
        <v>-1.3245553203367582</v>
      </c>
    </row>
    <row r="34" spans="17:21">
      <c r="Q34">
        <v>5.8</v>
      </c>
      <c r="R34">
        <f t="shared" si="0"/>
        <v>0.93679606750063016</v>
      </c>
      <c r="T34">
        <f t="shared" si="2"/>
        <v>2.6449999999999996</v>
      </c>
      <c r="U34">
        <f t="shared" si="3"/>
        <v>-1.7082039324993694</v>
      </c>
    </row>
    <row r="35" spans="17:21">
      <c r="Q35">
        <v>6</v>
      </c>
      <c r="R35">
        <f t="shared" si="0"/>
        <v>1.0539321881345245</v>
      </c>
      <c r="T35">
        <f t="shared" si="2"/>
        <v>3.125</v>
      </c>
      <c r="U35">
        <f t="shared" si="3"/>
        <v>-2.0710678118654755</v>
      </c>
    </row>
    <row r="36" spans="17:21">
      <c r="Q36">
        <v>6.2</v>
      </c>
      <c r="R36">
        <f t="shared" si="0"/>
        <v>1.2288015129043375</v>
      </c>
      <c r="T36">
        <f t="shared" si="2"/>
        <v>3.6450000000000005</v>
      </c>
      <c r="U36">
        <f t="shared" si="3"/>
        <v>-2.416198487095663</v>
      </c>
    </row>
    <row r="37" spans="17:21">
      <c r="Q37">
        <v>6.4</v>
      </c>
      <c r="R37">
        <f t="shared" si="0"/>
        <v>1.4590333075851669</v>
      </c>
      <c r="T37">
        <f t="shared" si="2"/>
        <v>4.205000000000001</v>
      </c>
      <c r="U37">
        <f t="shared" si="3"/>
        <v>-2.745966692414834</v>
      </c>
    </row>
    <row r="38" spans="17:21">
      <c r="Q38">
        <v>6.6</v>
      </c>
      <c r="R38">
        <f t="shared" si="0"/>
        <v>1.7427422517014497</v>
      </c>
      <c r="T38">
        <f t="shared" si="2"/>
        <v>4.8049999999999988</v>
      </c>
      <c r="U38">
        <f t="shared" si="3"/>
        <v>-3.0622577482985491</v>
      </c>
    </row>
    <row r="39" spans="17:21">
      <c r="Q39">
        <v>6.8</v>
      </c>
      <c r="R39">
        <f t="shared" si="0"/>
        <v>2.0783997346592438</v>
      </c>
      <c r="T39">
        <f t="shared" si="2"/>
        <v>5.4449999999999994</v>
      </c>
      <c r="U39">
        <f t="shared" si="3"/>
        <v>-3.3666002653407556</v>
      </c>
    </row>
    <row r="40" spans="17:21">
      <c r="Q40">
        <v>7</v>
      </c>
      <c r="R40">
        <f t="shared" si="0"/>
        <v>2.4647459621556145</v>
      </c>
      <c r="T40">
        <f t="shared" si="2"/>
        <v>6.125</v>
      </c>
      <c r="U40">
        <f t="shared" si="3"/>
        <v>-3.6602540378443855</v>
      </c>
    </row>
    <row r="41" spans="17:21">
      <c r="Q41">
        <v>7.2</v>
      </c>
    </row>
    <row r="42" spans="17:21">
      <c r="Q42">
        <v>7.4</v>
      </c>
    </row>
    <row r="43" spans="17:21">
      <c r="Q43">
        <v>7.6</v>
      </c>
    </row>
    <row r="44" spans="17:21">
      <c r="Q44">
        <v>7.8</v>
      </c>
    </row>
    <row r="45" spans="17:21">
      <c r="Q45">
        <v>8</v>
      </c>
    </row>
    <row r="46" spans="17:21">
      <c r="Q46">
        <v>8.1999999999999993</v>
      </c>
    </row>
    <row r="47" spans="17:21">
      <c r="Q47">
        <v>8.4</v>
      </c>
    </row>
    <row r="48" spans="17:21">
      <c r="Q48">
        <v>8.6</v>
      </c>
    </row>
    <row r="49" spans="17:17">
      <c r="Q49">
        <v>8.8000000000000007</v>
      </c>
    </row>
    <row r="50" spans="17:17">
      <c r="Q50">
        <v>9</v>
      </c>
    </row>
    <row r="51" spans="17:17">
      <c r="Q51">
        <v>9.2000000000000099</v>
      </c>
    </row>
    <row r="52" spans="17:17">
      <c r="Q52">
        <v>9.4000000000000092</v>
      </c>
    </row>
    <row r="53" spans="17:17">
      <c r="Q53">
        <v>9.6000000000000103</v>
      </c>
    </row>
    <row r="54" spans="17:17">
      <c r="Q54">
        <v>9.8000000000000096</v>
      </c>
    </row>
    <row r="55" spans="17:17">
      <c r="Q55">
        <v>10</v>
      </c>
    </row>
  </sheetData>
  <mergeCells count="5">
    <mergeCell ref="C7:C8"/>
    <mergeCell ref="C9:C10"/>
    <mergeCell ref="C11:C12"/>
    <mergeCell ref="C4:D4"/>
    <mergeCell ref="E4:M4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山下 裕太郎</dc:creator>
  <cp:lastModifiedBy>yamashi.y@keio.jp</cp:lastModifiedBy>
  <dcterms:created xsi:type="dcterms:W3CDTF">2025-04-25T06:38:23Z</dcterms:created>
  <dcterms:modified xsi:type="dcterms:W3CDTF">2026-01-15T04:35:07Z</dcterms:modified>
</cp:coreProperties>
</file>