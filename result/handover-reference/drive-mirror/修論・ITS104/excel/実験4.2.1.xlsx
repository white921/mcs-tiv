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mashi/Documents/研究パワポ/修論評価データ/"/>
    </mc:Choice>
  </mc:AlternateContent>
  <xr:revisionPtr revIDLastSave="0" documentId="13_ncr:1_{4B2F01C2-CF49-F242-B77A-71DA40D71EA3}" xr6:coauthVersionLast="47" xr6:coauthVersionMax="47" xr10:uidLastSave="{00000000-0000-0000-0000-000000000000}"/>
  <bookViews>
    <workbookView xWindow="2100" yWindow="1400" windowWidth="26700" windowHeight="14560" activeTab="5" xr2:uid="{C5CA4C6E-6361-2F40-A2A3-1A2A3BC48401}"/>
  </bookViews>
  <sheets>
    <sheet name="seed1" sheetId="1" r:id="rId1"/>
    <sheet name="seed2" sheetId="3" r:id="rId2"/>
    <sheet name="seed3" sheetId="4" r:id="rId3"/>
    <sheet name="seed4" sheetId="5" r:id="rId4"/>
    <sheet name="seed5" sheetId="6" r:id="rId5"/>
    <sheet name="平均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2" l="1"/>
  <c r="P8" i="2"/>
  <c r="O8" i="2"/>
  <c r="N8" i="2"/>
  <c r="M8" i="2"/>
  <c r="L8" i="2"/>
  <c r="Q7" i="2"/>
  <c r="P7" i="2"/>
  <c r="O7" i="2"/>
  <c r="N7" i="2"/>
  <c r="M7" i="2"/>
  <c r="L7" i="2"/>
  <c r="Q6" i="2"/>
  <c r="P6" i="2"/>
  <c r="O6" i="2"/>
  <c r="N6" i="2"/>
  <c r="M6" i="2"/>
  <c r="L6" i="2"/>
  <c r="Q5" i="2"/>
  <c r="P5" i="2"/>
  <c r="O5" i="2"/>
  <c r="N5" i="2"/>
  <c r="M5" i="2"/>
  <c r="L5" i="2"/>
  <c r="H18" i="2"/>
  <c r="G18" i="2"/>
  <c r="F18" i="2"/>
  <c r="E18" i="2"/>
  <c r="D18" i="2"/>
  <c r="C18" i="2"/>
  <c r="H17" i="2"/>
  <c r="G17" i="2"/>
  <c r="F17" i="2"/>
  <c r="E17" i="2"/>
  <c r="D17" i="2"/>
  <c r="C17" i="2"/>
  <c r="H16" i="2"/>
  <c r="G16" i="2"/>
  <c r="F16" i="2"/>
  <c r="E16" i="2"/>
  <c r="D16" i="2"/>
  <c r="C16" i="2"/>
  <c r="H15" i="2"/>
  <c r="G15" i="2"/>
  <c r="F15" i="2"/>
  <c r="E15" i="2"/>
  <c r="D15" i="2"/>
  <c r="C15" i="2"/>
  <c r="C6" i="2"/>
  <c r="D6" i="2"/>
  <c r="E6" i="2"/>
  <c r="F6" i="2"/>
  <c r="G6" i="2"/>
  <c r="H6" i="2"/>
  <c r="C7" i="2"/>
  <c r="D7" i="2"/>
  <c r="E7" i="2"/>
  <c r="F7" i="2"/>
  <c r="G7" i="2"/>
  <c r="H7" i="2"/>
  <c r="C8" i="2"/>
  <c r="D8" i="2"/>
  <c r="E8" i="2"/>
  <c r="F8" i="2"/>
  <c r="G8" i="2"/>
  <c r="H8" i="2"/>
  <c r="D5" i="2"/>
  <c r="D10" i="2" s="1"/>
  <c r="E5" i="2"/>
  <c r="E10" i="2" s="1"/>
  <c r="F5" i="2"/>
  <c r="F10" i="2" s="1"/>
  <c r="G5" i="2"/>
  <c r="G10" i="2" s="1"/>
  <c r="H5" i="2"/>
  <c r="H10" i="2" s="1"/>
  <c r="C5" i="2"/>
  <c r="C10" i="2" s="1"/>
  <c r="H20" i="2" l="1"/>
  <c r="G20" i="2"/>
  <c r="F20" i="2"/>
  <c r="E20" i="2"/>
  <c r="D20" i="2"/>
  <c r="C20" i="2"/>
  <c r="Q10" i="2"/>
  <c r="P10" i="2"/>
  <c r="O10" i="2"/>
  <c r="N10" i="2"/>
  <c r="M10" i="2"/>
  <c r="L10" i="2"/>
</calcChain>
</file>

<file path=xl/sharedStrings.xml><?xml version="1.0" encoding="utf-8"?>
<sst xmlns="http://schemas.openxmlformats.org/spreadsheetml/2006/main" count="166" uniqueCount="13">
  <si>
    <t>400/400/400</t>
    <phoneticPr fontId="1"/>
  </si>
  <si>
    <t>直進</t>
    <rPh sb="0" eb="2">
      <t>チョク</t>
    </rPh>
    <phoneticPr fontId="1"/>
  </si>
  <si>
    <t>右折</t>
    <rPh sb="0" eb="2">
      <t>ウセテゥ</t>
    </rPh>
    <phoneticPr fontId="1"/>
  </si>
  <si>
    <t>合計</t>
    <rPh sb="0" eb="2">
      <t>ゴウケイ</t>
    </rPh>
    <phoneticPr fontId="1"/>
  </si>
  <si>
    <t>既存</t>
    <rPh sb="0" eb="2">
      <t>キゾn</t>
    </rPh>
    <phoneticPr fontId="1"/>
  </si>
  <si>
    <t>提案</t>
    <rPh sb="0" eb="2">
      <t>テイアn</t>
    </rPh>
    <phoneticPr fontId="1"/>
  </si>
  <si>
    <t>全て受け入れ</t>
    <rPh sb="0" eb="1">
      <t>スベテ</t>
    </rPh>
    <rPh sb="2" eb="3">
      <t>ウケイレ</t>
    </rPh>
    <phoneticPr fontId="1"/>
  </si>
  <si>
    <t>道交法</t>
    <rPh sb="0" eb="3">
      <t>ドウコウホウ</t>
    </rPh>
    <phoneticPr fontId="1"/>
  </si>
  <si>
    <t>600/300/600</t>
    <phoneticPr fontId="1"/>
  </si>
  <si>
    <t>交差点前_平均</t>
    <rPh sb="0" eb="4">
      <t>コウサ</t>
    </rPh>
    <rPh sb="5" eb="7">
      <t>ヘイキn</t>
    </rPh>
    <phoneticPr fontId="1"/>
  </si>
  <si>
    <t>600/600/600</t>
    <phoneticPr fontId="1"/>
  </si>
  <si>
    <t>120s</t>
    <phoneticPr fontId="1"/>
  </si>
  <si>
    <t>左折</t>
    <rPh sb="0" eb="1">
      <t>サセテゥ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</si>
</sst>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C0DCA-A601-9A40-AA76-DC09B9D4CE52}">
  <dimension ref="B2:Q18"/>
  <sheetViews>
    <sheetView workbookViewId="0">
      <selection activeCell="K5" sqref="K5:K7"/>
    </sheetView>
  </sheetViews>
  <sheetFormatPr baseColWidth="10" defaultRowHeight="20"/>
  <sheetData>
    <row r="2" spans="2:17">
      <c r="B2" t="s">
        <v>0</v>
      </c>
      <c r="D2" t="s">
        <v>11</v>
      </c>
      <c r="K2" t="s">
        <v>10</v>
      </c>
    </row>
    <row r="3" spans="2:17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</row>
    <row r="4" spans="2:17">
      <c r="C4" t="s">
        <v>6</v>
      </c>
      <c r="D4" t="s">
        <v>7</v>
      </c>
      <c r="E4" s="1">
        <v>0.2</v>
      </c>
      <c r="F4" s="1">
        <v>0.4</v>
      </c>
      <c r="G4" t="s">
        <v>4</v>
      </c>
      <c r="H4" t="s">
        <v>5</v>
      </c>
      <c r="L4" t="s">
        <v>6</v>
      </c>
      <c r="M4" t="s">
        <v>7</v>
      </c>
      <c r="N4" s="1">
        <v>0.2</v>
      </c>
      <c r="O4" s="1">
        <v>0.4</v>
      </c>
      <c r="P4" t="s">
        <v>4</v>
      </c>
      <c r="Q4" t="s">
        <v>5</v>
      </c>
    </row>
    <row r="5" spans="2:17">
      <c r="B5" t="s">
        <v>12</v>
      </c>
      <c r="C5">
        <v>5.8856000000000002</v>
      </c>
      <c r="D5">
        <v>3.2997000000000001</v>
      </c>
      <c r="E5">
        <v>5.8146000000000004</v>
      </c>
      <c r="F5">
        <v>6.1801000000000004</v>
      </c>
      <c r="G5">
        <v>6.3742000000000001</v>
      </c>
      <c r="H5">
        <v>6.0179</v>
      </c>
      <c r="K5" t="s">
        <v>12</v>
      </c>
      <c r="L5">
        <v>5.7138999999999998</v>
      </c>
      <c r="M5">
        <v>5.4055</v>
      </c>
      <c r="N5">
        <v>5.3319999999999999</v>
      </c>
      <c r="O5">
        <v>5.3098999999999998</v>
      </c>
      <c r="P5">
        <v>5.6787999999999998</v>
      </c>
      <c r="Q5">
        <v>5.7946999999999997</v>
      </c>
    </row>
    <row r="6" spans="2:17">
      <c r="B6" t="s">
        <v>2</v>
      </c>
      <c r="C6">
        <v>6.5444000000000004</v>
      </c>
      <c r="D6">
        <v>3.8942000000000001</v>
      </c>
      <c r="E6">
        <v>6.2912999999999997</v>
      </c>
      <c r="F6">
        <v>6.3182</v>
      </c>
      <c r="G6">
        <v>6.1844000000000001</v>
      </c>
      <c r="H6">
        <v>6.1561000000000003</v>
      </c>
      <c r="K6" t="s">
        <v>2</v>
      </c>
      <c r="L6">
        <v>4.2817999999999996</v>
      </c>
      <c r="M6">
        <v>5.3322000000000003</v>
      </c>
      <c r="N6">
        <v>5.8348000000000004</v>
      </c>
      <c r="O6">
        <v>5.9245999999999999</v>
      </c>
      <c r="P6">
        <v>6.3476999999999997</v>
      </c>
      <c r="Q6">
        <v>5.9490999999999996</v>
      </c>
    </row>
    <row r="7" spans="2:17">
      <c r="B7" t="s">
        <v>1</v>
      </c>
      <c r="C7">
        <v>5.8856000000000002</v>
      </c>
      <c r="D7">
        <v>5.9257999999999997</v>
      </c>
      <c r="E7">
        <v>9.5980000000000008</v>
      </c>
      <c r="F7">
        <v>9.6476000000000006</v>
      </c>
      <c r="G7">
        <v>8.6252999999999993</v>
      </c>
      <c r="H7">
        <v>9.2995000000000001</v>
      </c>
      <c r="K7" t="s">
        <v>1</v>
      </c>
      <c r="L7">
        <v>4.8733000000000004</v>
      </c>
      <c r="M7">
        <v>8.2904999999999998</v>
      </c>
      <c r="N7">
        <v>6.8261000000000003</v>
      </c>
      <c r="O7">
        <v>6.7739000000000003</v>
      </c>
      <c r="P7">
        <v>6.7012999999999998</v>
      </c>
      <c r="Q7">
        <v>7.0022000000000002</v>
      </c>
    </row>
    <row r="8" spans="2:17">
      <c r="B8" t="s">
        <v>3</v>
      </c>
      <c r="C8">
        <v>8.2207000000000008</v>
      </c>
      <c r="D8">
        <v>5.3743999999999996</v>
      </c>
      <c r="E8">
        <v>8.4861000000000004</v>
      </c>
      <c r="F8">
        <v>8.6623000000000001</v>
      </c>
      <c r="G8">
        <v>8.3667999999999996</v>
      </c>
      <c r="H8">
        <v>8.2075999999999993</v>
      </c>
      <c r="K8" t="s">
        <v>3</v>
      </c>
      <c r="L8">
        <v>6.2953999999999999</v>
      </c>
      <c r="M8">
        <v>7.7693000000000003</v>
      </c>
      <c r="N8">
        <v>7.5331999999999999</v>
      </c>
      <c r="O8">
        <v>7.5903</v>
      </c>
      <c r="P8">
        <v>7.9181999999999997</v>
      </c>
      <c r="Q8">
        <v>7.9062999999999999</v>
      </c>
    </row>
    <row r="12" spans="2:17">
      <c r="B12" t="s">
        <v>8</v>
      </c>
    </row>
    <row r="13" spans="2:17">
      <c r="C13">
        <v>1</v>
      </c>
      <c r="D13">
        <v>2</v>
      </c>
      <c r="E13">
        <v>3</v>
      </c>
      <c r="F13">
        <v>4</v>
      </c>
      <c r="G13">
        <v>5</v>
      </c>
      <c r="H13">
        <v>6</v>
      </c>
    </row>
    <row r="14" spans="2:17">
      <c r="C14" t="s">
        <v>6</v>
      </c>
      <c r="D14" t="s">
        <v>7</v>
      </c>
      <c r="E14" s="1">
        <v>0.2</v>
      </c>
      <c r="F14" s="1">
        <v>0.4</v>
      </c>
      <c r="G14" t="s">
        <v>4</v>
      </c>
      <c r="H14" t="s">
        <v>5</v>
      </c>
    </row>
    <row r="15" spans="2:17">
      <c r="B15" t="s">
        <v>12</v>
      </c>
      <c r="C15">
        <v>6.2363999999999997</v>
      </c>
      <c r="D15">
        <v>4.7649999999999997</v>
      </c>
      <c r="E15">
        <v>5.5842000000000001</v>
      </c>
      <c r="F15">
        <v>5.9703999999999997</v>
      </c>
      <c r="G15">
        <v>5.8495999999999997</v>
      </c>
      <c r="H15">
        <v>6.0465999999999998</v>
      </c>
    </row>
    <row r="16" spans="2:17">
      <c r="B16" t="s">
        <v>2</v>
      </c>
      <c r="C16">
        <v>6.4229000000000003</v>
      </c>
      <c r="D16">
        <v>6.3757000000000001</v>
      </c>
      <c r="E16">
        <v>6.6607000000000003</v>
      </c>
      <c r="F16">
        <v>6.4819000000000004</v>
      </c>
      <c r="G16">
        <v>6.4786999999999999</v>
      </c>
      <c r="H16">
        <v>6.3331</v>
      </c>
    </row>
    <row r="17" spans="2:8">
      <c r="B17" t="s">
        <v>1</v>
      </c>
      <c r="C17">
        <v>7.2965</v>
      </c>
      <c r="D17">
        <v>6.8719999999999999</v>
      </c>
      <c r="E17">
        <v>5.9805000000000001</v>
      </c>
      <c r="F17">
        <v>8.5852000000000004</v>
      </c>
      <c r="G17">
        <v>7.3826000000000001</v>
      </c>
      <c r="H17">
        <v>8.3122000000000007</v>
      </c>
    </row>
    <row r="18" spans="2:8">
      <c r="B18" t="s">
        <v>3</v>
      </c>
      <c r="C18">
        <v>8.4136000000000006</v>
      </c>
      <c r="D18">
        <v>7.7609000000000004</v>
      </c>
      <c r="E18">
        <v>7.6928999999999998</v>
      </c>
      <c r="F18">
        <v>8.6452000000000009</v>
      </c>
      <c r="G18">
        <v>8.3268000000000004</v>
      </c>
      <c r="H18">
        <v>8.6303999999999998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2E1FA-5A64-FC49-89D7-8A2926DD93D2}">
  <dimension ref="B2:Q18"/>
  <sheetViews>
    <sheetView workbookViewId="0">
      <selection activeCell="K5" sqref="K5:K7"/>
    </sheetView>
  </sheetViews>
  <sheetFormatPr baseColWidth="10" defaultRowHeight="20"/>
  <sheetData>
    <row r="2" spans="2:17">
      <c r="B2" t="s">
        <v>0</v>
      </c>
      <c r="K2" t="s">
        <v>10</v>
      </c>
    </row>
    <row r="3" spans="2:17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</row>
    <row r="4" spans="2:17">
      <c r="C4" t="s">
        <v>6</v>
      </c>
      <c r="D4" t="s">
        <v>7</v>
      </c>
      <c r="E4" s="1">
        <v>0.2</v>
      </c>
      <c r="F4" s="1">
        <v>0.4</v>
      </c>
      <c r="G4" t="s">
        <v>4</v>
      </c>
      <c r="H4" t="s">
        <v>5</v>
      </c>
      <c r="L4" t="s">
        <v>6</v>
      </c>
      <c r="M4" t="s">
        <v>7</v>
      </c>
      <c r="N4" s="1">
        <v>0.2</v>
      </c>
      <c r="O4" s="1">
        <v>0.4</v>
      </c>
      <c r="P4" t="s">
        <v>4</v>
      </c>
      <c r="Q4" t="s">
        <v>5</v>
      </c>
    </row>
    <row r="5" spans="2:17">
      <c r="B5" t="s">
        <v>12</v>
      </c>
      <c r="C5">
        <v>6.6185999999999998</v>
      </c>
      <c r="D5">
        <v>5.8066000000000004</v>
      </c>
      <c r="E5">
        <v>5.8055000000000003</v>
      </c>
      <c r="F5">
        <v>6.8273000000000001</v>
      </c>
      <c r="G5">
        <v>6.8395999999999999</v>
      </c>
      <c r="H5">
        <v>5.8882000000000003</v>
      </c>
      <c r="K5" t="s">
        <v>12</v>
      </c>
      <c r="L5">
        <v>4.8311999999999999</v>
      </c>
      <c r="M5">
        <v>2.9956</v>
      </c>
      <c r="N5">
        <v>3.7648000000000001</v>
      </c>
      <c r="O5">
        <v>4.3860999999999999</v>
      </c>
      <c r="P5">
        <v>4.1742999999999997</v>
      </c>
      <c r="Q5">
        <v>4.0617000000000001</v>
      </c>
    </row>
    <row r="6" spans="2:17">
      <c r="B6" t="s">
        <v>2</v>
      </c>
      <c r="C6">
        <v>6.4428999999999998</v>
      </c>
      <c r="D6">
        <v>6.1081000000000003</v>
      </c>
      <c r="E6">
        <v>5.4236000000000004</v>
      </c>
      <c r="F6">
        <v>6.2939999999999996</v>
      </c>
      <c r="G6">
        <v>6.4504000000000001</v>
      </c>
      <c r="H6">
        <v>6.1994999999999996</v>
      </c>
      <c r="K6" t="s">
        <v>2</v>
      </c>
      <c r="L6">
        <v>4.5426000000000002</v>
      </c>
      <c r="M6">
        <v>2.2671000000000001</v>
      </c>
      <c r="N6">
        <v>3.5032999999999999</v>
      </c>
      <c r="O6">
        <v>3.8818000000000001</v>
      </c>
      <c r="P6">
        <v>3.9805999999999999</v>
      </c>
      <c r="Q6">
        <v>3.7502</v>
      </c>
    </row>
    <row r="7" spans="2:17">
      <c r="B7" t="s">
        <v>1</v>
      </c>
      <c r="C7">
        <v>7.6740000000000004</v>
      </c>
      <c r="D7">
        <v>9.7749000000000006</v>
      </c>
      <c r="E7">
        <v>9.0617000000000001</v>
      </c>
      <c r="F7">
        <v>8.7955000000000005</v>
      </c>
      <c r="G7">
        <v>7.9896000000000003</v>
      </c>
      <c r="H7">
        <v>8.6499000000000006</v>
      </c>
      <c r="K7" t="s">
        <v>1</v>
      </c>
      <c r="L7">
        <v>4.3913000000000002</v>
      </c>
      <c r="M7">
        <v>8.4147999999999996</v>
      </c>
      <c r="N7">
        <v>7.2515000000000001</v>
      </c>
      <c r="O7">
        <v>7.6702000000000004</v>
      </c>
      <c r="P7">
        <v>4.8445</v>
      </c>
      <c r="Q7">
        <v>6.8630000000000004</v>
      </c>
    </row>
    <row r="8" spans="2:17">
      <c r="B8" t="s">
        <v>3</v>
      </c>
      <c r="C8">
        <v>8.4784000000000006</v>
      </c>
      <c r="D8">
        <v>8.3755000000000006</v>
      </c>
      <c r="E8">
        <v>7.9089</v>
      </c>
      <c r="F8">
        <v>8.6638000000000002</v>
      </c>
      <c r="G8">
        <v>8.6495999999999995</v>
      </c>
      <c r="H8">
        <v>8.4220000000000006</v>
      </c>
      <c r="K8" t="s">
        <v>3</v>
      </c>
      <c r="L8">
        <v>5.9189999999999996</v>
      </c>
      <c r="M8">
        <v>5.6266999999999996</v>
      </c>
      <c r="N8">
        <v>6.2649999999999997</v>
      </c>
      <c r="O8">
        <v>6.8231999999999999</v>
      </c>
      <c r="P8">
        <v>5.8268000000000004</v>
      </c>
      <c r="Q8">
        <v>6.3391999999999999</v>
      </c>
    </row>
    <row r="12" spans="2:17">
      <c r="B12" t="s">
        <v>8</v>
      </c>
    </row>
    <row r="13" spans="2:17">
      <c r="C13">
        <v>1</v>
      </c>
      <c r="D13">
        <v>2</v>
      </c>
      <c r="E13">
        <v>3</v>
      </c>
      <c r="F13">
        <v>4</v>
      </c>
      <c r="G13">
        <v>5</v>
      </c>
      <c r="H13">
        <v>6</v>
      </c>
    </row>
    <row r="14" spans="2:17">
      <c r="C14" t="s">
        <v>6</v>
      </c>
      <c r="D14" t="s">
        <v>7</v>
      </c>
      <c r="E14" s="1">
        <v>0.2</v>
      </c>
      <c r="F14" s="1">
        <v>0.4</v>
      </c>
      <c r="G14" t="s">
        <v>4</v>
      </c>
      <c r="H14" t="s">
        <v>5</v>
      </c>
    </row>
    <row r="15" spans="2:17">
      <c r="B15" t="s">
        <v>12</v>
      </c>
      <c r="C15">
        <v>5.9005999999999998</v>
      </c>
      <c r="D15">
        <v>4.6117999999999997</v>
      </c>
      <c r="E15">
        <v>5.4926000000000004</v>
      </c>
      <c r="F15">
        <v>5.5972</v>
      </c>
      <c r="G15">
        <v>5.6566000000000001</v>
      </c>
      <c r="H15">
        <v>5.1417999999999999</v>
      </c>
    </row>
    <row r="16" spans="2:17">
      <c r="B16" t="s">
        <v>2</v>
      </c>
      <c r="C16">
        <v>5.9137000000000004</v>
      </c>
      <c r="D16">
        <v>5.6543999999999999</v>
      </c>
      <c r="E16">
        <v>6.4695</v>
      </c>
      <c r="F16">
        <v>5.8512000000000004</v>
      </c>
      <c r="G16">
        <v>5.8842999999999996</v>
      </c>
      <c r="H16">
        <v>6.5140000000000002</v>
      </c>
    </row>
    <row r="17" spans="2:8">
      <c r="B17" t="s">
        <v>1</v>
      </c>
      <c r="C17">
        <v>6.1345999999999998</v>
      </c>
      <c r="D17">
        <v>7.2896000000000001</v>
      </c>
      <c r="E17">
        <v>8.2798999999999996</v>
      </c>
      <c r="F17">
        <v>6.8611000000000004</v>
      </c>
      <c r="G17">
        <v>6.7013999999999996</v>
      </c>
      <c r="H17">
        <v>5.8844000000000003</v>
      </c>
    </row>
    <row r="18" spans="2:8">
      <c r="B18" t="s">
        <v>3</v>
      </c>
      <c r="C18">
        <v>7.6658999999999997</v>
      </c>
      <c r="D18">
        <v>7.5404</v>
      </c>
      <c r="E18">
        <v>8.5419</v>
      </c>
      <c r="F18">
        <v>7.8487</v>
      </c>
      <c r="G18">
        <v>7.7861000000000002</v>
      </c>
      <c r="H18">
        <v>7.3883000000000001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C853A-4F30-0142-AB97-3D14C1A4C950}">
  <dimension ref="B2:Q18"/>
  <sheetViews>
    <sheetView workbookViewId="0">
      <selection activeCell="K5" sqref="K5:K7"/>
    </sheetView>
  </sheetViews>
  <sheetFormatPr baseColWidth="10" defaultRowHeight="20"/>
  <sheetData>
    <row r="2" spans="2:17">
      <c r="B2" t="s">
        <v>0</v>
      </c>
      <c r="K2" t="s">
        <v>10</v>
      </c>
    </row>
    <row r="3" spans="2:17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</row>
    <row r="4" spans="2:17">
      <c r="C4" t="s">
        <v>6</v>
      </c>
      <c r="D4" t="s">
        <v>7</v>
      </c>
      <c r="E4" s="1">
        <v>0.2</v>
      </c>
      <c r="F4" s="1">
        <v>0.4</v>
      </c>
      <c r="G4" t="s">
        <v>4</v>
      </c>
      <c r="H4" t="s">
        <v>5</v>
      </c>
      <c r="L4" t="s">
        <v>6</v>
      </c>
      <c r="M4" t="s">
        <v>7</v>
      </c>
      <c r="N4" s="1">
        <v>0.2</v>
      </c>
      <c r="O4" s="1">
        <v>0.4</v>
      </c>
      <c r="P4" t="s">
        <v>4</v>
      </c>
      <c r="Q4" t="s">
        <v>5</v>
      </c>
    </row>
    <row r="5" spans="2:17">
      <c r="B5" t="s">
        <v>12</v>
      </c>
      <c r="C5">
        <v>6.3042999999999996</v>
      </c>
      <c r="D5">
        <v>5.9195000000000002</v>
      </c>
      <c r="E5">
        <v>5.5256999999999996</v>
      </c>
      <c r="F5">
        <v>5.8380999999999998</v>
      </c>
      <c r="G5">
        <v>6.1619999999999999</v>
      </c>
      <c r="H5">
        <v>5.9207999999999998</v>
      </c>
      <c r="K5" t="s">
        <v>12</v>
      </c>
      <c r="L5">
        <v>3.7618999999999998</v>
      </c>
      <c r="M5">
        <v>3.0834000000000001</v>
      </c>
      <c r="N5">
        <v>3.6015000000000001</v>
      </c>
      <c r="O5">
        <v>3.6707999999999998</v>
      </c>
      <c r="P5">
        <v>4.6695000000000002</v>
      </c>
      <c r="Q5">
        <v>4.9851999999999999</v>
      </c>
    </row>
    <row r="6" spans="2:17">
      <c r="B6" t="s">
        <v>2</v>
      </c>
      <c r="C6">
        <v>6.5743</v>
      </c>
      <c r="D6">
        <v>6.2461000000000002</v>
      </c>
      <c r="E6">
        <v>6.6996000000000002</v>
      </c>
      <c r="F6">
        <v>6.9165999999999999</v>
      </c>
      <c r="G6">
        <v>6.4980000000000002</v>
      </c>
      <c r="H6">
        <v>6.9969000000000001</v>
      </c>
      <c r="K6" t="s">
        <v>2</v>
      </c>
      <c r="L6">
        <v>5.2465999999999999</v>
      </c>
      <c r="M6">
        <v>4.2027000000000001</v>
      </c>
      <c r="N6">
        <v>4.2119</v>
      </c>
      <c r="O6">
        <v>5.1768000000000001</v>
      </c>
      <c r="P6">
        <v>5.0358000000000001</v>
      </c>
      <c r="Q6">
        <v>5.0231000000000003</v>
      </c>
    </row>
    <row r="7" spans="2:17">
      <c r="B7" t="s">
        <v>1</v>
      </c>
      <c r="C7">
        <v>8.6463000000000001</v>
      </c>
      <c r="D7">
        <v>9.6484000000000005</v>
      </c>
      <c r="E7">
        <v>9.2788000000000004</v>
      </c>
      <c r="F7">
        <v>9.7413000000000007</v>
      </c>
      <c r="G7">
        <v>8.5029000000000003</v>
      </c>
      <c r="H7">
        <v>8.3888999999999996</v>
      </c>
      <c r="K7" t="s">
        <v>1</v>
      </c>
      <c r="L7">
        <v>4.8707000000000003</v>
      </c>
      <c r="M7">
        <v>6.5270000000000001</v>
      </c>
      <c r="N7">
        <v>7.1388999999999996</v>
      </c>
      <c r="O7">
        <v>6.3193999999999999</v>
      </c>
      <c r="P7">
        <v>5.2758000000000003</v>
      </c>
      <c r="Q7">
        <v>5.2723000000000004</v>
      </c>
    </row>
    <row r="8" spans="2:17">
      <c r="B8" t="s">
        <v>3</v>
      </c>
      <c r="C8">
        <v>8.6954999999999991</v>
      </c>
      <c r="D8">
        <v>8.5921000000000003</v>
      </c>
      <c r="E8">
        <v>8.1140000000000008</v>
      </c>
      <c r="F8">
        <v>8.6438000000000006</v>
      </c>
      <c r="G8">
        <v>8.4616000000000007</v>
      </c>
      <c r="H8">
        <v>8.4397000000000002</v>
      </c>
      <c r="K8" t="s">
        <v>3</v>
      </c>
      <c r="L8">
        <v>5.8109000000000002</v>
      </c>
      <c r="M8">
        <v>5.4351000000000003</v>
      </c>
      <c r="N8">
        <v>5.9336000000000002</v>
      </c>
      <c r="O8">
        <v>6.1098999999999997</v>
      </c>
      <c r="P8">
        <v>6.4549000000000003</v>
      </c>
      <c r="Q8">
        <v>6.6455000000000002</v>
      </c>
    </row>
    <row r="12" spans="2:17">
      <c r="B12" t="s">
        <v>8</v>
      </c>
    </row>
    <row r="13" spans="2:17">
      <c r="C13">
        <v>1</v>
      </c>
      <c r="D13">
        <v>2</v>
      </c>
      <c r="E13">
        <v>3</v>
      </c>
      <c r="F13">
        <v>4</v>
      </c>
      <c r="G13">
        <v>5</v>
      </c>
      <c r="H13">
        <v>6</v>
      </c>
    </row>
    <row r="14" spans="2:17">
      <c r="C14" t="s">
        <v>6</v>
      </c>
      <c r="D14" t="s">
        <v>7</v>
      </c>
      <c r="E14" s="1">
        <v>0.2</v>
      </c>
      <c r="F14" s="1">
        <v>0.4</v>
      </c>
      <c r="G14" t="s">
        <v>4</v>
      </c>
      <c r="H14" t="s">
        <v>5</v>
      </c>
    </row>
    <row r="15" spans="2:17">
      <c r="B15" t="s">
        <v>12</v>
      </c>
      <c r="C15">
        <v>4.7342000000000004</v>
      </c>
      <c r="D15">
        <v>5.3650000000000002</v>
      </c>
      <c r="E15">
        <v>5.0404</v>
      </c>
      <c r="F15">
        <v>5.4885000000000002</v>
      </c>
      <c r="G15">
        <v>5.3414999999999999</v>
      </c>
      <c r="H15">
        <v>5.5799000000000003</v>
      </c>
    </row>
    <row r="16" spans="2:17">
      <c r="B16" t="s">
        <v>2</v>
      </c>
      <c r="C16">
        <v>5.7507000000000001</v>
      </c>
      <c r="D16">
        <v>5.7119999999999997</v>
      </c>
      <c r="E16">
        <v>6.7294999999999998</v>
      </c>
      <c r="F16">
        <v>6.2973999999999997</v>
      </c>
      <c r="G16">
        <v>5.73</v>
      </c>
      <c r="H16">
        <v>6.1859000000000002</v>
      </c>
    </row>
    <row r="17" spans="2:8">
      <c r="B17" t="s">
        <v>1</v>
      </c>
      <c r="C17">
        <v>5.4378000000000002</v>
      </c>
      <c r="D17">
        <v>7.7004999999999999</v>
      </c>
      <c r="E17">
        <v>7.3213999999999997</v>
      </c>
      <c r="F17">
        <v>7.2599</v>
      </c>
      <c r="G17">
        <v>6.4882999999999997</v>
      </c>
      <c r="H17">
        <v>7.0025000000000004</v>
      </c>
    </row>
    <row r="18" spans="2:8">
      <c r="B18" t="s">
        <v>3</v>
      </c>
      <c r="C18">
        <v>6.6859999999999999</v>
      </c>
      <c r="D18">
        <v>7.6494999999999997</v>
      </c>
      <c r="E18">
        <v>7.6143000000000001</v>
      </c>
      <c r="F18">
        <v>7.6214000000000004</v>
      </c>
      <c r="G18">
        <v>7.3327</v>
      </c>
      <c r="H18">
        <v>7.7485999999999997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017C4-1E43-E849-AB0D-366E9D84A596}">
  <dimension ref="B2:Q18"/>
  <sheetViews>
    <sheetView workbookViewId="0">
      <selection activeCell="K5" sqref="K5:K7"/>
    </sheetView>
  </sheetViews>
  <sheetFormatPr baseColWidth="10" defaultRowHeight="20"/>
  <sheetData>
    <row r="2" spans="2:17">
      <c r="B2" t="s">
        <v>0</v>
      </c>
      <c r="K2" t="s">
        <v>10</v>
      </c>
    </row>
    <row r="3" spans="2:17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</row>
    <row r="4" spans="2:17">
      <c r="C4" t="s">
        <v>6</v>
      </c>
      <c r="D4" t="s">
        <v>7</v>
      </c>
      <c r="E4" s="1">
        <v>0.2</v>
      </c>
      <c r="F4" s="1">
        <v>0.4</v>
      </c>
      <c r="G4" t="s">
        <v>4</v>
      </c>
      <c r="H4" t="s">
        <v>5</v>
      </c>
      <c r="L4" t="s">
        <v>6</v>
      </c>
      <c r="M4" t="s">
        <v>7</v>
      </c>
      <c r="N4" s="1">
        <v>0.2</v>
      </c>
      <c r="O4" s="1">
        <v>0.4</v>
      </c>
      <c r="P4" t="s">
        <v>4</v>
      </c>
      <c r="Q4" t="s">
        <v>5</v>
      </c>
    </row>
    <row r="5" spans="2:17">
      <c r="B5" t="s">
        <v>12</v>
      </c>
      <c r="C5">
        <v>6.7962999999999996</v>
      </c>
      <c r="D5">
        <v>4.2556000000000003</v>
      </c>
      <c r="E5">
        <v>5.0796000000000001</v>
      </c>
      <c r="F5">
        <v>6.1242999999999999</v>
      </c>
      <c r="G5">
        <v>6.1257000000000001</v>
      </c>
      <c r="H5">
        <v>6.2316000000000003</v>
      </c>
      <c r="K5" t="s">
        <v>12</v>
      </c>
      <c r="L5">
        <v>4.7126000000000001</v>
      </c>
      <c r="M5">
        <v>2.9584000000000001</v>
      </c>
      <c r="N5">
        <v>2.9859</v>
      </c>
      <c r="O5">
        <v>3.0914000000000001</v>
      </c>
      <c r="P5">
        <v>3.2806999999999999</v>
      </c>
      <c r="Q5">
        <v>4.6748000000000003</v>
      </c>
    </row>
    <row r="6" spans="2:17">
      <c r="B6" t="s">
        <v>2</v>
      </c>
      <c r="C6">
        <v>5.4305000000000003</v>
      </c>
      <c r="D6">
        <v>5.3993000000000002</v>
      </c>
      <c r="E6">
        <v>6.2157999999999998</v>
      </c>
      <c r="F6">
        <v>6.1246999999999998</v>
      </c>
      <c r="G6">
        <v>6.2594000000000003</v>
      </c>
      <c r="H6">
        <v>6.1136999999999997</v>
      </c>
      <c r="K6" t="s">
        <v>2</v>
      </c>
      <c r="L6">
        <v>3.2435</v>
      </c>
      <c r="M6">
        <v>3.6461999999999999</v>
      </c>
      <c r="N6">
        <v>4.6844000000000001</v>
      </c>
      <c r="O6">
        <v>4.5251999999999999</v>
      </c>
      <c r="P6">
        <v>3.0630999999999999</v>
      </c>
      <c r="Q6">
        <v>3.2456</v>
      </c>
    </row>
    <row r="7" spans="2:17">
      <c r="B7" t="s">
        <v>1</v>
      </c>
      <c r="C7">
        <v>7.6043000000000003</v>
      </c>
      <c r="D7">
        <v>8.4242000000000008</v>
      </c>
      <c r="E7">
        <v>10.612399999999999</v>
      </c>
      <c r="F7">
        <v>10.1998</v>
      </c>
      <c r="G7">
        <v>8.8801000000000005</v>
      </c>
      <c r="H7">
        <v>9.9465000000000003</v>
      </c>
      <c r="K7" t="s">
        <v>1</v>
      </c>
      <c r="L7">
        <v>3.2147999999999999</v>
      </c>
      <c r="M7">
        <v>5.2108999999999996</v>
      </c>
      <c r="N7">
        <v>3.8148</v>
      </c>
      <c r="O7">
        <v>4.0872999999999999</v>
      </c>
      <c r="P7">
        <v>3.4655999999999998</v>
      </c>
      <c r="Q7">
        <v>3.8443999999999998</v>
      </c>
    </row>
    <row r="8" spans="2:17">
      <c r="B8" t="s">
        <v>3</v>
      </c>
      <c r="C8">
        <v>8.3449000000000009</v>
      </c>
      <c r="D8">
        <v>7.4450000000000003</v>
      </c>
      <c r="E8">
        <v>8.4116999999999997</v>
      </c>
      <c r="F8">
        <v>8.6692999999999998</v>
      </c>
      <c r="G8">
        <v>8.52</v>
      </c>
      <c r="H8">
        <v>8.7056000000000004</v>
      </c>
      <c r="K8" t="s">
        <v>3</v>
      </c>
      <c r="L8">
        <v>5.0815999999999999</v>
      </c>
      <c r="M8">
        <v>5.2870999999999997</v>
      </c>
      <c r="N8">
        <v>5.0583999999999998</v>
      </c>
      <c r="O8">
        <v>5.2901999999999996</v>
      </c>
      <c r="P8">
        <v>4.5743</v>
      </c>
      <c r="Q8">
        <v>5.3089000000000004</v>
      </c>
    </row>
    <row r="12" spans="2:17">
      <c r="B12" t="s">
        <v>8</v>
      </c>
    </row>
    <row r="13" spans="2:17">
      <c r="C13">
        <v>1</v>
      </c>
      <c r="D13">
        <v>2</v>
      </c>
      <c r="E13">
        <v>3</v>
      </c>
      <c r="F13">
        <v>4</v>
      </c>
      <c r="G13">
        <v>5</v>
      </c>
      <c r="H13">
        <v>6</v>
      </c>
    </row>
    <row r="14" spans="2:17">
      <c r="C14" t="s">
        <v>6</v>
      </c>
      <c r="D14" t="s">
        <v>7</v>
      </c>
      <c r="E14" s="1">
        <v>0.2</v>
      </c>
      <c r="F14" s="1">
        <v>0.4</v>
      </c>
      <c r="G14" t="s">
        <v>4</v>
      </c>
      <c r="H14" t="s">
        <v>5</v>
      </c>
    </row>
    <row r="15" spans="2:17">
      <c r="B15" t="s">
        <v>12</v>
      </c>
      <c r="C15">
        <v>4.3659999999999997</v>
      </c>
      <c r="D15">
        <v>3.6772</v>
      </c>
      <c r="E15">
        <v>4.8964999999999996</v>
      </c>
      <c r="F15">
        <v>5.3360000000000003</v>
      </c>
      <c r="G15">
        <v>4.4931999999999999</v>
      </c>
      <c r="H15">
        <v>5.4969999999999999</v>
      </c>
    </row>
    <row r="16" spans="2:17">
      <c r="B16" t="s">
        <v>2</v>
      </c>
      <c r="C16">
        <v>5.4238999999999997</v>
      </c>
      <c r="D16">
        <v>6.3560999999999996</v>
      </c>
      <c r="E16">
        <v>5.4836</v>
      </c>
      <c r="F16">
        <v>5.0660999999999996</v>
      </c>
      <c r="G16">
        <v>5.8467000000000002</v>
      </c>
      <c r="H16">
        <v>5.4343000000000004</v>
      </c>
    </row>
    <row r="17" spans="2:8">
      <c r="B17" t="s">
        <v>1</v>
      </c>
      <c r="C17">
        <v>4.6529999999999996</v>
      </c>
      <c r="D17">
        <v>6.5598999999999998</v>
      </c>
      <c r="E17">
        <v>7.1546000000000003</v>
      </c>
      <c r="F17">
        <v>5.3460000000000001</v>
      </c>
      <c r="G17">
        <v>5.9457000000000004</v>
      </c>
      <c r="H17">
        <v>6.3215000000000003</v>
      </c>
    </row>
    <row r="18" spans="2:8">
      <c r="B18" t="s">
        <v>3</v>
      </c>
      <c r="C18">
        <v>6.1603000000000003</v>
      </c>
      <c r="D18">
        <v>7.0663999999999998</v>
      </c>
      <c r="E18">
        <v>7.4878</v>
      </c>
      <c r="F18">
        <v>6.9095000000000004</v>
      </c>
      <c r="G18">
        <v>7.0098000000000003</v>
      </c>
      <c r="H18">
        <v>7.3371000000000004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A0E2A-87C7-4A40-AC74-2599F7C10E83}">
  <dimension ref="B2:Q18"/>
  <sheetViews>
    <sheetView workbookViewId="0">
      <selection activeCell="K5" sqref="K5:K7"/>
    </sheetView>
  </sheetViews>
  <sheetFormatPr baseColWidth="10" defaultRowHeight="20"/>
  <sheetData>
    <row r="2" spans="2:17">
      <c r="B2" t="s">
        <v>0</v>
      </c>
      <c r="K2" t="s">
        <v>10</v>
      </c>
    </row>
    <row r="3" spans="2:17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</row>
    <row r="4" spans="2:17">
      <c r="C4" t="s">
        <v>6</v>
      </c>
      <c r="D4" t="s">
        <v>7</v>
      </c>
      <c r="E4" s="1">
        <v>0.2</v>
      </c>
      <c r="F4" s="1">
        <v>0.4</v>
      </c>
      <c r="G4" t="s">
        <v>4</v>
      </c>
      <c r="H4" t="s">
        <v>5</v>
      </c>
      <c r="L4" t="s">
        <v>6</v>
      </c>
      <c r="M4" t="s">
        <v>7</v>
      </c>
      <c r="N4" s="1">
        <v>0.2</v>
      </c>
      <c r="O4" s="1">
        <v>0.4</v>
      </c>
      <c r="P4" t="s">
        <v>4</v>
      </c>
      <c r="Q4" t="s">
        <v>5</v>
      </c>
    </row>
    <row r="5" spans="2:17">
      <c r="B5" t="s">
        <v>12</v>
      </c>
      <c r="C5">
        <v>6.3823999999999996</v>
      </c>
      <c r="D5">
        <v>5.7889999999999997</v>
      </c>
      <c r="E5">
        <v>6.2119999999999997</v>
      </c>
      <c r="F5">
        <v>6.1791</v>
      </c>
      <c r="G5">
        <v>6.5671999999999997</v>
      </c>
      <c r="H5">
        <v>6.4519000000000002</v>
      </c>
      <c r="K5" t="s">
        <v>12</v>
      </c>
      <c r="L5">
        <v>6.1031000000000004</v>
      </c>
      <c r="M5">
        <v>4.2423999999999999</v>
      </c>
      <c r="N5">
        <v>4.7381000000000002</v>
      </c>
      <c r="O5">
        <v>5.4844999999999997</v>
      </c>
      <c r="P5">
        <v>5.2915000000000001</v>
      </c>
      <c r="Q5">
        <v>5.6475999999999997</v>
      </c>
    </row>
    <row r="6" spans="2:17">
      <c r="B6" t="s">
        <v>2</v>
      </c>
      <c r="C6">
        <v>6.3945999999999996</v>
      </c>
      <c r="D6">
        <v>5.3281999999999998</v>
      </c>
      <c r="E6">
        <v>5.4997999999999996</v>
      </c>
      <c r="F6">
        <v>5.8647999999999998</v>
      </c>
      <c r="G6">
        <v>6.6314000000000002</v>
      </c>
      <c r="H6">
        <v>6.2031000000000001</v>
      </c>
      <c r="K6" t="s">
        <v>2</v>
      </c>
      <c r="L6">
        <v>4.2198000000000002</v>
      </c>
      <c r="M6">
        <v>4.2881999999999998</v>
      </c>
      <c r="N6">
        <v>4.3997000000000002</v>
      </c>
      <c r="O6">
        <v>5.0381</v>
      </c>
      <c r="P6">
        <v>5.7476000000000003</v>
      </c>
      <c r="Q6">
        <v>5.8460999999999999</v>
      </c>
    </row>
    <row r="7" spans="2:17">
      <c r="B7" t="s">
        <v>1</v>
      </c>
      <c r="C7">
        <v>8.1803000000000008</v>
      </c>
      <c r="D7">
        <v>9.0643999999999991</v>
      </c>
      <c r="E7">
        <v>10.1258</v>
      </c>
      <c r="F7">
        <v>9.2393000000000001</v>
      </c>
      <c r="G7">
        <v>8.4634</v>
      </c>
      <c r="H7">
        <v>8.0909999999999993</v>
      </c>
      <c r="K7" t="s">
        <v>1</v>
      </c>
      <c r="L7">
        <v>4.0796000000000001</v>
      </c>
      <c r="M7">
        <v>6.9306000000000001</v>
      </c>
      <c r="N7">
        <v>7.3150000000000004</v>
      </c>
      <c r="O7">
        <v>5.8131000000000004</v>
      </c>
      <c r="P7">
        <v>5.9427000000000003</v>
      </c>
      <c r="Q7">
        <v>7.1539999999999999</v>
      </c>
    </row>
    <row r="8" spans="2:17">
      <c r="B8" t="s">
        <v>3</v>
      </c>
      <c r="C8">
        <v>8.5606000000000009</v>
      </c>
      <c r="D8">
        <v>8.1670999999999996</v>
      </c>
      <c r="E8">
        <v>8.8729999999999993</v>
      </c>
      <c r="F8">
        <v>8.7209000000000003</v>
      </c>
      <c r="G8">
        <v>8.9978999999999996</v>
      </c>
      <c r="H8">
        <v>8.4453999999999994</v>
      </c>
      <c r="K8" t="s">
        <v>3</v>
      </c>
      <c r="L8">
        <v>5.9767000000000001</v>
      </c>
      <c r="M8">
        <v>6.8226000000000004</v>
      </c>
      <c r="N8">
        <v>7.2005999999999997</v>
      </c>
      <c r="O8">
        <v>6.9833999999999996</v>
      </c>
      <c r="P8">
        <v>7.3693999999999997</v>
      </c>
      <c r="Q8">
        <v>7.9238</v>
      </c>
    </row>
    <row r="12" spans="2:17">
      <c r="B12" t="s">
        <v>8</v>
      </c>
    </row>
    <row r="13" spans="2:17">
      <c r="C13">
        <v>1</v>
      </c>
      <c r="D13">
        <v>2</v>
      </c>
      <c r="E13">
        <v>3</v>
      </c>
      <c r="F13">
        <v>4</v>
      </c>
      <c r="G13">
        <v>5</v>
      </c>
      <c r="H13">
        <v>6</v>
      </c>
    </row>
    <row r="14" spans="2:17">
      <c r="C14" t="s">
        <v>6</v>
      </c>
      <c r="D14" t="s">
        <v>7</v>
      </c>
      <c r="E14" s="1">
        <v>0.2</v>
      </c>
      <c r="F14" s="1">
        <v>0.4</v>
      </c>
      <c r="G14" t="s">
        <v>4</v>
      </c>
      <c r="H14" t="s">
        <v>5</v>
      </c>
    </row>
    <row r="15" spans="2:17">
      <c r="B15" t="s">
        <v>12</v>
      </c>
      <c r="C15">
        <v>5.9424000000000001</v>
      </c>
      <c r="D15">
        <v>3.7761</v>
      </c>
      <c r="E15">
        <v>3.7067999999999999</v>
      </c>
      <c r="F15">
        <v>4.6349</v>
      </c>
      <c r="G15">
        <v>5.3887</v>
      </c>
      <c r="H15">
        <v>5.1855000000000002</v>
      </c>
    </row>
    <row r="16" spans="2:17">
      <c r="B16" t="s">
        <v>2</v>
      </c>
      <c r="C16">
        <v>4.8061999999999996</v>
      </c>
      <c r="D16">
        <v>5.6429</v>
      </c>
      <c r="E16">
        <v>5.7023000000000001</v>
      </c>
      <c r="F16">
        <v>5.9135999999999997</v>
      </c>
      <c r="G16">
        <v>6.2161999999999997</v>
      </c>
      <c r="H16">
        <v>6.2083000000000004</v>
      </c>
    </row>
    <row r="17" spans="2:8">
      <c r="B17" t="s">
        <v>1</v>
      </c>
      <c r="C17">
        <v>5.7668999999999997</v>
      </c>
      <c r="D17">
        <v>5.3224999999999998</v>
      </c>
      <c r="E17">
        <v>5.3918999999999997</v>
      </c>
      <c r="F17">
        <v>6.0750999999999999</v>
      </c>
      <c r="G17">
        <v>6.7323000000000004</v>
      </c>
      <c r="H17">
        <v>6.3989000000000003</v>
      </c>
    </row>
    <row r="18" spans="2:8">
      <c r="B18" t="s">
        <v>3</v>
      </c>
      <c r="C18">
        <v>7.4294000000000002</v>
      </c>
      <c r="D18">
        <v>6.4786999999999999</v>
      </c>
      <c r="E18">
        <v>6.4787999999999997</v>
      </c>
      <c r="F18">
        <v>7.2607999999999997</v>
      </c>
      <c r="G18">
        <v>8.0149000000000008</v>
      </c>
      <c r="H18">
        <v>7.6308999999999996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D4BF1-0ED9-B647-A6CB-E84837A96431}">
  <dimension ref="B2:Q20"/>
  <sheetViews>
    <sheetView tabSelected="1" workbookViewId="0">
      <selection activeCell="K15" sqref="K15"/>
    </sheetView>
  </sheetViews>
  <sheetFormatPr baseColWidth="10" defaultRowHeight="20"/>
  <sheetData>
    <row r="2" spans="2:17">
      <c r="B2" t="s">
        <v>0</v>
      </c>
      <c r="K2" t="s">
        <v>10</v>
      </c>
    </row>
    <row r="3" spans="2:17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</row>
    <row r="4" spans="2:17">
      <c r="C4" t="s">
        <v>6</v>
      </c>
      <c r="D4" t="s">
        <v>7</v>
      </c>
      <c r="E4" s="1">
        <v>0.2</v>
      </c>
      <c r="F4" s="1">
        <v>0.4</v>
      </c>
      <c r="G4" t="s">
        <v>4</v>
      </c>
      <c r="H4" t="s">
        <v>5</v>
      </c>
      <c r="L4" t="s">
        <v>6</v>
      </c>
      <c r="M4" t="s">
        <v>7</v>
      </c>
      <c r="N4" s="1">
        <v>0.2</v>
      </c>
      <c r="O4" s="1">
        <v>0.4</v>
      </c>
      <c r="P4" t="s">
        <v>4</v>
      </c>
      <c r="Q4" t="s">
        <v>5</v>
      </c>
    </row>
    <row r="5" spans="2:17">
      <c r="B5" t="s">
        <v>12</v>
      </c>
      <c r="C5">
        <f>AVERAGE(seed1!C5,seed2!C5,seed3!C5,seed4!C5,seed5!C5)</f>
        <v>6.3974400000000005</v>
      </c>
      <c r="D5">
        <f>AVERAGE(seed1!D5,seed2!D5,seed3!D5,seed4!D5,seed5!D5)</f>
        <v>5.0140799999999999</v>
      </c>
      <c r="E5">
        <f>AVERAGE(seed1!E5,seed2!E5,seed3!E5,seed4!E5,seed5!E5)</f>
        <v>5.6874799999999999</v>
      </c>
      <c r="F5">
        <f>AVERAGE(seed1!F5,seed2!F5,seed3!F5,seed4!F5,seed5!F5)</f>
        <v>6.2297799999999999</v>
      </c>
      <c r="G5">
        <f>AVERAGE(seed1!G5,seed2!G5,seed3!G5,seed4!G5,seed5!G5)</f>
        <v>6.4137399999999998</v>
      </c>
      <c r="H5">
        <f>AVERAGE(seed1!H5,seed2!H5,seed3!H5,seed4!H5,seed5!H5)</f>
        <v>6.1020800000000008</v>
      </c>
      <c r="K5" t="s">
        <v>12</v>
      </c>
      <c r="L5">
        <f>AVERAGE(seed1!L5,seed2!L5,seed3!L5,seed4!L5,seed5!L5)</f>
        <v>5.02454</v>
      </c>
      <c r="M5">
        <f>AVERAGE(seed1!M5,seed2!M5,seed3!M5,seed4!M5,seed5!M5)</f>
        <v>3.7370600000000005</v>
      </c>
      <c r="N5">
        <f>AVERAGE(seed1!N5,seed2!N5,seed3!N5,seed4!N5,seed5!N5)</f>
        <v>4.08446</v>
      </c>
      <c r="O5">
        <f>AVERAGE(seed1!O5,seed2!O5,seed3!O5,seed4!O5,seed5!O5)</f>
        <v>4.3885399999999999</v>
      </c>
      <c r="P5">
        <f>AVERAGE(seed1!P5,seed2!P5,seed3!P5,seed4!P5,seed5!P5)</f>
        <v>4.6189599999999995</v>
      </c>
      <c r="Q5">
        <f>AVERAGE(seed1!Q5,seed2!Q5,seed3!Q5,seed4!Q5,seed5!Q5)</f>
        <v>5.0327999999999999</v>
      </c>
    </row>
    <row r="6" spans="2:17">
      <c r="B6" t="s">
        <v>2</v>
      </c>
      <c r="C6">
        <f>AVERAGE(seed1!C6,seed2!C6,seed3!C6,seed4!C6,seed5!C6)</f>
        <v>6.2773400000000006</v>
      </c>
      <c r="D6">
        <f>AVERAGE(seed1!D6,seed2!D6,seed3!D6,seed4!D6,seed5!D6)</f>
        <v>5.3951799999999999</v>
      </c>
      <c r="E6">
        <f>AVERAGE(seed1!E6,seed2!E6,seed3!E6,seed4!E6,seed5!E6)</f>
        <v>6.0260199999999999</v>
      </c>
      <c r="F6">
        <f>AVERAGE(seed1!F6,seed2!F6,seed3!F6,seed4!F6,seed5!F6)</f>
        <v>6.3036599999999998</v>
      </c>
      <c r="G6">
        <f>AVERAGE(seed1!G6,seed2!G6,seed3!G6,seed4!G6,seed5!G6)</f>
        <v>6.4047200000000002</v>
      </c>
      <c r="H6">
        <f>AVERAGE(seed1!H6,seed2!H6,seed3!H6,seed4!H6,seed5!H6)</f>
        <v>6.3338599999999996</v>
      </c>
      <c r="K6" t="s">
        <v>2</v>
      </c>
      <c r="L6">
        <f>AVERAGE(seed1!L6,seed2!L6,seed3!L6,seed4!L6,seed5!L6)</f>
        <v>4.3068600000000004</v>
      </c>
      <c r="M6">
        <f>AVERAGE(seed1!M6,seed2!M6,seed3!M6,seed4!M6,seed5!M6)</f>
        <v>3.9472800000000001</v>
      </c>
      <c r="N6">
        <f>AVERAGE(seed1!N6,seed2!N6,seed3!N6,seed4!N6,seed5!N6)</f>
        <v>4.5268199999999998</v>
      </c>
      <c r="O6">
        <f>AVERAGE(seed1!O6,seed2!O6,seed3!O6,seed4!O6,seed5!O6)</f>
        <v>4.9093</v>
      </c>
      <c r="P6">
        <f>AVERAGE(seed1!P6,seed2!P6,seed3!P6,seed4!P6,seed5!P6)</f>
        <v>4.8349599999999997</v>
      </c>
      <c r="Q6">
        <f>AVERAGE(seed1!Q6,seed2!Q6,seed3!Q6,seed4!Q6,seed5!Q6)</f>
        <v>4.7628199999999996</v>
      </c>
    </row>
    <row r="7" spans="2:17">
      <c r="B7" t="s">
        <v>1</v>
      </c>
      <c r="C7">
        <f>AVERAGE(seed1!C7,seed2!C7,seed3!C7,seed4!C7,seed5!C7)</f>
        <v>7.5981000000000005</v>
      </c>
      <c r="D7">
        <f>AVERAGE(seed1!D7,seed2!D7,seed3!D7,seed4!D7,seed5!D7)</f>
        <v>8.5675399999999993</v>
      </c>
      <c r="E7">
        <f>AVERAGE(seed1!E7,seed2!E7,seed3!E7,seed4!E7,seed5!E7)</f>
        <v>9.735339999999999</v>
      </c>
      <c r="F7">
        <f>AVERAGE(seed1!F7,seed2!F7,seed3!F7,seed4!F7,seed5!F7)</f>
        <v>9.5247000000000011</v>
      </c>
      <c r="G7">
        <f>AVERAGE(seed1!G7,seed2!G7,seed3!G7,seed4!G7,seed5!G7)</f>
        <v>8.4922599999999999</v>
      </c>
      <c r="H7">
        <f>AVERAGE(seed1!H7,seed2!H7,seed3!H7,seed4!H7,seed5!H7)</f>
        <v>8.875160000000001</v>
      </c>
      <c r="K7" t="s">
        <v>1</v>
      </c>
      <c r="L7">
        <f>AVERAGE(seed1!L7,seed2!L7,seed3!L7,seed4!L7,seed5!L7)</f>
        <v>4.2859400000000001</v>
      </c>
      <c r="M7">
        <f>AVERAGE(seed1!M7,seed2!M7,seed3!M7,seed4!M7,seed5!M7)</f>
        <v>7.0747600000000004</v>
      </c>
      <c r="N7">
        <f>AVERAGE(seed1!N7,seed2!N7,seed3!N7,seed4!N7,seed5!N7)</f>
        <v>6.4692600000000002</v>
      </c>
      <c r="O7">
        <f>AVERAGE(seed1!O7,seed2!O7,seed3!O7,seed4!O7,seed5!O7)</f>
        <v>6.1327799999999995</v>
      </c>
      <c r="P7">
        <f>AVERAGE(seed1!P7,seed2!P7,seed3!P7,seed4!P7,seed5!P7)</f>
        <v>5.2459800000000003</v>
      </c>
      <c r="Q7">
        <f>AVERAGE(seed1!Q7,seed2!Q7,seed3!Q7,seed4!Q7,seed5!Q7)</f>
        <v>6.0271800000000004</v>
      </c>
    </row>
    <row r="8" spans="2:17">
      <c r="B8" t="s">
        <v>3</v>
      </c>
      <c r="C8">
        <f>AVERAGE(seed1!C8,seed2!C8,seed3!C8,seed4!C8,seed5!C8)</f>
        <v>8.4600200000000001</v>
      </c>
      <c r="D8">
        <f>AVERAGE(seed1!D8,seed2!D8,seed3!D8,seed4!D8,seed5!D8)</f>
        <v>7.590819999999999</v>
      </c>
      <c r="E8">
        <f>AVERAGE(seed1!E8,seed2!E8,seed3!E8,seed4!E8,seed5!E8)</f>
        <v>8.3587399999999992</v>
      </c>
      <c r="F8">
        <f>AVERAGE(seed1!F8,seed2!F8,seed3!F8,seed4!F8,seed5!F8)</f>
        <v>8.6720199999999998</v>
      </c>
      <c r="G8">
        <f>AVERAGE(seed1!G8,seed2!G8,seed3!G8,seed4!G8,seed5!G8)</f>
        <v>8.5991800000000005</v>
      </c>
      <c r="H8">
        <f>AVERAGE(seed1!H8,seed2!H8,seed3!H8,seed4!H8,seed5!H8)</f>
        <v>8.4440600000000003</v>
      </c>
      <c r="K8" t="s">
        <v>3</v>
      </c>
      <c r="L8">
        <f>AVERAGE(seed1!L8,seed2!L8,seed3!L8,seed4!L8,seed5!L8)</f>
        <v>5.816720000000001</v>
      </c>
      <c r="M8">
        <f>AVERAGE(seed1!M8,seed2!M8,seed3!M8,seed4!M8,seed5!M8)</f>
        <v>6.1881599999999999</v>
      </c>
      <c r="N8">
        <f>AVERAGE(seed1!N8,seed2!N8,seed3!N8,seed4!N8,seed5!N8)</f>
        <v>6.3981599999999998</v>
      </c>
      <c r="O8">
        <f>AVERAGE(seed1!O8,seed2!O8,seed3!O8,seed4!O8,seed5!O8)</f>
        <v>6.5593999999999992</v>
      </c>
      <c r="P8">
        <f>AVERAGE(seed1!P8,seed2!P8,seed3!P8,seed4!P8,seed5!P8)</f>
        <v>6.4287200000000002</v>
      </c>
      <c r="Q8">
        <f>AVERAGE(seed1!Q8,seed2!Q8,seed3!Q8,seed4!Q8,seed5!Q8)</f>
        <v>6.8247400000000003</v>
      </c>
    </row>
    <row r="10" spans="2:17">
      <c r="B10" t="s">
        <v>9</v>
      </c>
      <c r="C10">
        <f>AVERAGE(C5:C7)</f>
        <v>6.7576266666666669</v>
      </c>
      <c r="D10">
        <f t="shared" ref="D10:H10" si="0">AVERAGE(D5:D7)</f>
        <v>6.3255999999999988</v>
      </c>
      <c r="E10">
        <f t="shared" si="0"/>
        <v>7.149613333333332</v>
      </c>
      <c r="F10">
        <f t="shared" si="0"/>
        <v>7.3527133333333339</v>
      </c>
      <c r="G10">
        <f t="shared" si="0"/>
        <v>7.1035733333333333</v>
      </c>
      <c r="H10">
        <f t="shared" si="0"/>
        <v>7.1037000000000008</v>
      </c>
      <c r="K10" t="s">
        <v>9</v>
      </c>
      <c r="L10">
        <f>AVERAGE(L5:L7)</f>
        <v>4.5391133333333338</v>
      </c>
      <c r="M10">
        <f t="shared" ref="M10:Q10" si="1">AVERAGE(M5:M7)</f>
        <v>4.9196999999999997</v>
      </c>
      <c r="N10">
        <f t="shared" si="1"/>
        <v>5.0268466666666667</v>
      </c>
      <c r="O10">
        <f t="shared" si="1"/>
        <v>5.1435400000000007</v>
      </c>
      <c r="P10">
        <f t="shared" si="1"/>
        <v>4.8999666666666668</v>
      </c>
      <c r="Q10">
        <f t="shared" si="1"/>
        <v>5.2742666666666667</v>
      </c>
    </row>
    <row r="12" spans="2:17">
      <c r="B12" t="s">
        <v>8</v>
      </c>
    </row>
    <row r="13" spans="2:17">
      <c r="C13">
        <v>1</v>
      </c>
      <c r="D13">
        <v>2</v>
      </c>
      <c r="E13">
        <v>3</v>
      </c>
      <c r="F13">
        <v>4</v>
      </c>
      <c r="G13">
        <v>5</v>
      </c>
      <c r="H13">
        <v>6</v>
      </c>
    </row>
    <row r="14" spans="2:17">
      <c r="C14" t="s">
        <v>6</v>
      </c>
      <c r="D14" t="s">
        <v>7</v>
      </c>
      <c r="E14" s="1">
        <v>0.2</v>
      </c>
      <c r="F14" s="1">
        <v>0.4</v>
      </c>
      <c r="G14" t="s">
        <v>4</v>
      </c>
      <c r="H14" t="s">
        <v>5</v>
      </c>
    </row>
    <row r="15" spans="2:17">
      <c r="B15" t="s">
        <v>12</v>
      </c>
      <c r="C15">
        <f>AVERAGE(seed1!C15,seed2!C15,seed3!C15,seed4!C15,seed5!C15)</f>
        <v>5.4359200000000003</v>
      </c>
      <c r="D15">
        <f>AVERAGE(seed1!D15,seed2!D15,seed3!D15,seed4!D15,seed5!D15)</f>
        <v>4.4390200000000002</v>
      </c>
      <c r="E15">
        <f>AVERAGE(seed1!E15,seed2!E15,seed3!E15,seed4!E15,seed5!E15)</f>
        <v>4.9441000000000006</v>
      </c>
      <c r="F15">
        <f>AVERAGE(seed1!F15,seed2!F15,seed3!F15,seed4!F15,seed5!F15)</f>
        <v>5.4054000000000002</v>
      </c>
      <c r="G15">
        <f>AVERAGE(seed1!G15,seed2!G15,seed3!G15,seed4!G15,seed5!G15)</f>
        <v>5.3459199999999996</v>
      </c>
      <c r="H15">
        <f>AVERAGE(seed1!H15,seed2!H15,seed3!H15,seed4!H15,seed5!H15)</f>
        <v>5.4901600000000004</v>
      </c>
    </row>
    <row r="16" spans="2:17">
      <c r="B16" t="s">
        <v>2</v>
      </c>
      <c r="C16">
        <f>AVERAGE(seed1!C16,seed2!C16,seed3!C16,seed4!C16,seed5!C16)</f>
        <v>5.6634799999999998</v>
      </c>
      <c r="D16">
        <f>AVERAGE(seed1!D16,seed2!D16,seed3!D16,seed4!D16,seed5!D16)</f>
        <v>5.9482200000000001</v>
      </c>
      <c r="E16">
        <f>AVERAGE(seed1!E16,seed2!E16,seed3!E16,seed4!E16,seed5!E16)</f>
        <v>6.2091200000000004</v>
      </c>
      <c r="F16">
        <f>AVERAGE(seed1!F16,seed2!F16,seed3!F16,seed4!F16,seed5!F16)</f>
        <v>5.92204</v>
      </c>
      <c r="G16">
        <f>AVERAGE(seed1!G16,seed2!G16,seed3!G16,seed4!G16,seed5!G16)</f>
        <v>6.0311800000000009</v>
      </c>
      <c r="H16">
        <f>AVERAGE(seed1!H16,seed2!H16,seed3!H16,seed4!H16,seed5!H16)</f>
        <v>6.1351200000000006</v>
      </c>
    </row>
    <row r="17" spans="2:8">
      <c r="B17" t="s">
        <v>1</v>
      </c>
      <c r="C17">
        <f>AVERAGE(seed1!C17,seed2!C17,seed3!C17,seed4!C17,seed5!C17)</f>
        <v>5.8577599999999999</v>
      </c>
      <c r="D17">
        <f>AVERAGE(seed1!D17,seed2!D17,seed3!D17,seed4!D17,seed5!D17)</f>
        <v>6.748899999999999</v>
      </c>
      <c r="E17">
        <f>AVERAGE(seed1!E17,seed2!E17,seed3!E17,seed4!E17,seed5!E17)</f>
        <v>6.8256600000000009</v>
      </c>
      <c r="F17">
        <f>AVERAGE(seed1!F17,seed2!F17,seed3!F17,seed4!F17,seed5!F17)</f>
        <v>6.8254600000000014</v>
      </c>
      <c r="G17">
        <f>AVERAGE(seed1!G17,seed2!G17,seed3!G17,seed4!G17,seed5!G17)</f>
        <v>6.6500600000000007</v>
      </c>
      <c r="H17">
        <f>AVERAGE(seed1!H17,seed2!H17,seed3!H17,seed4!H17,seed5!H17)</f>
        <v>6.7839</v>
      </c>
    </row>
    <row r="18" spans="2:8">
      <c r="B18" t="s">
        <v>3</v>
      </c>
      <c r="C18">
        <f>AVERAGE(seed1!C18,seed2!C18,seed3!C18,seed4!C18,seed5!C18)</f>
        <v>7.2710399999999993</v>
      </c>
      <c r="D18">
        <f>AVERAGE(seed1!D18,seed2!D18,seed3!D18,seed4!D18,seed5!D18)</f>
        <v>7.2991800000000016</v>
      </c>
      <c r="E18">
        <f>AVERAGE(seed1!E18,seed2!E18,seed3!E18,seed4!E18,seed5!E18)</f>
        <v>7.5631399999999998</v>
      </c>
      <c r="F18">
        <f>AVERAGE(seed1!F18,seed2!F18,seed3!F18,seed4!F18,seed5!F18)</f>
        <v>7.6571200000000008</v>
      </c>
      <c r="G18">
        <f>AVERAGE(seed1!G18,seed2!G18,seed3!G18,seed4!G18,seed5!G18)</f>
        <v>7.6940599999999986</v>
      </c>
      <c r="H18">
        <f>AVERAGE(seed1!H18,seed2!H18,seed3!H18,seed4!H18,seed5!H18)</f>
        <v>7.7470599999999994</v>
      </c>
    </row>
    <row r="20" spans="2:8">
      <c r="B20" t="s">
        <v>9</v>
      </c>
      <c r="C20">
        <f>AVERAGE(C15:C17)</f>
        <v>5.6523866666666658</v>
      </c>
      <c r="D20">
        <f t="shared" ref="D20:H20" si="2">AVERAGE(D15:D17)</f>
        <v>5.7120466666666658</v>
      </c>
      <c r="E20">
        <f t="shared" si="2"/>
        <v>5.992960000000001</v>
      </c>
      <c r="F20">
        <f t="shared" si="2"/>
        <v>6.0509666666666675</v>
      </c>
      <c r="G20">
        <f t="shared" si="2"/>
        <v>6.009053333333334</v>
      </c>
      <c r="H20">
        <f t="shared" si="2"/>
        <v>6.1363933333333334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seed1</vt:lpstr>
      <vt:lpstr>seed2</vt:lpstr>
      <vt:lpstr>seed3</vt:lpstr>
      <vt:lpstr>seed4</vt:lpstr>
      <vt:lpstr>seed5</vt:lpstr>
      <vt:lpstr>平均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yamashi.y@keio.jp</dc:creator>
  <cp:lastModifiedBy>yamashi.y@keio.jp</cp:lastModifiedBy>
  <dcterms:created xsi:type="dcterms:W3CDTF">2025-11-29T15:02:01Z</dcterms:created>
  <dcterms:modified xsi:type="dcterms:W3CDTF">2025-12-06T01:42:08Z</dcterms:modified>
</cp:coreProperties>
</file>