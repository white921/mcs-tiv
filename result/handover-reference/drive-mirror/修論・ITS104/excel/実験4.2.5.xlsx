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3715C0D2-588A-D744-97BC-B0C48F6FFBFA}" xr6:coauthVersionLast="47" xr6:coauthVersionMax="47" xr10:uidLastSave="{00000000-0000-0000-0000-000000000000}"/>
  <bookViews>
    <workbookView xWindow="11420" yWindow="2680" windowWidth="26700" windowHeight="14560" activeTab="2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平均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4" l="1"/>
  <c r="H26" i="4"/>
  <c r="G26" i="4"/>
  <c r="F26" i="4"/>
  <c r="D26" i="4"/>
  <c r="C26" i="4"/>
  <c r="I26" i="3"/>
  <c r="H26" i="3"/>
  <c r="G26" i="3"/>
  <c r="F26" i="3"/>
  <c r="E26" i="3"/>
  <c r="D26" i="3"/>
  <c r="C26" i="3"/>
  <c r="I26" i="1"/>
  <c r="H26" i="1"/>
  <c r="G26" i="1"/>
  <c r="F26" i="1"/>
  <c r="E26" i="1"/>
  <c r="D26" i="1"/>
  <c r="C26" i="1"/>
  <c r="C26" i="2"/>
  <c r="D26" i="2"/>
  <c r="E26" i="2"/>
  <c r="F26" i="2"/>
  <c r="G26" i="2"/>
  <c r="H26" i="2"/>
  <c r="I26" i="2"/>
  <c r="D25" i="2"/>
  <c r="E25" i="2"/>
  <c r="F25" i="2"/>
  <c r="G25" i="2"/>
  <c r="H25" i="2"/>
  <c r="I25" i="2"/>
  <c r="C25" i="2"/>
  <c r="C20" i="2"/>
  <c r="D20" i="2"/>
  <c r="E20" i="2"/>
  <c r="F20" i="2"/>
  <c r="G20" i="2"/>
  <c r="H20" i="2"/>
  <c r="I20" i="2"/>
  <c r="C21" i="2"/>
  <c r="D21" i="2"/>
  <c r="E21" i="2"/>
  <c r="F21" i="2"/>
  <c r="G21" i="2"/>
  <c r="H21" i="2"/>
  <c r="I21" i="2"/>
  <c r="C22" i="2"/>
  <c r="D22" i="2"/>
  <c r="E22" i="2"/>
  <c r="F22" i="2"/>
  <c r="G22" i="2"/>
  <c r="H22" i="2"/>
  <c r="I22" i="2"/>
  <c r="C23" i="2"/>
  <c r="D23" i="2"/>
  <c r="E23" i="2"/>
  <c r="F23" i="2"/>
  <c r="G23" i="2"/>
  <c r="H23" i="2"/>
  <c r="I23" i="2"/>
  <c r="C24" i="2"/>
  <c r="D24" i="2"/>
  <c r="E24" i="2"/>
  <c r="F24" i="2"/>
  <c r="G24" i="2"/>
  <c r="H24" i="2"/>
  <c r="I24" i="2"/>
  <c r="H10" i="4"/>
  <c r="G10" i="4"/>
  <c r="F10" i="4"/>
  <c r="D10" i="4"/>
  <c r="D10" i="2" s="1"/>
  <c r="C10" i="4"/>
  <c r="H10" i="3"/>
  <c r="G10" i="3"/>
  <c r="F10" i="3"/>
  <c r="D10" i="3"/>
  <c r="C10" i="3"/>
  <c r="H10" i="1"/>
  <c r="G10" i="1"/>
  <c r="F10" i="1"/>
  <c r="D10" i="1"/>
  <c r="C10" i="1"/>
  <c r="C10" i="2"/>
  <c r="E10" i="2"/>
  <c r="F10" i="2"/>
  <c r="G10" i="2"/>
  <c r="H10" i="2"/>
  <c r="D9" i="2"/>
  <c r="E9" i="2"/>
  <c r="F9" i="2"/>
  <c r="G9" i="2"/>
  <c r="H9" i="2"/>
  <c r="C9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C6" i="2"/>
  <c r="D6" i="2"/>
  <c r="E6" i="2"/>
  <c r="E11" i="2" s="1"/>
  <c r="F6" i="2"/>
  <c r="G6" i="2"/>
  <c r="H6" i="2"/>
  <c r="C7" i="2"/>
  <c r="D7" i="2"/>
  <c r="E7" i="2"/>
  <c r="F7" i="2"/>
  <c r="G7" i="2"/>
  <c r="H7" i="2"/>
  <c r="C8" i="2"/>
  <c r="D8" i="2"/>
  <c r="E8" i="2"/>
  <c r="F8" i="2"/>
  <c r="G8" i="2"/>
  <c r="H8" i="2"/>
  <c r="D5" i="2"/>
  <c r="E5" i="2"/>
  <c r="F5" i="2"/>
  <c r="G5" i="2"/>
  <c r="H5" i="2"/>
  <c r="C5" i="2"/>
  <c r="I19" i="2"/>
  <c r="I18" i="2"/>
  <c r="I17" i="2"/>
  <c r="I16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M5" i="2"/>
  <c r="L5" i="2"/>
  <c r="F27" i="2" l="1"/>
  <c r="I27" i="2"/>
  <c r="E27" i="2"/>
  <c r="D27" i="2"/>
  <c r="H27" i="2"/>
  <c r="G27" i="2"/>
  <c r="C27" i="2"/>
  <c r="H11" i="2"/>
  <c r="G11" i="2"/>
  <c r="F11" i="2"/>
  <c r="D11" i="2"/>
  <c r="C11" i="2"/>
  <c r="Q10" i="2"/>
  <c r="P10" i="2"/>
  <c r="O10" i="2"/>
  <c r="N10" i="2"/>
  <c r="M10" i="2"/>
  <c r="L10" i="2"/>
</calcChain>
</file>

<file path=xl/sharedStrings.xml><?xml version="1.0" encoding="utf-8"?>
<sst xmlns="http://schemas.openxmlformats.org/spreadsheetml/2006/main" count="229" uniqueCount="23">
  <si>
    <t>400/400/400</t>
    <phoneticPr fontId="1"/>
  </si>
  <si>
    <t>直進</t>
    <rPh sb="0" eb="2">
      <t>チョク</t>
    </rPh>
    <phoneticPr fontId="1"/>
  </si>
  <si>
    <t>右折</t>
    <rPh sb="0" eb="2">
      <t>ウセテゥ</t>
    </rPh>
    <phoneticPr fontId="1"/>
  </si>
  <si>
    <t>左折</t>
    <rPh sb="0" eb="2">
      <t>サセテゥ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</si>
  <si>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</si>
  <si>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</si>
  <si>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</si>
  <si>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</si>
  <si>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</si>
  <si>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600/300/600</t>
    <phoneticPr fontId="1"/>
  </si>
  <si>
    <t>500/500/500</t>
    <phoneticPr fontId="1"/>
  </si>
  <si>
    <t>交差点前_平均</t>
    <rPh sb="0" eb="4">
      <t>コウサ</t>
    </rPh>
    <rPh sb="5" eb="7">
      <t>ヘイキn</t>
    </rPh>
    <phoneticPr fontId="1"/>
  </si>
  <si>
    <t>600/600/600</t>
    <phoneticPr fontId="1"/>
  </si>
  <si>
    <t>性能込み</t>
    <rPh sb="0" eb="2">
      <t>セイノウ</t>
    </rPh>
    <rPh sb="2" eb="3">
      <t>コミ</t>
    </rPh>
    <phoneticPr fontId="1"/>
  </si>
  <si>
    <t>800/0/1000</t>
    <phoneticPr fontId="1"/>
  </si>
  <si>
    <t>車種1種類</t>
    <rPh sb="0" eb="2">
      <t>シャセィウ</t>
    </rPh>
    <rPh sb="3" eb="5">
      <t>シュルイ</t>
    </rPh>
    <phoneticPr fontId="1"/>
  </si>
  <si>
    <t>車種2種類</t>
    <rPh sb="0" eb="2">
      <t>シャセィウ</t>
    </rPh>
    <rPh sb="3" eb="5">
      <t>シュルイ</t>
    </rPh>
    <phoneticPr fontId="1"/>
  </si>
  <si>
    <t>右折</t>
    <rPh sb="0" eb="1">
      <t>ウセテゥ</t>
    </rPh>
    <phoneticPr fontId="1"/>
  </si>
  <si>
    <t>左折</t>
    <rPh sb="0" eb="1">
      <t>サセテゥ</t>
    </rPh>
    <phoneticPr fontId="1"/>
  </si>
  <si>
    <t>左折台数</t>
    <rPh sb="0" eb="4">
      <t>サセテゥ</t>
    </rPh>
    <phoneticPr fontId="1"/>
  </si>
  <si>
    <t>直進台数</t>
    <rPh sb="0" eb="4">
      <t>チョク</t>
    </rPh>
    <phoneticPr fontId="1"/>
  </si>
  <si>
    <t>（Bus）</t>
    <phoneticPr fontId="1"/>
  </si>
  <si>
    <t>（Car）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</si>
</sst>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Q26"/>
  <sheetViews>
    <sheetView topLeftCell="A9" workbookViewId="0">
      <selection activeCell="I27" sqref="I27"/>
    </sheetView>
  </sheetViews>
  <sheetFormatPr baseColWidth="10" defaultRowHeight="20"/>
  <sheetData>
    <row r="2" spans="2:17">
      <c r="B2" t="s">
        <v>14</v>
      </c>
      <c r="C2" t="s">
        <v>15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17</v>
      </c>
      <c r="K5" t="s">
        <v>1</v>
      </c>
    </row>
    <row r="6" spans="2:17">
      <c r="B6" t="s">
        <v>18</v>
      </c>
      <c r="C6">
        <v>6.0582000000000003</v>
      </c>
      <c r="D6">
        <v>1.7515000000000001</v>
      </c>
      <c r="F6">
        <v>4.9801000000000002</v>
      </c>
      <c r="G6">
        <v>6.1848999999999998</v>
      </c>
      <c r="H6">
        <v>5.5993000000000004</v>
      </c>
      <c r="K6" t="s">
        <v>2</v>
      </c>
    </row>
    <row r="7" spans="2:17">
      <c r="B7" t="s">
        <v>1</v>
      </c>
      <c r="C7">
        <v>8.4101999999999997</v>
      </c>
      <c r="D7">
        <v>4.8074000000000003</v>
      </c>
      <c r="F7">
        <v>7.9817999999999998</v>
      </c>
      <c r="G7">
        <v>8.7378999999999998</v>
      </c>
      <c r="H7">
        <v>8.4901999999999997</v>
      </c>
      <c r="K7" t="s">
        <v>3</v>
      </c>
    </row>
    <row r="8" spans="2:17">
      <c r="B8" t="s">
        <v>4</v>
      </c>
      <c r="C8">
        <v>9.9985999999999997</v>
      </c>
      <c r="D8">
        <v>6.3742999999999999</v>
      </c>
      <c r="F8">
        <v>9.5351999999999997</v>
      </c>
      <c r="G8">
        <v>10.252800000000001</v>
      </c>
      <c r="H8">
        <v>9.9621999999999993</v>
      </c>
      <c r="K8" t="s">
        <v>4</v>
      </c>
    </row>
    <row r="9" spans="2:17">
      <c r="B9" t="s">
        <v>19</v>
      </c>
      <c r="C9">
        <v>39</v>
      </c>
      <c r="D9">
        <v>22</v>
      </c>
      <c r="F9">
        <v>39</v>
      </c>
      <c r="G9">
        <v>39</v>
      </c>
      <c r="H9">
        <v>39</v>
      </c>
    </row>
    <row r="10" spans="2:17">
      <c r="B10" t="s">
        <v>20</v>
      </c>
      <c r="C10">
        <f>125+128</f>
        <v>253</v>
      </c>
      <c r="D10">
        <f>70+131</f>
        <v>201</v>
      </c>
      <c r="F10">
        <f>125+131</f>
        <v>256</v>
      </c>
      <c r="G10">
        <f>125+131</f>
        <v>256</v>
      </c>
      <c r="H10">
        <f>124+131</f>
        <v>255</v>
      </c>
    </row>
    <row r="13" spans="2:17">
      <c r="B13" t="s">
        <v>14</v>
      </c>
      <c r="C13" t="s">
        <v>16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</row>
    <row r="15" spans="2:17">
      <c r="C15" t="s">
        <v>7</v>
      </c>
      <c r="D15" t="s">
        <v>8</v>
      </c>
      <c r="E15" s="1">
        <v>0.2</v>
      </c>
      <c r="F15" s="1">
        <v>0.4</v>
      </c>
      <c r="G15" t="s">
        <v>5</v>
      </c>
      <c r="H15" t="s">
        <v>6</v>
      </c>
      <c r="I15" t="s">
        <v>13</v>
      </c>
    </row>
    <row r="16" spans="2:17">
      <c r="B16" t="s">
        <v>21</v>
      </c>
      <c r="C16">
        <v>6.1036000000000001</v>
      </c>
      <c r="D16">
        <v>2.3687999999999998</v>
      </c>
      <c r="E16">
        <v>2.6970999999999998</v>
      </c>
      <c r="F16">
        <v>4.3125999999999998</v>
      </c>
      <c r="G16">
        <v>6.0453999999999999</v>
      </c>
      <c r="H16">
        <v>5.6276999999999999</v>
      </c>
      <c r="I16">
        <v>5.6569000000000003</v>
      </c>
    </row>
    <row r="17" spans="2:9">
      <c r="B17" t="s">
        <v>22</v>
      </c>
      <c r="C17">
        <v>6.0994000000000002</v>
      </c>
      <c r="D17">
        <v>1.7634000000000001</v>
      </c>
      <c r="E17">
        <v>2.7637999999999998</v>
      </c>
      <c r="F17">
        <v>4.3201000000000001</v>
      </c>
      <c r="G17">
        <v>6.3461999999999996</v>
      </c>
      <c r="H17">
        <v>5.4886999999999997</v>
      </c>
      <c r="I17">
        <v>5.6070000000000002</v>
      </c>
    </row>
    <row r="18" spans="2:9">
      <c r="B18" t="s">
        <v>18</v>
      </c>
      <c r="C18">
        <v>6.1001000000000003</v>
      </c>
      <c r="D18">
        <v>1.8540000000000001</v>
      </c>
      <c r="E18">
        <v>2.7503000000000002</v>
      </c>
      <c r="F18">
        <v>4.3189000000000002</v>
      </c>
      <c r="G18">
        <v>6.2968000000000002</v>
      </c>
      <c r="H18">
        <v>5.5102000000000002</v>
      </c>
      <c r="I18">
        <v>5.6147999999999998</v>
      </c>
    </row>
    <row r="19" spans="2:9">
      <c r="B19" t="s">
        <v>21</v>
      </c>
      <c r="C19">
        <v>7.1790000000000003</v>
      </c>
      <c r="D19">
        <v>4.7210000000000001</v>
      </c>
      <c r="E19">
        <v>5.6073000000000004</v>
      </c>
      <c r="F19">
        <v>7.2507000000000001</v>
      </c>
      <c r="G19">
        <v>7.4676999999999998</v>
      </c>
      <c r="H19">
        <v>7.4348999999999998</v>
      </c>
      <c r="I19">
        <v>7.3540000000000001</v>
      </c>
    </row>
    <row r="20" spans="2:9">
      <c r="B20" t="s">
        <v>22</v>
      </c>
      <c r="C20">
        <v>7.9329000000000001</v>
      </c>
      <c r="D20">
        <v>4.6734</v>
      </c>
      <c r="E20">
        <v>5.2808000000000002</v>
      </c>
      <c r="F20">
        <v>6.4802999999999997</v>
      </c>
      <c r="G20">
        <v>8.0874000000000006</v>
      </c>
      <c r="H20">
        <v>7.9673999999999996</v>
      </c>
      <c r="I20">
        <v>7.8305999999999996</v>
      </c>
    </row>
    <row r="21" spans="2:9">
      <c r="B21" t="s">
        <v>1</v>
      </c>
      <c r="C21">
        <v>7.7343999999999999</v>
      </c>
      <c r="D21">
        <v>4.6844000000000001</v>
      </c>
      <c r="E21">
        <v>5.3548</v>
      </c>
      <c r="F21">
        <v>6.6535000000000002</v>
      </c>
      <c r="G21">
        <v>7.9267000000000003</v>
      </c>
      <c r="H21">
        <v>7.8304</v>
      </c>
      <c r="I21">
        <v>7.7084999999999999</v>
      </c>
    </row>
    <row r="22" spans="2:9">
      <c r="B22" t="s">
        <v>21</v>
      </c>
      <c r="C22">
        <v>8.4024000000000001</v>
      </c>
      <c r="D22">
        <v>6.3738999999999999</v>
      </c>
      <c r="E22">
        <v>6.9928999999999997</v>
      </c>
      <c r="F22">
        <v>8.3333999999999993</v>
      </c>
      <c r="G22">
        <v>8.6205999999999996</v>
      </c>
      <c r="H22">
        <v>8.6661999999999999</v>
      </c>
      <c r="I22">
        <v>8.5408000000000008</v>
      </c>
    </row>
    <row r="23" spans="2:9">
      <c r="B23" t="s">
        <v>22</v>
      </c>
      <c r="C23">
        <v>9.2378999999999998</v>
      </c>
      <c r="D23">
        <v>6.0972</v>
      </c>
      <c r="E23">
        <v>6.9065000000000003</v>
      </c>
      <c r="F23">
        <v>8.0312999999999999</v>
      </c>
      <c r="G23">
        <v>9.2581000000000007</v>
      </c>
      <c r="H23">
        <v>9.1463999999999999</v>
      </c>
      <c r="I23">
        <v>9.0366999999999997</v>
      </c>
    </row>
    <row r="24" spans="2:9">
      <c r="B24" t="s">
        <v>4</v>
      </c>
      <c r="C24">
        <v>9.0275999999999996</v>
      </c>
      <c r="D24">
        <v>6.1595000000000004</v>
      </c>
      <c r="E24">
        <v>6.9267000000000003</v>
      </c>
      <c r="F24">
        <v>8.1008999999999993</v>
      </c>
      <c r="G24">
        <v>9.1006</v>
      </c>
      <c r="H24">
        <v>9.0290999999999997</v>
      </c>
      <c r="I24">
        <v>8.9154</v>
      </c>
    </row>
    <row r="25" spans="2:9">
      <c r="B25" t="s">
        <v>19</v>
      </c>
      <c r="C25">
        <v>38</v>
      </c>
      <c r="D25">
        <v>21</v>
      </c>
      <c r="E25">
        <v>28</v>
      </c>
      <c r="F25">
        <v>37</v>
      </c>
      <c r="G25">
        <v>38</v>
      </c>
      <c r="H25">
        <v>38</v>
      </c>
      <c r="I25">
        <v>38</v>
      </c>
    </row>
    <row r="26" spans="2:9">
      <c r="B26" t="s">
        <v>20</v>
      </c>
      <c r="C26">
        <f>126+131</f>
        <v>257</v>
      </c>
      <c r="D26">
        <f>72+131</f>
        <v>203</v>
      </c>
      <c r="E26">
        <f>91+131</f>
        <v>222</v>
      </c>
      <c r="F26">
        <f>118+131</f>
        <v>249</v>
      </c>
      <c r="G26">
        <f>126+131</f>
        <v>257</v>
      </c>
      <c r="H26">
        <f>126+131</f>
        <v>257</v>
      </c>
      <c r="I26">
        <f>126+131</f>
        <v>257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Q26"/>
  <sheetViews>
    <sheetView topLeftCell="A7" workbookViewId="0">
      <selection activeCell="I27" sqref="I27"/>
    </sheetView>
  </sheetViews>
  <sheetFormatPr baseColWidth="10" defaultRowHeight="20"/>
  <sheetData>
    <row r="2" spans="2:17">
      <c r="B2" t="s">
        <v>14</v>
      </c>
      <c r="C2" t="s">
        <v>15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17</v>
      </c>
      <c r="K5" t="s">
        <v>1</v>
      </c>
    </row>
    <row r="6" spans="2:17">
      <c r="B6" t="s">
        <v>18</v>
      </c>
      <c r="C6">
        <v>6.1936999999999998</v>
      </c>
      <c r="D6">
        <v>2.0091000000000001</v>
      </c>
      <c r="F6">
        <v>4.1524999999999999</v>
      </c>
      <c r="G6">
        <v>6.2088999999999999</v>
      </c>
      <c r="H6">
        <v>5.0056000000000003</v>
      </c>
      <c r="K6" t="s">
        <v>2</v>
      </c>
    </row>
    <row r="7" spans="2:17">
      <c r="B7" t="s">
        <v>1</v>
      </c>
      <c r="C7">
        <v>8.3263999999999996</v>
      </c>
      <c r="D7">
        <v>4.9450000000000003</v>
      </c>
      <c r="F7">
        <v>6.9198000000000004</v>
      </c>
      <c r="G7">
        <v>8.3462999999999994</v>
      </c>
      <c r="H7">
        <v>7.4042000000000003</v>
      </c>
      <c r="K7" t="s">
        <v>3</v>
      </c>
    </row>
    <row r="8" spans="2:17">
      <c r="B8" t="s">
        <v>4</v>
      </c>
      <c r="C8">
        <v>9.9026999999999994</v>
      </c>
      <c r="D8">
        <v>6.5119999999999996</v>
      </c>
      <c r="F8">
        <v>8.6484000000000005</v>
      </c>
      <c r="G8">
        <v>9.9679000000000002</v>
      </c>
      <c r="H8">
        <v>9.0786999999999995</v>
      </c>
      <c r="K8" t="s">
        <v>4</v>
      </c>
    </row>
    <row r="9" spans="2:17">
      <c r="B9" t="s">
        <v>19</v>
      </c>
      <c r="C9">
        <v>42</v>
      </c>
      <c r="D9">
        <v>26</v>
      </c>
      <c r="F9">
        <v>40</v>
      </c>
      <c r="G9">
        <v>42</v>
      </c>
      <c r="H9">
        <v>42</v>
      </c>
    </row>
    <row r="10" spans="2:17">
      <c r="B10" t="s">
        <v>20</v>
      </c>
      <c r="C10">
        <f>118+128</f>
        <v>246</v>
      </c>
      <c r="D10">
        <f>69+131</f>
        <v>200</v>
      </c>
      <c r="F10">
        <f>118+131</f>
        <v>249</v>
      </c>
      <c r="G10">
        <f>120+128</f>
        <v>248</v>
      </c>
      <c r="H10">
        <f>118+129</f>
        <v>247</v>
      </c>
    </row>
    <row r="13" spans="2:17">
      <c r="B13" t="s">
        <v>14</v>
      </c>
      <c r="C13" t="s">
        <v>16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</row>
    <row r="15" spans="2:17">
      <c r="C15" t="s">
        <v>7</v>
      </c>
      <c r="D15" t="s">
        <v>8</v>
      </c>
      <c r="E15" s="1">
        <v>0.2</v>
      </c>
      <c r="F15" s="1">
        <v>0.4</v>
      </c>
      <c r="G15" t="s">
        <v>5</v>
      </c>
      <c r="H15" t="s">
        <v>6</v>
      </c>
      <c r="I15" t="s">
        <v>13</v>
      </c>
    </row>
    <row r="16" spans="2:17">
      <c r="B16" t="s">
        <v>21</v>
      </c>
      <c r="C16">
        <v>6.1158999999999999</v>
      </c>
      <c r="D16">
        <v>1.3027</v>
      </c>
      <c r="E16">
        <v>3.0323000000000002</v>
      </c>
      <c r="F16">
        <v>3.4123000000000001</v>
      </c>
      <c r="G16">
        <v>5.4634</v>
      </c>
      <c r="H16">
        <v>4.8198999999999996</v>
      </c>
      <c r="I16">
        <v>4.8099999999999996</v>
      </c>
    </row>
    <row r="17" spans="2:9">
      <c r="B17" t="s">
        <v>22</v>
      </c>
      <c r="C17">
        <v>6.3404999999999996</v>
      </c>
      <c r="D17">
        <v>1.2922</v>
      </c>
      <c r="E17">
        <v>2.5196999999999998</v>
      </c>
      <c r="F17">
        <v>3.2397</v>
      </c>
      <c r="G17">
        <v>5.3479000000000001</v>
      </c>
      <c r="H17">
        <v>5.2793000000000001</v>
      </c>
      <c r="I17">
        <v>5.3634000000000004</v>
      </c>
    </row>
    <row r="18" spans="2:9">
      <c r="B18" t="s">
        <v>18</v>
      </c>
      <c r="C18">
        <v>6.2979000000000003</v>
      </c>
      <c r="D18">
        <v>1.2948999999999999</v>
      </c>
      <c r="E18">
        <v>2.6080999999999999</v>
      </c>
      <c r="F18">
        <v>3.2698999999999998</v>
      </c>
      <c r="G18">
        <v>5.3688000000000002</v>
      </c>
      <c r="H18">
        <v>5.1883999999999997</v>
      </c>
      <c r="I18">
        <v>5.2523</v>
      </c>
    </row>
    <row r="19" spans="2:9">
      <c r="B19" t="s">
        <v>21</v>
      </c>
      <c r="C19">
        <v>6.1490999999999998</v>
      </c>
      <c r="D19">
        <v>3.5426000000000002</v>
      </c>
      <c r="E19">
        <v>5.7584</v>
      </c>
      <c r="F19">
        <v>6.0755999999999997</v>
      </c>
      <c r="G19">
        <v>5.4863999999999997</v>
      </c>
      <c r="H19">
        <v>6.2968999999999999</v>
      </c>
      <c r="I19">
        <v>6.4219999999999997</v>
      </c>
    </row>
    <row r="20" spans="2:9">
      <c r="B20" t="s">
        <v>22</v>
      </c>
      <c r="C20">
        <v>6.375</v>
      </c>
      <c r="D20">
        <v>4.1234000000000002</v>
      </c>
      <c r="E20">
        <v>4.8009000000000004</v>
      </c>
      <c r="F20">
        <v>5.2350000000000003</v>
      </c>
      <c r="G20">
        <v>5.7361000000000004</v>
      </c>
      <c r="H20">
        <v>6.4071999999999996</v>
      </c>
      <c r="I20">
        <v>6.5575999999999999</v>
      </c>
    </row>
    <row r="21" spans="2:9">
      <c r="B21" t="s">
        <v>1</v>
      </c>
      <c r="C21">
        <v>6.3131000000000004</v>
      </c>
      <c r="D21">
        <v>3.9184000000000001</v>
      </c>
      <c r="E21">
        <v>5.0372000000000003</v>
      </c>
      <c r="F21">
        <v>5.4414999999999996</v>
      </c>
      <c r="G21">
        <v>5.6673999999999998</v>
      </c>
      <c r="H21">
        <v>6.3776000000000002</v>
      </c>
      <c r="I21">
        <v>6.5208000000000004</v>
      </c>
    </row>
    <row r="22" spans="2:9">
      <c r="B22" t="s">
        <v>21</v>
      </c>
      <c r="C22">
        <v>7.6894</v>
      </c>
      <c r="D22">
        <v>4.8986000000000001</v>
      </c>
      <c r="E22">
        <v>6.9847999999999999</v>
      </c>
      <c r="F22">
        <v>7.3868</v>
      </c>
      <c r="G22">
        <v>7.109</v>
      </c>
      <c r="H22">
        <v>7.7312000000000003</v>
      </c>
      <c r="I22">
        <v>7.7427000000000001</v>
      </c>
    </row>
    <row r="23" spans="2:9">
      <c r="B23" t="s">
        <v>22</v>
      </c>
      <c r="C23">
        <v>8.1915999999999993</v>
      </c>
      <c r="D23">
        <v>5.2709999999999999</v>
      </c>
      <c r="E23">
        <v>6.2324999999999999</v>
      </c>
      <c r="F23">
        <v>6.8463000000000003</v>
      </c>
      <c r="G23">
        <v>7.5872000000000002</v>
      </c>
      <c r="H23">
        <v>8.0774000000000008</v>
      </c>
      <c r="I23">
        <v>8.1957000000000004</v>
      </c>
    </row>
    <row r="24" spans="2:9">
      <c r="B24" t="s">
        <v>4</v>
      </c>
      <c r="C24">
        <v>8.0587999999999997</v>
      </c>
      <c r="D24">
        <v>5.1494</v>
      </c>
      <c r="E24">
        <v>6.4210000000000003</v>
      </c>
      <c r="F24">
        <v>6.9789000000000003</v>
      </c>
      <c r="G24">
        <v>7.4606000000000003</v>
      </c>
      <c r="H24">
        <v>7.9874000000000001</v>
      </c>
      <c r="I24">
        <v>8.0769000000000002</v>
      </c>
    </row>
    <row r="25" spans="2:9">
      <c r="B25" t="s">
        <v>19</v>
      </c>
      <c r="C25">
        <v>49</v>
      </c>
      <c r="D25">
        <v>19</v>
      </c>
      <c r="E25">
        <v>38</v>
      </c>
      <c r="F25">
        <v>43</v>
      </c>
      <c r="G25">
        <v>49</v>
      </c>
      <c r="H25">
        <v>49</v>
      </c>
      <c r="I25">
        <v>49</v>
      </c>
    </row>
    <row r="26" spans="2:9">
      <c r="B26" t="s">
        <v>20</v>
      </c>
      <c r="C26">
        <f>114+130</f>
        <v>244</v>
      </c>
      <c r="D26">
        <f>39+130</f>
        <v>169</v>
      </c>
      <c r="E26">
        <f>81+130</f>
        <v>211</v>
      </c>
      <c r="F26">
        <f>94+130</f>
        <v>224</v>
      </c>
      <c r="G26">
        <f>112+127</f>
        <v>239</v>
      </c>
      <c r="H26">
        <f>110+127</f>
        <v>237</v>
      </c>
      <c r="I26">
        <f>113+130</f>
        <v>243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Q26"/>
  <sheetViews>
    <sheetView tabSelected="1" topLeftCell="A7" workbookViewId="0">
      <selection activeCell="I25" sqref="I25"/>
    </sheetView>
  </sheetViews>
  <sheetFormatPr baseColWidth="10" defaultRowHeight="20"/>
  <sheetData>
    <row r="2" spans="2:17">
      <c r="B2" t="s">
        <v>14</v>
      </c>
      <c r="C2" t="s">
        <v>15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17</v>
      </c>
      <c r="K5" t="s">
        <v>1</v>
      </c>
    </row>
    <row r="6" spans="2:17">
      <c r="B6" t="s">
        <v>18</v>
      </c>
      <c r="C6">
        <v>6.4325999999999999</v>
      </c>
      <c r="D6">
        <v>1.9963</v>
      </c>
      <c r="F6">
        <v>4.242</v>
      </c>
      <c r="G6">
        <v>5.7849000000000004</v>
      </c>
      <c r="H6">
        <v>4.8338999999999999</v>
      </c>
      <c r="K6" t="s">
        <v>2</v>
      </c>
    </row>
    <row r="7" spans="2:17">
      <c r="B7" t="s">
        <v>1</v>
      </c>
      <c r="C7">
        <v>7.7191000000000001</v>
      </c>
      <c r="D7">
        <v>4.8433000000000002</v>
      </c>
      <c r="F7">
        <v>7.9393000000000002</v>
      </c>
      <c r="G7">
        <v>7.7988999999999997</v>
      </c>
      <c r="H7">
        <v>7.7183000000000002</v>
      </c>
      <c r="K7" t="s">
        <v>3</v>
      </c>
    </row>
    <row r="8" spans="2:17">
      <c r="B8" t="s">
        <v>4</v>
      </c>
      <c r="C8">
        <v>9.5296000000000003</v>
      </c>
      <c r="D8">
        <v>6.5780000000000003</v>
      </c>
      <c r="F8">
        <v>9.2665000000000006</v>
      </c>
      <c r="G8">
        <v>9.4802999999999997</v>
      </c>
      <c r="H8">
        <v>9.2280999999999995</v>
      </c>
      <c r="K8" t="s">
        <v>4</v>
      </c>
    </row>
    <row r="9" spans="2:17">
      <c r="B9" t="s">
        <v>19</v>
      </c>
      <c r="C9">
        <v>42</v>
      </c>
      <c r="D9">
        <v>20</v>
      </c>
      <c r="F9">
        <v>38</v>
      </c>
      <c r="G9">
        <v>42</v>
      </c>
      <c r="H9">
        <v>42</v>
      </c>
    </row>
    <row r="10" spans="2:17">
      <c r="B10" t="s">
        <v>20</v>
      </c>
      <c r="C10">
        <f>119+128</f>
        <v>247</v>
      </c>
      <c r="D10">
        <f>68+130</f>
        <v>198</v>
      </c>
      <c r="F10">
        <f>107+130</f>
        <v>237</v>
      </c>
      <c r="G10">
        <f>113+124</f>
        <v>237</v>
      </c>
      <c r="H10">
        <f>112+125</f>
        <v>237</v>
      </c>
    </row>
    <row r="13" spans="2:17">
      <c r="B13" t="s">
        <v>14</v>
      </c>
      <c r="C13" t="s">
        <v>16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</row>
    <row r="15" spans="2:17">
      <c r="C15" t="s">
        <v>7</v>
      </c>
      <c r="D15" t="s">
        <v>8</v>
      </c>
      <c r="E15" s="1">
        <v>0.2</v>
      </c>
      <c r="F15" s="1">
        <v>0.4</v>
      </c>
      <c r="G15" t="s">
        <v>5</v>
      </c>
      <c r="H15" t="s">
        <v>6</v>
      </c>
      <c r="I15" t="s">
        <v>13</v>
      </c>
    </row>
    <row r="16" spans="2:17">
      <c r="B16" t="s">
        <v>21</v>
      </c>
      <c r="C16">
        <v>5.2283999999999997</v>
      </c>
      <c r="D16">
        <v>1.5762</v>
      </c>
      <c r="F16">
        <v>3.4643000000000002</v>
      </c>
      <c r="G16">
        <v>5.2061000000000002</v>
      </c>
      <c r="H16">
        <v>5.5242000000000004</v>
      </c>
      <c r="I16">
        <v>5.6245000000000003</v>
      </c>
    </row>
    <row r="17" spans="2:9">
      <c r="B17" t="s">
        <v>22</v>
      </c>
      <c r="C17">
        <v>5.2740999999999998</v>
      </c>
      <c r="D17">
        <v>1.8949</v>
      </c>
      <c r="F17">
        <v>3.3645999999999998</v>
      </c>
      <c r="G17">
        <v>5.2012</v>
      </c>
      <c r="H17">
        <v>5.4080000000000004</v>
      </c>
      <c r="I17">
        <v>5.72</v>
      </c>
    </row>
    <row r="18" spans="2:9">
      <c r="B18" t="s">
        <v>18</v>
      </c>
      <c r="C18">
        <v>5.2558999999999996</v>
      </c>
      <c r="D18">
        <v>1.7354000000000001</v>
      </c>
      <c r="F18">
        <v>3.4051999999999998</v>
      </c>
      <c r="G18">
        <v>5.2031999999999998</v>
      </c>
      <c r="H18">
        <v>5.4531999999999998</v>
      </c>
      <c r="I18">
        <v>5.6820000000000004</v>
      </c>
    </row>
    <row r="19" spans="2:9">
      <c r="B19" t="s">
        <v>21</v>
      </c>
      <c r="C19">
        <v>4.5777999999999999</v>
      </c>
      <c r="D19">
        <v>4.2861000000000002</v>
      </c>
      <c r="F19">
        <v>5.9051</v>
      </c>
      <c r="G19">
        <v>6.2434000000000003</v>
      </c>
      <c r="H19">
        <v>7.0702999999999996</v>
      </c>
      <c r="I19">
        <v>7.2678000000000003</v>
      </c>
    </row>
    <row r="20" spans="2:9">
      <c r="B20" t="s">
        <v>22</v>
      </c>
      <c r="C20">
        <v>4.6013000000000002</v>
      </c>
      <c r="D20">
        <v>4.5890000000000004</v>
      </c>
      <c r="F20">
        <v>5.923</v>
      </c>
      <c r="G20">
        <v>6.3669000000000002</v>
      </c>
      <c r="H20">
        <v>6.5118</v>
      </c>
      <c r="I20">
        <v>6.9088000000000003</v>
      </c>
    </row>
    <row r="21" spans="2:9">
      <c r="B21" t="s">
        <v>1</v>
      </c>
      <c r="C21">
        <v>4.5955000000000004</v>
      </c>
      <c r="D21">
        <v>4.5143000000000004</v>
      </c>
      <c r="F21">
        <v>5.9185999999999996</v>
      </c>
      <c r="G21">
        <v>6.3365999999999998</v>
      </c>
      <c r="H21">
        <v>6.6391999999999998</v>
      </c>
      <c r="I21">
        <v>6.9923000000000002</v>
      </c>
    </row>
    <row r="22" spans="2:9">
      <c r="B22" t="s">
        <v>21</v>
      </c>
      <c r="C22">
        <v>6.4459</v>
      </c>
      <c r="D22">
        <v>5.0152000000000001</v>
      </c>
      <c r="F22">
        <v>6.8265000000000002</v>
      </c>
      <c r="G22">
        <v>7.4915000000000003</v>
      </c>
      <c r="H22">
        <v>8.0615000000000006</v>
      </c>
      <c r="I22">
        <v>8.2070000000000007</v>
      </c>
    </row>
    <row r="23" spans="2:9">
      <c r="B23" t="s">
        <v>22</v>
      </c>
      <c r="C23">
        <v>6.7553000000000001</v>
      </c>
      <c r="D23">
        <v>6.3192000000000004</v>
      </c>
      <c r="F23">
        <v>7.4955999999999996</v>
      </c>
      <c r="G23">
        <v>8.0891999999999999</v>
      </c>
      <c r="H23">
        <v>8.2640999999999991</v>
      </c>
      <c r="I23">
        <v>8.6217000000000006</v>
      </c>
    </row>
    <row r="24" spans="2:9">
      <c r="B24" t="s">
        <v>4</v>
      </c>
      <c r="C24">
        <v>6.6680999999999999</v>
      </c>
      <c r="D24">
        <v>5.9226000000000001</v>
      </c>
      <c r="E24" s="2"/>
      <c r="F24">
        <v>7.3028000000000004</v>
      </c>
      <c r="G24">
        <v>7.9191000000000003</v>
      </c>
      <c r="H24">
        <v>8.2085000000000008</v>
      </c>
      <c r="I24">
        <v>8.5060000000000002</v>
      </c>
    </row>
    <row r="25" spans="2:9">
      <c r="B25" t="s">
        <v>19</v>
      </c>
      <c r="C25">
        <v>48</v>
      </c>
      <c r="D25">
        <v>22</v>
      </c>
      <c r="F25">
        <v>39</v>
      </c>
      <c r="G25">
        <v>46</v>
      </c>
      <c r="H25">
        <v>48</v>
      </c>
      <c r="I25">
        <v>48</v>
      </c>
    </row>
    <row r="26" spans="2:9">
      <c r="B26" t="s">
        <v>20</v>
      </c>
      <c r="C26">
        <f>108+108</f>
        <v>216</v>
      </c>
      <c r="D26">
        <f>60+130</f>
        <v>190</v>
      </c>
      <c r="F26">
        <f>98+129</f>
        <v>227</v>
      </c>
      <c r="G26">
        <f>106+123</f>
        <v>229</v>
      </c>
      <c r="H26">
        <f>110+122</f>
        <v>232</v>
      </c>
      <c r="I26">
        <f>110+125</f>
        <v>235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Q26"/>
  <sheetViews>
    <sheetView topLeftCell="A2" workbookViewId="0">
      <selection activeCell="B16" sqref="B16:B26"/>
    </sheetView>
  </sheetViews>
  <sheetFormatPr baseColWidth="10" defaultRowHeight="20"/>
  <sheetData>
    <row r="2" spans="2:17">
      <c r="B2" t="s">
        <v>0</v>
      </c>
      <c r="K2" t="s">
        <v>12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13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</v>
      </c>
      <c r="K5" t="s">
        <v>1</v>
      </c>
    </row>
    <row r="6" spans="2:17">
      <c r="B6" t="s">
        <v>2</v>
      </c>
      <c r="K6" t="s">
        <v>2</v>
      </c>
    </row>
    <row r="7" spans="2:17">
      <c r="B7" t="s">
        <v>3</v>
      </c>
      <c r="K7" t="s">
        <v>3</v>
      </c>
    </row>
    <row r="8" spans="2:17">
      <c r="B8" t="s">
        <v>4</v>
      </c>
      <c r="K8" t="s">
        <v>4</v>
      </c>
    </row>
    <row r="13" spans="2:17">
      <c r="B13" t="s">
        <v>9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</row>
    <row r="15" spans="2:17">
      <c r="C15" t="s">
        <v>7</v>
      </c>
      <c r="D15" t="s">
        <v>8</v>
      </c>
      <c r="E15" s="1">
        <v>0.2</v>
      </c>
      <c r="F15" s="1">
        <v>0.4</v>
      </c>
      <c r="G15" t="s">
        <v>5</v>
      </c>
      <c r="H15" t="s">
        <v>6</v>
      </c>
    </row>
    <row r="16" spans="2:17">
      <c r="B16" t="s">
        <v>21</v>
      </c>
    </row>
    <row r="17" spans="2:2">
      <c r="B17" t="s">
        <v>22</v>
      </c>
    </row>
    <row r="18" spans="2:2">
      <c r="B18" t="s">
        <v>18</v>
      </c>
    </row>
    <row r="19" spans="2:2">
      <c r="B19" t="s">
        <v>21</v>
      </c>
    </row>
    <row r="20" spans="2:2">
      <c r="B20" t="s">
        <v>22</v>
      </c>
    </row>
    <row r="21" spans="2:2">
      <c r="B21" t="s">
        <v>1</v>
      </c>
    </row>
    <row r="22" spans="2:2">
      <c r="B22" t="s">
        <v>21</v>
      </c>
    </row>
    <row r="23" spans="2:2">
      <c r="B23" t="s">
        <v>22</v>
      </c>
    </row>
    <row r="24" spans="2:2">
      <c r="B24" t="s">
        <v>4</v>
      </c>
    </row>
    <row r="25" spans="2:2">
      <c r="B25" t="s">
        <v>19</v>
      </c>
    </row>
    <row r="26" spans="2:2">
      <c r="B26" t="s">
        <v>20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Q26"/>
  <sheetViews>
    <sheetView workbookViewId="0">
      <selection activeCell="B16" sqref="B16:B26"/>
    </sheetView>
  </sheetViews>
  <sheetFormatPr baseColWidth="10" defaultRowHeight="20"/>
  <sheetData>
    <row r="2" spans="2:17">
      <c r="B2" t="s">
        <v>0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13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</v>
      </c>
      <c r="K5" t="s">
        <v>1</v>
      </c>
    </row>
    <row r="6" spans="2:17">
      <c r="B6" t="s">
        <v>2</v>
      </c>
      <c r="K6" t="s">
        <v>2</v>
      </c>
    </row>
    <row r="7" spans="2:17">
      <c r="B7" t="s">
        <v>3</v>
      </c>
      <c r="K7" t="s">
        <v>3</v>
      </c>
    </row>
    <row r="8" spans="2:17">
      <c r="B8" t="s">
        <v>4</v>
      </c>
      <c r="K8" t="s">
        <v>4</v>
      </c>
    </row>
    <row r="13" spans="2:17">
      <c r="B13" t="s">
        <v>9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</row>
    <row r="15" spans="2:17">
      <c r="C15" t="s">
        <v>7</v>
      </c>
      <c r="D15" t="s">
        <v>8</v>
      </c>
      <c r="E15" s="1">
        <v>0.2</v>
      </c>
      <c r="F15" s="1">
        <v>0.4</v>
      </c>
      <c r="G15" t="s">
        <v>5</v>
      </c>
      <c r="H15" t="s">
        <v>6</v>
      </c>
    </row>
    <row r="16" spans="2:17">
      <c r="B16" t="s">
        <v>21</v>
      </c>
    </row>
    <row r="17" spans="2:2">
      <c r="B17" t="s">
        <v>22</v>
      </c>
    </row>
    <row r="18" spans="2:2">
      <c r="B18" t="s">
        <v>18</v>
      </c>
    </row>
    <row r="19" spans="2:2">
      <c r="B19" t="s">
        <v>21</v>
      </c>
    </row>
    <row r="20" spans="2:2">
      <c r="B20" t="s">
        <v>22</v>
      </c>
    </row>
    <row r="21" spans="2:2">
      <c r="B21" t="s">
        <v>1</v>
      </c>
    </row>
    <row r="22" spans="2:2">
      <c r="B22" t="s">
        <v>21</v>
      </c>
    </row>
    <row r="23" spans="2:2">
      <c r="B23" t="s">
        <v>22</v>
      </c>
    </row>
    <row r="24" spans="2:2">
      <c r="B24" t="s">
        <v>4</v>
      </c>
    </row>
    <row r="25" spans="2:2">
      <c r="B25" t="s">
        <v>19</v>
      </c>
    </row>
    <row r="26" spans="2:2">
      <c r="B26" t="s">
        <v>20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Q27"/>
  <sheetViews>
    <sheetView topLeftCell="A12" workbookViewId="0">
      <selection activeCell="F33" sqref="F33"/>
    </sheetView>
  </sheetViews>
  <sheetFormatPr baseColWidth="10" defaultRowHeight="20"/>
  <sheetData>
    <row r="2" spans="2:17">
      <c r="B2" t="s">
        <v>14</v>
      </c>
      <c r="C2" t="s">
        <v>15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17</v>
      </c>
      <c r="C5" t="e">
        <f>ROUND(AVERAGE(seed1!C5,seed2!C5,seed3!C5,seed4!C5,seed5!C5),4)</f>
        <v>#DIV/0!</v>
      </c>
      <c r="D5" t="e">
        <f>ROUND(AVERAGE(seed1!D5,seed2!D5,seed3!D5,seed4!D5,seed5!D5),4)</f>
        <v>#DIV/0!</v>
      </c>
      <c r="E5" t="e">
        <f>ROUND(AVERAGE(seed1!E5,seed2!E5,seed3!E5,seed4!E5,seed5!E5),4)</f>
        <v>#DIV/0!</v>
      </c>
      <c r="F5" t="e">
        <f>ROUND(AVERAGE(seed1!F5,seed2!F5,seed3!F5,seed4!F5,seed5!F5),4)</f>
        <v>#DIV/0!</v>
      </c>
      <c r="G5" t="e">
        <f>ROUND(AVERAGE(seed1!G5,seed2!G5,seed3!G5,seed4!G5,seed5!G5),4)</f>
        <v>#DIV/0!</v>
      </c>
      <c r="H5" t="e">
        <f>ROUND(AVERAGE(seed1!H5,seed2!H5,seed3!H5,seed4!H5,seed5!H5),4)</f>
        <v>#DIV/0!</v>
      </c>
      <c r="K5" t="s">
        <v>1</v>
      </c>
      <c r="L5" t="e">
        <f>AVERAGE(seed1!L5,seed2!L5,seed3!L5,seed4!L5,seed5!L5)</f>
        <v>#DIV/0!</v>
      </c>
      <c r="M5" t="e">
        <f>AVERAGE(seed1!M5,seed2!M5,seed3!M5,seed4!M5,seed5!M5)</f>
        <v>#DIV/0!</v>
      </c>
      <c r="N5" t="e">
        <f>AVERAGE(seed1!N5,seed2!N5,seed3!N5,seed4!N5,seed5!N5)</f>
        <v>#DIV/0!</v>
      </c>
      <c r="O5" t="e">
        <f>AVERAGE(seed1!O5,seed2!O5,seed3!O5,seed4!O5,seed5!O5)</f>
        <v>#DIV/0!</v>
      </c>
      <c r="P5" t="e">
        <f>AVERAGE(seed1!P5,seed2!P5,seed3!P5,seed4!P5,seed5!P5)</f>
        <v>#DIV/0!</v>
      </c>
      <c r="Q5" t="e">
        <f>AVERAGE(seed1!Q5,seed2!Q5,seed3!Q5,seed4!Q5,seed5!Q5)</f>
        <v>#DIV/0!</v>
      </c>
    </row>
    <row r="6" spans="2:17">
      <c r="B6" t="s">
        <v>18</v>
      </c>
      <c r="C6">
        <f>ROUND(AVERAGE(seed1!C6,seed2!C6,seed3!C6,seed4!C6,seed5!C6),4)</f>
        <v>6.2282000000000002</v>
      </c>
      <c r="D6">
        <f>ROUND(AVERAGE(seed1!D6,seed2!D6,seed3!D6,seed4!D6,seed5!D6),4)</f>
        <v>1.919</v>
      </c>
      <c r="E6" t="e">
        <f>ROUND(AVERAGE(seed1!E6,seed2!E6,seed3!E6,seed4!E6,seed5!E6),4)</f>
        <v>#DIV/0!</v>
      </c>
      <c r="F6">
        <f>ROUND(AVERAGE(seed1!F6,seed2!F6,seed3!F6,seed4!F6,seed5!F6),4)</f>
        <v>4.4581999999999997</v>
      </c>
      <c r="G6">
        <f>ROUND(AVERAGE(seed1!G6,seed2!G6,seed3!G6,seed4!G6,seed5!G6),4)</f>
        <v>6.0595999999999997</v>
      </c>
      <c r="H6">
        <f>ROUND(AVERAGE(seed1!H6,seed2!H6,seed3!H6,seed4!H6,seed5!H6),4)</f>
        <v>5.1463000000000001</v>
      </c>
      <c r="K6" t="s">
        <v>2</v>
      </c>
      <c r="L6" t="e">
        <f>AVERAGE(seed1!L6,seed2!L6,seed3!L6,seed4!L6,seed5!L6)</f>
        <v>#DIV/0!</v>
      </c>
      <c r="M6" t="e">
        <f>AVERAGE(seed1!M6,seed2!M6,seed3!M6,seed4!M6,seed5!M6)</f>
        <v>#DIV/0!</v>
      </c>
      <c r="N6" t="e">
        <f>AVERAGE(seed1!N6,seed2!N6,seed3!N6,seed4!N6,seed5!N6)</f>
        <v>#DIV/0!</v>
      </c>
      <c r="O6" t="e">
        <f>AVERAGE(seed1!O6,seed2!O6,seed3!O6,seed4!O6,seed5!O6)</f>
        <v>#DIV/0!</v>
      </c>
      <c r="P6" t="e">
        <f>AVERAGE(seed1!P6,seed2!P6,seed3!P6,seed4!P6,seed5!P6)</f>
        <v>#DIV/0!</v>
      </c>
      <c r="Q6" t="e">
        <f>AVERAGE(seed1!Q6,seed2!Q6,seed3!Q6,seed4!Q6,seed5!Q6)</f>
        <v>#DIV/0!</v>
      </c>
    </row>
    <row r="7" spans="2:17">
      <c r="B7" t="s">
        <v>1</v>
      </c>
      <c r="C7">
        <f>ROUND(AVERAGE(seed1!C7,seed2!C7,seed3!C7,seed4!C7,seed5!C7),4)</f>
        <v>8.1518999999999995</v>
      </c>
      <c r="D7">
        <f>ROUND(AVERAGE(seed1!D7,seed2!D7,seed3!D7,seed4!D7,seed5!D7),4)</f>
        <v>4.8651999999999997</v>
      </c>
      <c r="E7" t="e">
        <f>ROUND(AVERAGE(seed1!E7,seed2!E7,seed3!E7,seed4!E7,seed5!E7),4)</f>
        <v>#DIV/0!</v>
      </c>
      <c r="F7">
        <f>ROUND(AVERAGE(seed1!F7,seed2!F7,seed3!F7,seed4!F7,seed5!F7),4)</f>
        <v>7.6135999999999999</v>
      </c>
      <c r="G7">
        <f>ROUND(AVERAGE(seed1!G7,seed2!G7,seed3!G7,seed4!G7,seed5!G7),4)</f>
        <v>8.2943999999999996</v>
      </c>
      <c r="H7">
        <f>ROUND(AVERAGE(seed1!H7,seed2!H7,seed3!H7,seed4!H7,seed5!H7),4)</f>
        <v>7.8708999999999998</v>
      </c>
      <c r="K7" t="s">
        <v>3</v>
      </c>
      <c r="L7" t="e">
        <f>AVERAGE(seed1!L7,seed2!L7,seed3!L7,seed4!L7,seed5!L7)</f>
        <v>#DIV/0!</v>
      </c>
      <c r="M7" t="e">
        <f>AVERAGE(seed1!M7,seed2!M7,seed3!M7,seed4!M7,seed5!M7)</f>
        <v>#DIV/0!</v>
      </c>
      <c r="N7" t="e">
        <f>AVERAGE(seed1!N7,seed2!N7,seed3!N7,seed4!N7,seed5!N7)</f>
        <v>#DIV/0!</v>
      </c>
      <c r="O7" t="e">
        <f>AVERAGE(seed1!O7,seed2!O7,seed3!O7,seed4!O7,seed5!O7)</f>
        <v>#DIV/0!</v>
      </c>
      <c r="P7" t="e">
        <f>AVERAGE(seed1!P7,seed2!P7,seed3!P7,seed4!P7,seed5!P7)</f>
        <v>#DIV/0!</v>
      </c>
      <c r="Q7" t="e">
        <f>AVERAGE(seed1!Q7,seed2!Q7,seed3!Q7,seed4!Q7,seed5!Q7)</f>
        <v>#DIV/0!</v>
      </c>
    </row>
    <row r="8" spans="2:17">
      <c r="B8" t="s">
        <v>4</v>
      </c>
      <c r="C8">
        <f>ROUND(AVERAGE(seed1!C8,seed2!C8,seed3!C8,seed4!C8,seed5!C8),4)</f>
        <v>9.8102999999999998</v>
      </c>
      <c r="D8">
        <f>ROUND(AVERAGE(seed1!D8,seed2!D8,seed3!D8,seed4!D8,seed5!D8),4)</f>
        <v>6.4881000000000002</v>
      </c>
      <c r="E8" t="e">
        <f>ROUND(AVERAGE(seed1!E8,seed2!E8,seed3!E8,seed4!E8,seed5!E8),4)</f>
        <v>#DIV/0!</v>
      </c>
      <c r="F8">
        <f>ROUND(AVERAGE(seed1!F8,seed2!F8,seed3!F8,seed4!F8,seed5!F8),4)</f>
        <v>9.15</v>
      </c>
      <c r="G8">
        <f>ROUND(AVERAGE(seed1!G8,seed2!G8,seed3!G8,seed4!G8,seed5!G8),4)</f>
        <v>9.9002999999999997</v>
      </c>
      <c r="H8">
        <f>ROUND(AVERAGE(seed1!H8,seed2!H8,seed3!H8,seed4!H8,seed5!H8),4)</f>
        <v>9.423</v>
      </c>
      <c r="K8" t="s">
        <v>4</v>
      </c>
      <c r="L8" t="e">
        <f>AVERAGE(seed1!L8,seed2!L8,seed3!L8,seed4!L8,seed5!L8)</f>
        <v>#DIV/0!</v>
      </c>
      <c r="M8" t="e">
        <f>AVERAGE(seed1!M8,seed2!M8,seed3!M8,seed4!M8,seed5!M8)</f>
        <v>#DIV/0!</v>
      </c>
      <c r="N8" t="e">
        <f>AVERAGE(seed1!N8,seed2!N8,seed3!N8,seed4!N8,seed5!N8)</f>
        <v>#DIV/0!</v>
      </c>
      <c r="O8" t="e">
        <f>AVERAGE(seed1!O8,seed2!O8,seed3!O8,seed4!O8,seed5!O8)</f>
        <v>#DIV/0!</v>
      </c>
      <c r="P8" t="e">
        <f>AVERAGE(seed1!P8,seed2!P8,seed3!P8,seed4!P8,seed5!P8)</f>
        <v>#DIV/0!</v>
      </c>
      <c r="Q8" t="e">
        <f>AVERAGE(seed1!Q8,seed2!Q8,seed3!Q8,seed4!Q8,seed5!Q8)</f>
        <v>#DIV/0!</v>
      </c>
    </row>
    <row r="9" spans="2:17">
      <c r="B9" t="s">
        <v>19</v>
      </c>
      <c r="C9">
        <f>ROUND(AVERAGE(seed1!C9,seed2!C9,seed3!C9,seed4!C9,seed5!C9),1)</f>
        <v>41</v>
      </c>
      <c r="D9">
        <f>ROUND(AVERAGE(seed1!D9,seed2!D9,seed3!D9,seed4!D9,seed5!D9),1)</f>
        <v>22.7</v>
      </c>
      <c r="E9" t="e">
        <f>ROUND(AVERAGE(seed1!E9,seed2!E9,seed3!E9,seed4!E9,seed5!E9),1)</f>
        <v>#DIV/0!</v>
      </c>
      <c r="F9">
        <f>ROUND(AVERAGE(seed1!F9,seed2!F9,seed3!F9,seed4!F9,seed5!F9),1)</f>
        <v>39</v>
      </c>
      <c r="G9">
        <f>ROUND(AVERAGE(seed1!G9,seed2!G9,seed3!G9,seed4!G9,seed5!G9),1)</f>
        <v>41</v>
      </c>
      <c r="H9">
        <f>ROUND(AVERAGE(seed1!H9,seed2!H9,seed3!H9,seed4!H9,seed5!H9),1)</f>
        <v>41</v>
      </c>
    </row>
    <row r="10" spans="2:17">
      <c r="B10" t="s">
        <v>20</v>
      </c>
      <c r="C10">
        <f>ROUND(AVERAGE(seed1!C10,seed2!C10,seed3!C10,seed4!C10,seed5!C10),1)</f>
        <v>248.7</v>
      </c>
      <c r="D10">
        <f>ROUND(AVERAGE(seed1!D10,seed2!D10,seed3!D10,seed4!D10,seed5!D10),1)</f>
        <v>199.7</v>
      </c>
      <c r="E10" t="e">
        <f>ROUND(AVERAGE(seed1!E10,seed2!E10,seed3!E10,seed4!E10,seed5!E10),1)</f>
        <v>#DIV/0!</v>
      </c>
      <c r="F10">
        <f>ROUND(AVERAGE(seed1!F10,seed2!F10,seed3!F10,seed4!F10,seed5!F10),1)</f>
        <v>247.3</v>
      </c>
      <c r="G10">
        <f>ROUND(AVERAGE(seed1!G10,seed2!G10,seed3!G10,seed4!G10,seed5!G10),1)</f>
        <v>247</v>
      </c>
      <c r="H10">
        <f>ROUND(AVERAGE(seed1!H10,seed2!H10,seed3!H10,seed4!H10,seed5!H10),1)</f>
        <v>246.3</v>
      </c>
      <c r="K10" t="s">
        <v>11</v>
      </c>
      <c r="L10" t="e">
        <f>AVERAGE(L5:L7)</f>
        <v>#DIV/0!</v>
      </c>
      <c r="M10" t="e">
        <f t="shared" ref="M10:Q10" si="0">AVERAGE(M5:M7)</f>
        <v>#DIV/0!</v>
      </c>
      <c r="N10" t="e">
        <f t="shared" si="0"/>
        <v>#DIV/0!</v>
      </c>
      <c r="O10" t="e">
        <f t="shared" si="0"/>
        <v>#DIV/0!</v>
      </c>
      <c r="P10" t="e">
        <f t="shared" si="0"/>
        <v>#DIV/0!</v>
      </c>
      <c r="Q10" t="e">
        <f t="shared" si="0"/>
        <v>#DIV/0!</v>
      </c>
    </row>
    <row r="11" spans="2:17">
      <c r="B11" t="s">
        <v>11</v>
      </c>
      <c r="C11">
        <f>ROUND(AVERAGE(C6:C7),4)</f>
        <v>7.1901000000000002</v>
      </c>
      <c r="D11">
        <f>ROUND(AVERAGE(D6:D7),4)</f>
        <v>3.3921000000000001</v>
      </c>
      <c r="E11" t="e">
        <f>ROUND(AVERAGE(E6:E7),4)</f>
        <v>#DIV/0!</v>
      </c>
      <c r="F11">
        <f>ROUND(AVERAGE(F6:F7),4)</f>
        <v>6.0358999999999998</v>
      </c>
      <c r="G11">
        <f>ROUND(AVERAGE(G6:G7),4)</f>
        <v>7.1769999999999996</v>
      </c>
      <c r="H11">
        <f>ROUND(AVERAGE(H6:H7),4)</f>
        <v>6.5086000000000004</v>
      </c>
    </row>
    <row r="13" spans="2:17">
      <c r="B13" t="s">
        <v>14</v>
      </c>
      <c r="C13" t="s">
        <v>16</v>
      </c>
    </row>
    <row r="14" spans="2:17">
      <c r="C14">
        <v>1</v>
      </c>
      <c r="D14">
        <v>2</v>
      </c>
      <c r="E14">
        <v>3</v>
      </c>
      <c r="F14">
        <v>4</v>
      </c>
      <c r="G14">
        <v>5</v>
      </c>
      <c r="H14">
        <v>6</v>
      </c>
      <c r="I14">
        <v>7</v>
      </c>
    </row>
    <row r="15" spans="2:17">
      <c r="C15" t="s">
        <v>7</v>
      </c>
      <c r="D15" t="s">
        <v>8</v>
      </c>
      <c r="E15" s="1">
        <v>0.2</v>
      </c>
      <c r="F15" s="1">
        <v>0.4</v>
      </c>
      <c r="G15" t="s">
        <v>5</v>
      </c>
      <c r="H15" t="s">
        <v>6</v>
      </c>
      <c r="I15" t="s">
        <v>13</v>
      </c>
    </row>
    <row r="16" spans="2:17">
      <c r="B16" t="s">
        <v>21</v>
      </c>
      <c r="C16">
        <f>ROUND(AVERAGE(seed1!C16,seed2!C16,seed3!C16,seed4!C16,seed5!C16),4)</f>
        <v>5.8159999999999998</v>
      </c>
      <c r="D16">
        <f>ROUND(AVERAGE(seed1!D16,seed2!D16,seed3!D16,seed4!D16,seed5!D16),4)</f>
        <v>1.7492000000000001</v>
      </c>
      <c r="E16">
        <f>ROUND(AVERAGE(seed1!E16,seed2!E16,seed3!E16,seed4!E16,seed5!E16),4)</f>
        <v>2.8647</v>
      </c>
      <c r="F16">
        <f>ROUND(AVERAGE(seed1!F16,seed2!F16,seed3!F16,seed4!F16,seed5!F16),4)</f>
        <v>3.7296999999999998</v>
      </c>
      <c r="G16">
        <f>ROUND(AVERAGE(seed1!G16,seed2!G16,seed3!G16,seed4!G16,seed5!G16),4)</f>
        <v>5.5716000000000001</v>
      </c>
      <c r="H16">
        <f>ROUND(AVERAGE(seed1!H16,seed2!H16,seed3!H16,seed4!H16,seed5!H16),4)</f>
        <v>5.3239000000000001</v>
      </c>
      <c r="I16">
        <f>AVERAGE(seed1!I16,seed2!I16,seed3!I16,seed4!I16,seed5!I16)</f>
        <v>5.3638000000000003</v>
      </c>
    </row>
    <row r="17" spans="2:9">
      <c r="B17" t="s">
        <v>22</v>
      </c>
      <c r="C17">
        <f>ROUND(AVERAGE(seed1!C17,seed2!C17,seed3!C17,seed4!C17,seed5!C17),4)</f>
        <v>5.9047000000000001</v>
      </c>
      <c r="D17">
        <f>ROUND(AVERAGE(seed1!D17,seed2!D17,seed3!D17,seed4!D17,seed5!D17),4)</f>
        <v>1.6501999999999999</v>
      </c>
      <c r="E17">
        <f>ROUND(AVERAGE(seed1!E17,seed2!E17,seed3!E17,seed4!E17,seed5!E17),4)</f>
        <v>2.6417999999999999</v>
      </c>
      <c r="F17">
        <f>ROUND(AVERAGE(seed1!F17,seed2!F17,seed3!F17,seed4!F17,seed5!F17),4)</f>
        <v>3.6415000000000002</v>
      </c>
      <c r="G17">
        <f>ROUND(AVERAGE(seed1!G17,seed2!G17,seed3!G17,seed4!G17,seed5!G17),4)</f>
        <v>5.6318000000000001</v>
      </c>
      <c r="H17">
        <f>ROUND(AVERAGE(seed1!H17,seed2!H17,seed3!H17,seed4!H17,seed5!H17),4)</f>
        <v>5.3920000000000003</v>
      </c>
      <c r="I17">
        <f>AVERAGE(seed1!I17,seed2!I17,seed3!I17,seed4!I17,seed5!I17)</f>
        <v>5.5634666666666668</v>
      </c>
    </row>
    <row r="18" spans="2:9">
      <c r="B18" t="s">
        <v>18</v>
      </c>
      <c r="C18">
        <f>ROUND(AVERAGE(seed1!C18,seed2!C18,seed3!C18,seed4!C18,seed5!C18),4)</f>
        <v>5.8845999999999998</v>
      </c>
      <c r="D18">
        <f>ROUND(AVERAGE(seed1!D18,seed2!D18,seed3!D18,seed4!D18,seed5!D18),4)</f>
        <v>1.6281000000000001</v>
      </c>
      <c r="E18">
        <f>ROUND(AVERAGE(seed1!E18,seed2!E18,seed3!E18,seed4!E18,seed5!E18),4)</f>
        <v>2.6791999999999998</v>
      </c>
      <c r="F18">
        <f>ROUND(AVERAGE(seed1!F18,seed2!F18,seed3!F18,seed4!F18,seed5!F18),4)</f>
        <v>3.6646999999999998</v>
      </c>
      <c r="G18">
        <f>ROUND(AVERAGE(seed1!G18,seed2!G18,seed3!G18,seed4!G18,seed5!G18),4)</f>
        <v>5.6228999999999996</v>
      </c>
      <c r="H18">
        <f>ROUND(AVERAGE(seed1!H18,seed2!H18,seed3!H18,seed4!H18,seed5!H18),4)</f>
        <v>5.3838999999999997</v>
      </c>
      <c r="I18">
        <f>AVERAGE(seed1!I18,seed2!I18,seed3!I18,seed4!I18,seed5!I18)</f>
        <v>5.5163666666666673</v>
      </c>
    </row>
    <row r="19" spans="2:9">
      <c r="B19" t="s">
        <v>21</v>
      </c>
      <c r="C19">
        <f>ROUND(AVERAGE(seed1!C19,seed2!C19,seed3!C19,seed4!C19,seed5!C19),4)</f>
        <v>5.9686000000000003</v>
      </c>
      <c r="D19">
        <f>ROUND(AVERAGE(seed1!D19,seed2!D19,seed3!D19,seed4!D19,seed5!D19),4)</f>
        <v>4.1832000000000003</v>
      </c>
      <c r="E19">
        <f>ROUND(AVERAGE(seed1!E19,seed2!E19,seed3!E19,seed4!E19,seed5!E19),4)</f>
        <v>5.6829000000000001</v>
      </c>
      <c r="F19">
        <f>ROUND(AVERAGE(seed1!F19,seed2!F19,seed3!F19,seed4!F19,seed5!F19),4)</f>
        <v>6.4104999999999999</v>
      </c>
      <c r="G19">
        <f>ROUND(AVERAGE(seed1!G19,seed2!G19,seed3!G19,seed4!G19,seed5!G19),4)</f>
        <v>6.3992000000000004</v>
      </c>
      <c r="H19">
        <f>ROUND(AVERAGE(seed1!H19,seed2!H19,seed3!H19,seed4!H19,seed5!H19),4)</f>
        <v>6.9340000000000002</v>
      </c>
      <c r="I19">
        <f>AVERAGE(seed1!I19,seed2!I19,seed3!I19,seed4!I19,seed5!I19)</f>
        <v>7.0146000000000006</v>
      </c>
    </row>
    <row r="20" spans="2:9">
      <c r="B20" t="s">
        <v>22</v>
      </c>
      <c r="C20">
        <f>ROUND(AVERAGE(seed1!C20,seed2!C20,seed3!C20,seed4!C20,seed5!C20),4)</f>
        <v>6.3030999999999997</v>
      </c>
      <c r="D20">
        <f>ROUND(AVERAGE(seed1!D20,seed2!D20,seed3!D20,seed4!D20,seed5!D20),4)</f>
        <v>4.4619</v>
      </c>
      <c r="E20">
        <f>ROUND(AVERAGE(seed1!E20,seed2!E20,seed3!E20,seed4!E20,seed5!E20),4)</f>
        <v>5.0408999999999997</v>
      </c>
      <c r="F20">
        <f>ROUND(AVERAGE(seed1!F20,seed2!F20,seed3!F20,seed4!F20,seed5!F20),4)</f>
        <v>5.8794000000000004</v>
      </c>
      <c r="G20">
        <f>ROUND(AVERAGE(seed1!G20,seed2!G20,seed3!G20,seed4!G20,seed5!G20),4)</f>
        <v>6.7301000000000002</v>
      </c>
      <c r="H20">
        <f>ROUND(AVERAGE(seed1!H20,seed2!H20,seed3!H20,seed4!H20,seed5!H20),4)</f>
        <v>6.9621000000000004</v>
      </c>
      <c r="I20">
        <f>AVERAGE(seed1!I20,seed2!I20,seed3!I20,seed4!I20,seed5!I20)</f>
        <v>7.0990000000000002</v>
      </c>
    </row>
    <row r="21" spans="2:9">
      <c r="B21" t="s">
        <v>1</v>
      </c>
      <c r="C21">
        <f>ROUND(AVERAGE(seed1!C21,seed2!C21,seed3!C21,seed4!C21,seed5!C21),4)</f>
        <v>6.2142999999999997</v>
      </c>
      <c r="D21">
        <f>ROUND(AVERAGE(seed1!D21,seed2!D21,seed3!D21,seed4!D21,seed5!D21),4)</f>
        <v>4.3723999999999998</v>
      </c>
      <c r="E21">
        <f>ROUND(AVERAGE(seed1!E21,seed2!E21,seed3!E21,seed4!E21,seed5!E21),4)</f>
        <v>5.1959999999999997</v>
      </c>
      <c r="F21">
        <f>ROUND(AVERAGE(seed1!F21,seed2!F21,seed3!F21,seed4!F21,seed5!F21),4)</f>
        <v>6.0045000000000002</v>
      </c>
      <c r="G21">
        <f>ROUND(AVERAGE(seed1!G21,seed2!G21,seed3!G21,seed4!G21,seed5!G21),4)</f>
        <v>6.6436000000000002</v>
      </c>
      <c r="H21">
        <f>ROUND(AVERAGE(seed1!H21,seed2!H21,seed3!H21,seed4!H21,seed5!H21),4)</f>
        <v>6.9490999999999996</v>
      </c>
      <c r="I21">
        <f>AVERAGE(seed1!I21,seed2!I21,seed3!I21,seed4!I21,seed5!I21)</f>
        <v>7.0738666666666674</v>
      </c>
    </row>
    <row r="22" spans="2:9">
      <c r="B22" t="s">
        <v>21</v>
      </c>
      <c r="C22">
        <f>ROUND(AVERAGE(seed1!C22,seed2!C22,seed3!C22,seed4!C22,seed5!C22),4)</f>
        <v>7.5125999999999999</v>
      </c>
      <c r="D22">
        <f>ROUND(AVERAGE(seed1!D22,seed2!D22,seed3!D22,seed4!D22,seed5!D22),4)</f>
        <v>5.4291999999999998</v>
      </c>
      <c r="E22">
        <f>ROUND(AVERAGE(seed1!E22,seed2!E22,seed3!E22,seed4!E22,seed5!E22),4)</f>
        <v>6.9889000000000001</v>
      </c>
      <c r="F22">
        <f>ROUND(AVERAGE(seed1!F22,seed2!F22,seed3!F22,seed4!F22,seed5!F22),4)</f>
        <v>7.5156000000000001</v>
      </c>
      <c r="G22">
        <f>ROUND(AVERAGE(seed1!G22,seed2!G22,seed3!G22,seed4!G22,seed5!G22),4)</f>
        <v>7.7404000000000002</v>
      </c>
      <c r="H22">
        <f>ROUND(AVERAGE(seed1!H22,seed2!H22,seed3!H22,seed4!H22,seed5!H22),4)</f>
        <v>8.1530000000000005</v>
      </c>
      <c r="I22">
        <f>AVERAGE(seed1!I22,seed2!I22,seed3!I22,seed4!I22,seed5!I22)</f>
        <v>8.1635000000000009</v>
      </c>
    </row>
    <row r="23" spans="2:9">
      <c r="B23" t="s">
        <v>22</v>
      </c>
      <c r="C23">
        <f>ROUND(AVERAGE(seed1!C23,seed2!C23,seed3!C23,seed4!C23,seed5!C23),4)</f>
        <v>8.0616000000000003</v>
      </c>
      <c r="D23">
        <f>ROUND(AVERAGE(seed1!D23,seed2!D23,seed3!D23,seed4!D23,seed5!D23),4)</f>
        <v>5.8958000000000004</v>
      </c>
      <c r="E23">
        <f>ROUND(AVERAGE(seed1!E23,seed2!E23,seed3!E23,seed4!E23,seed5!E23),4)</f>
        <v>6.5694999999999997</v>
      </c>
      <c r="F23">
        <f>ROUND(AVERAGE(seed1!F23,seed2!F23,seed3!F23,seed4!F23,seed5!F23),4)</f>
        <v>7.4577</v>
      </c>
      <c r="G23">
        <f>ROUND(AVERAGE(seed1!G23,seed2!G23,seed3!G23,seed4!G23,seed5!G23),4)</f>
        <v>8.3115000000000006</v>
      </c>
      <c r="H23">
        <f>ROUND(AVERAGE(seed1!H23,seed2!H23,seed3!H23,seed4!H23,seed5!H23),4)</f>
        <v>8.4960000000000004</v>
      </c>
      <c r="I23">
        <f>AVERAGE(seed1!I23,seed2!I23,seed3!I23,seed4!I23,seed5!I23)</f>
        <v>8.618033333333333</v>
      </c>
    </row>
    <row r="24" spans="2:9">
      <c r="B24" t="s">
        <v>4</v>
      </c>
      <c r="C24">
        <f>ROUND(AVERAGE(seed1!C24,seed2!C24,seed3!C24,seed4!C24,seed5!C24),4)</f>
        <v>7.9181999999999997</v>
      </c>
      <c r="D24">
        <f>ROUND(AVERAGE(seed1!D24,seed2!D24,seed3!D24,seed4!D24,seed5!D24),4)</f>
        <v>5.7438000000000002</v>
      </c>
      <c r="E24" s="2">
        <f>ROUND(AVERAGE(seed1!E24,seed2!E24,seed3!E24,seed4!E24,seed5!E24),4)</f>
        <v>6.6738999999999997</v>
      </c>
      <c r="F24">
        <f>ROUND(AVERAGE(seed1!F24,seed2!F24,seed3!F24,seed4!F24,seed5!F24),4)</f>
        <v>7.4608999999999996</v>
      </c>
      <c r="G24">
        <f>ROUND(AVERAGE(seed1!G24,seed2!G24,seed3!G24,seed4!G24,seed5!G24),4)</f>
        <v>8.1600999999999999</v>
      </c>
      <c r="H24">
        <f>ROUND(AVERAGE(seed1!H24,seed2!H24,seed3!H24,seed4!H24,seed5!H24),4)</f>
        <v>8.4083000000000006</v>
      </c>
      <c r="I24">
        <f>AVERAGE(seed1!I24,seed2!I24,seed3!I24,seed4!I24,seed5!I24)</f>
        <v>8.4994333333333341</v>
      </c>
    </row>
    <row r="25" spans="2:9">
      <c r="B25" t="s">
        <v>19</v>
      </c>
      <c r="C25">
        <f>ROUND(AVERAGE(seed1!C25,seed2!C25,seed3!C25,seed4!C25,seed5!C25),1)</f>
        <v>45</v>
      </c>
      <c r="D25">
        <f>ROUND(AVERAGE(seed1!D25,seed2!D25,seed3!D25,seed4!D25,seed5!D25),1)</f>
        <v>20.7</v>
      </c>
      <c r="E25">
        <f>ROUND(AVERAGE(seed1!E25,seed2!E25,seed3!E25,seed4!E25,seed5!E25),1)</f>
        <v>33</v>
      </c>
      <c r="F25">
        <f>ROUND(AVERAGE(seed1!F25,seed2!F25,seed3!F25,seed4!F25,seed5!F25),1)</f>
        <v>39.700000000000003</v>
      </c>
      <c r="G25">
        <f>ROUND(AVERAGE(seed1!G25,seed2!G25,seed3!G25,seed4!G25,seed5!G25),1)</f>
        <v>44.3</v>
      </c>
      <c r="H25">
        <f>ROUND(AVERAGE(seed1!H25,seed2!H25,seed3!H25,seed4!H25,seed5!H25),1)</f>
        <v>45</v>
      </c>
      <c r="I25">
        <f>ROUND(AVERAGE(seed1!I25,seed2!I25,seed3!I25,seed4!I25,seed5!I25),1)</f>
        <v>45</v>
      </c>
    </row>
    <row r="26" spans="2:9">
      <c r="B26" t="s">
        <v>20</v>
      </c>
      <c r="C26">
        <f>ROUND(AVERAGE(seed1!C26,seed2!C26,seed3!C26,seed4!C26,seed5!C26),1)</f>
        <v>239</v>
      </c>
      <c r="D26">
        <f>ROUND(AVERAGE(seed1!D26,seed2!D26,seed3!D26,seed4!D26,seed5!D26),1)</f>
        <v>187.3</v>
      </c>
      <c r="E26">
        <f>ROUND(AVERAGE(seed1!E26,seed2!E26,seed3!E26,seed4!E26,seed5!E26),1)</f>
        <v>216.5</v>
      </c>
      <c r="F26">
        <f>ROUND(AVERAGE(seed1!F26,seed2!F26,seed3!F26,seed4!F26,seed5!F26),1)</f>
        <v>233.3</v>
      </c>
      <c r="G26">
        <f>ROUND(AVERAGE(seed1!G26,seed2!G26,seed3!G26,seed4!G26,seed5!G26),1)</f>
        <v>241.7</v>
      </c>
      <c r="H26">
        <f>ROUND(AVERAGE(seed1!H26,seed2!H26,seed3!H26,seed4!H26,seed5!H26),1)</f>
        <v>242</v>
      </c>
      <c r="I26">
        <f>ROUND(AVERAGE(seed1!I26,seed2!I26,seed3!I26,seed4!I26,seed5!I26),1)</f>
        <v>245</v>
      </c>
    </row>
    <row r="27" spans="2:9">
      <c r="B27" t="s">
        <v>11</v>
      </c>
      <c r="C27">
        <f>ROUND(AVERAGE(C18,C21),4)</f>
        <v>6.0495000000000001</v>
      </c>
      <c r="D27">
        <f t="shared" ref="D27:I27" si="1">ROUND(AVERAGE(D18,D21),4)</f>
        <v>3.0003000000000002</v>
      </c>
      <c r="E27">
        <f t="shared" si="1"/>
        <v>3.9376000000000002</v>
      </c>
      <c r="F27">
        <f t="shared" si="1"/>
        <v>4.8346</v>
      </c>
      <c r="G27">
        <f t="shared" si="1"/>
        <v>6.1333000000000002</v>
      </c>
      <c r="H27">
        <f t="shared" si="1"/>
        <v>6.1665000000000001</v>
      </c>
      <c r="I27">
        <f t="shared" si="1"/>
        <v>6.2950999999999997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seed4</vt:lpstr>
      <vt:lpstr>seed5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2025-12-09T14:20:58Z</dcterms:modified>
</cp:coreProperties>
</file>