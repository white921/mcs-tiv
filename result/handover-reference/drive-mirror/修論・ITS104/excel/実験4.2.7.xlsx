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shi/Documents/研究パワポ/修論評価データ/"/>
    </mc:Choice>
  </mc:AlternateContent>
  <xr:revisionPtr revIDLastSave="0" documentId="13_ncr:1_{5E92D150-A758-EA45-A946-E8720F0C14AA}" xr6:coauthVersionLast="47" xr6:coauthVersionMax="47" xr10:uidLastSave="{00000000-0000-0000-0000-000000000000}"/>
  <bookViews>
    <workbookView xWindow="14640" yWindow="2000" windowWidth="26700" windowHeight="14560" activeTab="5" xr2:uid="{C5CA4C6E-6361-2F40-A2A3-1A2A3BC48401}"/>
  </bookViews>
  <sheets>
    <sheet name="seed1" sheetId="1" r:id="rId1"/>
    <sheet name="seed2" sheetId="3" r:id="rId2"/>
    <sheet name="seed3" sheetId="4" r:id="rId3"/>
    <sheet name="seed4" sheetId="5" r:id="rId4"/>
    <sheet name="seed5" sheetId="6" r:id="rId5"/>
    <sheet name="平均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F14" i="2"/>
  <c r="I15" i="6"/>
  <c r="H15" i="6"/>
  <c r="G15" i="6"/>
  <c r="F15" i="6"/>
  <c r="E15" i="6"/>
  <c r="D15" i="6"/>
  <c r="C15" i="6"/>
  <c r="I15" i="5"/>
  <c r="H15" i="5"/>
  <c r="G15" i="5"/>
  <c r="F15" i="5"/>
  <c r="E15" i="5"/>
  <c r="D15" i="5"/>
  <c r="C15" i="5"/>
  <c r="F15" i="2"/>
  <c r="G15" i="2"/>
  <c r="I5" i="2"/>
  <c r="I6" i="2"/>
  <c r="I7" i="2"/>
  <c r="I8" i="2"/>
  <c r="I9" i="2"/>
  <c r="I10" i="2"/>
  <c r="I11" i="2"/>
  <c r="I12" i="2"/>
  <c r="I13" i="2"/>
  <c r="I14" i="2"/>
  <c r="I15" i="2"/>
  <c r="I15" i="4"/>
  <c r="H15" i="4"/>
  <c r="G15" i="4"/>
  <c r="F15" i="4"/>
  <c r="E15" i="4"/>
  <c r="D15" i="4"/>
  <c r="C15" i="4"/>
  <c r="I15" i="3"/>
  <c r="H15" i="3"/>
  <c r="G15" i="3"/>
  <c r="F15" i="3"/>
  <c r="E15" i="3"/>
  <c r="D15" i="3"/>
  <c r="C15" i="3"/>
  <c r="I15" i="1"/>
  <c r="H15" i="1"/>
  <c r="G15" i="1"/>
  <c r="F15" i="1"/>
  <c r="E15" i="1"/>
  <c r="D15" i="1"/>
  <c r="C15" i="1"/>
  <c r="S15" i="2"/>
  <c r="R15" i="2"/>
  <c r="Q15" i="2"/>
  <c r="P15" i="2"/>
  <c r="O15" i="2"/>
  <c r="N15" i="2"/>
  <c r="M15" i="2"/>
  <c r="S14" i="2"/>
  <c r="R14" i="2"/>
  <c r="Q14" i="2"/>
  <c r="P14" i="2"/>
  <c r="O14" i="2"/>
  <c r="N14" i="2"/>
  <c r="M14" i="2"/>
  <c r="S13" i="2"/>
  <c r="R13" i="2"/>
  <c r="Q13" i="2"/>
  <c r="P13" i="2"/>
  <c r="O13" i="2"/>
  <c r="N13" i="2"/>
  <c r="M13" i="2"/>
  <c r="S12" i="2"/>
  <c r="R12" i="2"/>
  <c r="Q12" i="2"/>
  <c r="P12" i="2"/>
  <c r="O12" i="2"/>
  <c r="N12" i="2"/>
  <c r="M12" i="2"/>
  <c r="S11" i="2"/>
  <c r="R11" i="2"/>
  <c r="Q11" i="2"/>
  <c r="P11" i="2"/>
  <c r="O11" i="2"/>
  <c r="N11" i="2"/>
  <c r="M11" i="2"/>
  <c r="S10" i="2"/>
  <c r="R10" i="2"/>
  <c r="Q10" i="2"/>
  <c r="P10" i="2"/>
  <c r="O10" i="2"/>
  <c r="N10" i="2"/>
  <c r="M10" i="2"/>
  <c r="S9" i="2"/>
  <c r="R9" i="2"/>
  <c r="Q9" i="2"/>
  <c r="P9" i="2"/>
  <c r="O9" i="2"/>
  <c r="N9" i="2"/>
  <c r="M9" i="2"/>
  <c r="S8" i="2"/>
  <c r="R8" i="2"/>
  <c r="Q8" i="2"/>
  <c r="P8" i="2"/>
  <c r="O8" i="2"/>
  <c r="N8" i="2"/>
  <c r="M8" i="2"/>
  <c r="S7" i="2"/>
  <c r="S16" i="2" s="1"/>
  <c r="R7" i="2"/>
  <c r="R16" i="2" s="1"/>
  <c r="Q7" i="2"/>
  <c r="Q16" i="2" s="1"/>
  <c r="P7" i="2"/>
  <c r="P16" i="2" s="1"/>
  <c r="O7" i="2"/>
  <c r="O16" i="2" s="1"/>
  <c r="N7" i="2"/>
  <c r="N16" i="2" s="1"/>
  <c r="M7" i="2"/>
  <c r="M16" i="2" s="1"/>
  <c r="S6" i="2"/>
  <c r="R6" i="2"/>
  <c r="Q6" i="2"/>
  <c r="P6" i="2"/>
  <c r="O6" i="2"/>
  <c r="N6" i="2"/>
  <c r="M6" i="2"/>
  <c r="S5" i="2"/>
  <c r="R5" i="2"/>
  <c r="Q5" i="2"/>
  <c r="P5" i="2"/>
  <c r="O5" i="2"/>
  <c r="N5" i="2"/>
  <c r="M5" i="2"/>
  <c r="D15" i="2"/>
  <c r="C15" i="2"/>
  <c r="E15" i="2"/>
  <c r="D14" i="2"/>
  <c r="E14" i="2"/>
  <c r="H14" i="2"/>
  <c r="C14" i="2"/>
  <c r="C9" i="2"/>
  <c r="D9" i="2"/>
  <c r="E9" i="2"/>
  <c r="F9" i="2"/>
  <c r="G9" i="2"/>
  <c r="H9" i="2"/>
  <c r="C10" i="2"/>
  <c r="D10" i="2"/>
  <c r="E10" i="2"/>
  <c r="F10" i="2"/>
  <c r="G10" i="2"/>
  <c r="H10" i="2"/>
  <c r="C11" i="2"/>
  <c r="D11" i="2"/>
  <c r="E11" i="2"/>
  <c r="F11" i="2"/>
  <c r="G11" i="2"/>
  <c r="H11" i="2"/>
  <c r="C12" i="2"/>
  <c r="D12" i="2"/>
  <c r="E12" i="2"/>
  <c r="F12" i="2"/>
  <c r="G12" i="2"/>
  <c r="H12" i="2"/>
  <c r="C13" i="2"/>
  <c r="D13" i="2"/>
  <c r="E13" i="2"/>
  <c r="F13" i="2"/>
  <c r="G13" i="2"/>
  <c r="H13" i="2"/>
  <c r="H8" i="2"/>
  <c r="G8" i="2"/>
  <c r="F8" i="2"/>
  <c r="E8" i="2"/>
  <c r="D8" i="2"/>
  <c r="C8" i="2"/>
  <c r="H7" i="2"/>
  <c r="G7" i="2"/>
  <c r="F7" i="2"/>
  <c r="E7" i="2"/>
  <c r="D7" i="2"/>
  <c r="C7" i="2"/>
  <c r="H6" i="2"/>
  <c r="G6" i="2"/>
  <c r="F6" i="2"/>
  <c r="E6" i="2"/>
  <c r="D6" i="2"/>
  <c r="C6" i="2"/>
  <c r="H5" i="2"/>
  <c r="G5" i="2"/>
  <c r="F5" i="2"/>
  <c r="E5" i="2"/>
  <c r="D5" i="2"/>
  <c r="C5" i="2"/>
  <c r="I16" i="2" l="1"/>
  <c r="H15" i="2"/>
  <c r="F16" i="2"/>
  <c r="E16" i="2"/>
  <c r="D16" i="2"/>
  <c r="H16" i="2"/>
  <c r="G16" i="2"/>
  <c r="C16" i="2"/>
</calcChain>
</file>

<file path=xl/sharedStrings.xml><?xml version="1.0" encoding="utf-8"?>
<sst xmlns="http://schemas.openxmlformats.org/spreadsheetml/2006/main" count="218" uniqueCount="16">
  <si>
    <t>直進</t>
    <rPh sb="0" eb="2">
      <t>チョク</t>
    </rPh>
    <phoneticPr fontId="1"/>
  </si>
  <si>
    <t>合計</t>
    <rPh sb="0" eb="2">
      <t>ゴウケイ</t>
    </rPh>
    <phoneticPr fontId="1"/>
  </si>
  <si>
    <t>既存</t>
    <rPh sb="0" eb="2">
      <t>キゾn</t>
    </rPh>
    <phoneticPr fontId="1"/>
  </si>
  <si>
    <t>提案</t>
    <rPh sb="0" eb="2">
      <t>テイアn</t>
    </rPh>
    <phoneticPr fontId="1"/>
  </si>
  <si>
    <t>全て受け入れ</t>
    <rPh sb="0" eb="1">
      <t>スベテ</t>
    </rPh>
    <rPh sb="2" eb="3">
      <t>ウケイレ</t>
    </rPh>
    <phoneticPr fontId="1"/>
  </si>
  <si>
    <t>道交法</t>
    <rPh sb="0" eb="3">
      <t>ドウコウホウ</t>
    </rPh>
    <phoneticPr fontId="1"/>
  </si>
  <si>
    <t>交差点前_平均</t>
    <rPh sb="0" eb="4">
      <t>コウサ</t>
    </rPh>
    <rPh sb="5" eb="7">
      <t>ヘイキn</t>
    </rPh>
    <phoneticPr fontId="1"/>
  </si>
  <si>
    <t>性能込み</t>
    <rPh sb="0" eb="2">
      <t>セイノウ</t>
    </rPh>
    <rPh sb="2" eb="3">
      <t>コミ</t>
    </rPh>
    <phoneticPr fontId="1"/>
  </si>
  <si>
    <t>800/0/1000</t>
    <phoneticPr fontId="1"/>
  </si>
  <si>
    <t>車種2種類</t>
    <rPh sb="0" eb="2">
      <t>シャセィウ</t>
    </rPh>
    <rPh sb="3" eb="5">
      <t>シュルイ</t>
    </rPh>
    <phoneticPr fontId="1"/>
  </si>
  <si>
    <t>左折</t>
    <rPh sb="0" eb="1">
      <t>サセテゥ</t>
    </rPh>
    <phoneticPr fontId="1"/>
  </si>
  <si>
    <t>左折台数</t>
    <rPh sb="0" eb="4">
      <t>サセテゥ</t>
    </rPh>
    <phoneticPr fontId="1"/>
  </si>
  <si>
    <t>直進台数</t>
    <rPh sb="0" eb="4">
      <t>チョク</t>
    </rPh>
    <phoneticPr fontId="1"/>
  </si>
  <si>
    <t>（Bus）</t>
    <phoneticPr fontId="1"/>
  </si>
  <si>
    <t>（Car）</t>
    <phoneticPr fontId="1"/>
  </si>
  <si>
    <t>1000/0/1000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</si>
</sst>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0DCA-A601-9A40-AA76-DC09B9D4CE52}">
  <dimension ref="B2:S15"/>
  <sheetViews>
    <sheetView workbookViewId="0">
      <selection activeCell="I16" sqref="I16"/>
    </sheetView>
  </sheetViews>
  <sheetFormatPr baseColWidth="10" defaultRowHeight="20"/>
  <sheetData>
    <row r="2" spans="2:19">
      <c r="B2" t="s">
        <v>8</v>
      </c>
      <c r="C2" t="s">
        <v>9</v>
      </c>
      <c r="L2" t="s">
        <v>15</v>
      </c>
      <c r="M2" t="s">
        <v>9</v>
      </c>
    </row>
    <row r="3" spans="2:19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</row>
    <row r="4" spans="2:19">
      <c r="C4" t="s">
        <v>4</v>
      </c>
      <c r="D4" t="s">
        <v>5</v>
      </c>
      <c r="E4" s="1">
        <v>0.2</v>
      </c>
      <c r="F4" s="1">
        <v>0.4</v>
      </c>
      <c r="G4" t="s">
        <v>2</v>
      </c>
      <c r="H4" t="s">
        <v>3</v>
      </c>
      <c r="I4" t="s">
        <v>7</v>
      </c>
      <c r="M4" t="s">
        <v>4</v>
      </c>
      <c r="N4" t="s">
        <v>5</v>
      </c>
      <c r="O4" s="1">
        <v>0.2</v>
      </c>
      <c r="P4" s="1">
        <v>0.4</v>
      </c>
      <c r="Q4" t="s">
        <v>2</v>
      </c>
      <c r="R4" t="s">
        <v>3</v>
      </c>
      <c r="S4" t="s">
        <v>7</v>
      </c>
    </row>
    <row r="5" spans="2:19">
      <c r="B5" t="s">
        <v>13</v>
      </c>
      <c r="C5">
        <v>5.7077999999999998</v>
      </c>
      <c r="D5">
        <v>2.4843000000000002</v>
      </c>
      <c r="E5">
        <v>2.6368999999999998</v>
      </c>
      <c r="F5">
        <v>3.9885000000000002</v>
      </c>
      <c r="G5">
        <v>5.7103000000000002</v>
      </c>
      <c r="H5">
        <v>5.5035999999999996</v>
      </c>
      <c r="I5">
        <v>5.3097000000000003</v>
      </c>
      <c r="L5" t="s">
        <v>13</v>
      </c>
    </row>
    <row r="6" spans="2:19">
      <c r="B6" t="s">
        <v>14</v>
      </c>
      <c r="C6">
        <v>5.5635000000000003</v>
      </c>
      <c r="D6">
        <v>1.5397000000000001</v>
      </c>
      <c r="E6">
        <v>2.5316999999999998</v>
      </c>
      <c r="F6">
        <v>3.9824000000000002</v>
      </c>
      <c r="G6">
        <v>5.4819000000000004</v>
      </c>
      <c r="H6">
        <v>5.2117000000000004</v>
      </c>
      <c r="I6">
        <v>4.8993000000000002</v>
      </c>
      <c r="L6" t="s">
        <v>14</v>
      </c>
    </row>
    <row r="7" spans="2:19">
      <c r="B7" t="s">
        <v>10</v>
      </c>
      <c r="C7">
        <v>5.5857999999999999</v>
      </c>
      <c r="D7">
        <v>1.6616</v>
      </c>
      <c r="E7">
        <v>2.5510999999999999</v>
      </c>
      <c r="F7">
        <v>3.9834000000000001</v>
      </c>
      <c r="G7">
        <v>5.5168999999999997</v>
      </c>
      <c r="H7">
        <v>5.2557</v>
      </c>
      <c r="I7">
        <v>4.9599000000000002</v>
      </c>
      <c r="L7" t="s">
        <v>10</v>
      </c>
    </row>
    <row r="8" spans="2:19">
      <c r="B8" t="s">
        <v>13</v>
      </c>
      <c r="C8">
        <v>7.0983000000000001</v>
      </c>
      <c r="D8">
        <v>4.3179999999999996</v>
      </c>
      <c r="E8">
        <v>4.6283000000000003</v>
      </c>
      <c r="F8">
        <v>6.2076000000000002</v>
      </c>
      <c r="G8">
        <v>6.7343000000000002</v>
      </c>
      <c r="H8">
        <v>6.5956000000000001</v>
      </c>
      <c r="I8">
        <v>6.9629000000000003</v>
      </c>
      <c r="L8" t="s">
        <v>13</v>
      </c>
    </row>
    <row r="9" spans="2:19">
      <c r="B9" t="s">
        <v>14</v>
      </c>
      <c r="C9">
        <v>7.1951000000000001</v>
      </c>
      <c r="D9">
        <v>4.0502000000000002</v>
      </c>
      <c r="E9">
        <v>4.4431000000000003</v>
      </c>
      <c r="F9">
        <v>6.0000999999999998</v>
      </c>
      <c r="G9">
        <v>6.9378000000000002</v>
      </c>
      <c r="H9">
        <v>7.0171000000000001</v>
      </c>
      <c r="I9">
        <v>6.8201999999999998</v>
      </c>
      <c r="L9" t="s">
        <v>14</v>
      </c>
    </row>
    <row r="10" spans="2:19">
      <c r="B10" t="s">
        <v>0</v>
      </c>
      <c r="C10">
        <v>7.1711999999999998</v>
      </c>
      <c r="D10">
        <v>4.1101000000000001</v>
      </c>
      <c r="E10">
        <v>4.4859</v>
      </c>
      <c r="F10">
        <v>6.0496999999999996</v>
      </c>
      <c r="G10">
        <v>6.8868999999999998</v>
      </c>
      <c r="H10">
        <v>6.9092000000000002</v>
      </c>
      <c r="I10">
        <v>6.8544999999999998</v>
      </c>
      <c r="L10" t="s">
        <v>0</v>
      </c>
    </row>
    <row r="11" spans="2:19">
      <c r="B11" t="s">
        <v>13</v>
      </c>
      <c r="C11">
        <v>8.5040999999999993</v>
      </c>
      <c r="D11">
        <v>6.0621</v>
      </c>
      <c r="E11">
        <v>6.2270000000000003</v>
      </c>
      <c r="F11">
        <v>7.7161999999999997</v>
      </c>
      <c r="G11">
        <v>8.2240000000000002</v>
      </c>
      <c r="H11">
        <v>8.0911000000000008</v>
      </c>
      <c r="I11">
        <v>8.3008000000000006</v>
      </c>
      <c r="L11" t="s">
        <v>13</v>
      </c>
    </row>
    <row r="12" spans="2:19">
      <c r="B12" t="s">
        <v>14</v>
      </c>
      <c r="C12">
        <v>8.8712999999999997</v>
      </c>
      <c r="D12">
        <v>5.4957000000000003</v>
      </c>
      <c r="E12">
        <v>6.1002999999999998</v>
      </c>
      <c r="F12">
        <v>7.6384999999999996</v>
      </c>
      <c r="G12">
        <v>8.5268999999999995</v>
      </c>
      <c r="H12">
        <v>8.5267999999999997</v>
      </c>
      <c r="I12">
        <v>8.3797999999999995</v>
      </c>
      <c r="L12" t="s">
        <v>14</v>
      </c>
    </row>
    <row r="13" spans="2:19">
      <c r="B13" t="s">
        <v>1</v>
      </c>
      <c r="C13">
        <v>8.7825000000000006</v>
      </c>
      <c r="D13">
        <v>5.6181999999999999</v>
      </c>
      <c r="E13">
        <v>6.1296999999999997</v>
      </c>
      <c r="F13">
        <v>7.6566999999999998</v>
      </c>
      <c r="G13">
        <v>8.4540000000000006</v>
      </c>
      <c r="H13">
        <v>8.4206000000000003</v>
      </c>
      <c r="I13">
        <v>8.3611000000000004</v>
      </c>
      <c r="L13" t="s">
        <v>1</v>
      </c>
    </row>
    <row r="14" spans="2:19">
      <c r="B14" t="s">
        <v>11</v>
      </c>
      <c r="C14">
        <v>38</v>
      </c>
      <c r="D14">
        <v>20</v>
      </c>
      <c r="E14">
        <v>30</v>
      </c>
      <c r="F14">
        <v>37</v>
      </c>
      <c r="G14">
        <v>38</v>
      </c>
      <c r="H14">
        <v>38</v>
      </c>
      <c r="I14">
        <v>38</v>
      </c>
      <c r="L14" t="s">
        <v>11</v>
      </c>
    </row>
    <row r="15" spans="2:19">
      <c r="B15" t="s">
        <v>12</v>
      </c>
      <c r="C15">
        <f>131+126</f>
        <v>257</v>
      </c>
      <c r="D15">
        <f>131+72</f>
        <v>203</v>
      </c>
      <c r="E15">
        <f>131+93</f>
        <v>224</v>
      </c>
      <c r="F15">
        <f>130+118</f>
        <v>248</v>
      </c>
      <c r="G15">
        <f>129+126</f>
        <v>255</v>
      </c>
      <c r="H15">
        <f>130+126</f>
        <v>256</v>
      </c>
      <c r="I15">
        <f>130+123</f>
        <v>253</v>
      </c>
      <c r="L15" t="s">
        <v>12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E1FA-5A64-FC49-89D7-8A2926DD93D2}">
  <dimension ref="B2:S15"/>
  <sheetViews>
    <sheetView workbookViewId="0">
      <selection activeCell="I16" sqref="I16"/>
    </sheetView>
  </sheetViews>
  <sheetFormatPr baseColWidth="10" defaultRowHeight="20"/>
  <sheetData>
    <row r="2" spans="2:19">
      <c r="B2" t="s">
        <v>8</v>
      </c>
      <c r="C2" t="s">
        <v>9</v>
      </c>
      <c r="L2" t="s">
        <v>15</v>
      </c>
      <c r="M2" t="s">
        <v>9</v>
      </c>
    </row>
    <row r="3" spans="2:19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</row>
    <row r="4" spans="2:19">
      <c r="C4" t="s">
        <v>4</v>
      </c>
      <c r="D4" t="s">
        <v>5</v>
      </c>
      <c r="E4" s="1">
        <v>0.2</v>
      </c>
      <c r="F4" s="1">
        <v>0.4</v>
      </c>
      <c r="G4" t="s">
        <v>2</v>
      </c>
      <c r="H4" t="s">
        <v>3</v>
      </c>
      <c r="I4" t="s">
        <v>7</v>
      </c>
      <c r="M4" t="s">
        <v>4</v>
      </c>
      <c r="N4" t="s">
        <v>5</v>
      </c>
      <c r="O4" s="1">
        <v>0.2</v>
      </c>
      <c r="P4" s="1">
        <v>0.4</v>
      </c>
      <c r="Q4" t="s">
        <v>2</v>
      </c>
      <c r="R4" t="s">
        <v>3</v>
      </c>
      <c r="S4" t="s">
        <v>7</v>
      </c>
    </row>
    <row r="5" spans="2:19">
      <c r="B5" t="s">
        <v>13</v>
      </c>
      <c r="C5">
        <v>5.2462</v>
      </c>
      <c r="D5">
        <v>1.1848000000000001</v>
      </c>
      <c r="E5">
        <v>2.4186999999999999</v>
      </c>
      <c r="F5">
        <v>3.0377000000000001</v>
      </c>
      <c r="G5">
        <v>4.8491</v>
      </c>
      <c r="H5">
        <v>4.4231999999999996</v>
      </c>
      <c r="I5">
        <v>4.0556999999999999</v>
      </c>
      <c r="L5" t="s">
        <v>13</v>
      </c>
    </row>
    <row r="6" spans="2:19">
      <c r="B6" t="s">
        <v>14</v>
      </c>
      <c r="C6">
        <v>5.5377000000000001</v>
      </c>
      <c r="D6">
        <v>1.1388</v>
      </c>
      <c r="E6">
        <v>2.2717000000000001</v>
      </c>
      <c r="F6">
        <v>2.8283999999999998</v>
      </c>
      <c r="G6">
        <v>5.1013000000000002</v>
      </c>
      <c r="H6">
        <v>4.7080000000000002</v>
      </c>
      <c r="I6">
        <v>4.5631000000000004</v>
      </c>
      <c r="L6" t="s">
        <v>14</v>
      </c>
    </row>
    <row r="7" spans="2:19">
      <c r="B7" t="s">
        <v>10</v>
      </c>
      <c r="C7">
        <v>5.4813000000000001</v>
      </c>
      <c r="D7">
        <v>1.1497999999999999</v>
      </c>
      <c r="E7">
        <v>2.3006000000000002</v>
      </c>
      <c r="F7">
        <v>2.8645999999999998</v>
      </c>
      <c r="G7">
        <v>5.0529999999999999</v>
      </c>
      <c r="H7">
        <v>4.6528</v>
      </c>
      <c r="I7">
        <v>4.4607000000000001</v>
      </c>
      <c r="L7" t="s">
        <v>10</v>
      </c>
    </row>
    <row r="8" spans="2:19">
      <c r="B8" t="s">
        <v>13</v>
      </c>
      <c r="C8">
        <v>5.8369</v>
      </c>
      <c r="D8">
        <v>3.2576000000000001</v>
      </c>
      <c r="E8">
        <v>4.7686000000000002</v>
      </c>
      <c r="F8">
        <v>5.2827999999999999</v>
      </c>
      <c r="G8">
        <v>5.4589999999999996</v>
      </c>
      <c r="H8">
        <v>5.7</v>
      </c>
      <c r="I8">
        <v>5.4340999999999999</v>
      </c>
      <c r="L8" t="s">
        <v>13</v>
      </c>
    </row>
    <row r="9" spans="2:19">
      <c r="B9" t="s">
        <v>14</v>
      </c>
      <c r="C9">
        <v>5.9508000000000001</v>
      </c>
      <c r="D9">
        <v>3.7107000000000001</v>
      </c>
      <c r="E9">
        <v>4.2321999999999997</v>
      </c>
      <c r="F9">
        <v>4.6536</v>
      </c>
      <c r="G9">
        <v>5.6321000000000003</v>
      </c>
      <c r="H9">
        <v>5.9</v>
      </c>
      <c r="I9">
        <v>5.6382000000000003</v>
      </c>
      <c r="L9" t="s">
        <v>14</v>
      </c>
    </row>
    <row r="10" spans="2:19">
      <c r="B10" t="s">
        <v>0</v>
      </c>
      <c r="C10">
        <v>5.9200999999999997</v>
      </c>
      <c r="D10">
        <v>3.5535000000000001</v>
      </c>
      <c r="E10">
        <v>4.3715000000000002</v>
      </c>
      <c r="F10">
        <v>4.8109000000000002</v>
      </c>
      <c r="G10">
        <v>5.5850999999999997</v>
      </c>
      <c r="H10">
        <v>5.8456999999999999</v>
      </c>
      <c r="I10">
        <v>5.5827999999999998</v>
      </c>
      <c r="L10" t="s">
        <v>0</v>
      </c>
    </row>
    <row r="11" spans="2:19">
      <c r="B11" t="s">
        <v>13</v>
      </c>
      <c r="C11">
        <v>7.4656000000000002</v>
      </c>
      <c r="D11">
        <v>4.5949</v>
      </c>
      <c r="E11">
        <v>6.2007000000000003</v>
      </c>
      <c r="F11">
        <v>6.7446000000000002</v>
      </c>
      <c r="G11">
        <v>7.1951000000000001</v>
      </c>
      <c r="H11">
        <v>7.3230000000000004</v>
      </c>
      <c r="I11">
        <v>6.9470999999999998</v>
      </c>
      <c r="L11" t="s">
        <v>13</v>
      </c>
    </row>
    <row r="12" spans="2:19">
      <c r="B12" t="s">
        <v>14</v>
      </c>
      <c r="C12">
        <v>7.8178000000000001</v>
      </c>
      <c r="D12">
        <v>4.8323999999999998</v>
      </c>
      <c r="E12">
        <v>5.6860999999999997</v>
      </c>
      <c r="F12">
        <v>6.2077999999999998</v>
      </c>
      <c r="G12">
        <v>7.5617999999999999</v>
      </c>
      <c r="H12">
        <v>7.6247999999999996</v>
      </c>
      <c r="I12">
        <v>7.2967000000000004</v>
      </c>
      <c r="L12" t="s">
        <v>14</v>
      </c>
    </row>
    <row r="13" spans="2:19">
      <c r="B13" t="s">
        <v>1</v>
      </c>
      <c r="C13">
        <v>7.7257999999999996</v>
      </c>
      <c r="D13">
        <v>4.7561</v>
      </c>
      <c r="E13">
        <v>5.8181000000000003</v>
      </c>
      <c r="F13">
        <v>6.3391000000000002</v>
      </c>
      <c r="G13">
        <v>7.4659000000000004</v>
      </c>
      <c r="H13">
        <v>7.5467000000000004</v>
      </c>
      <c r="I13">
        <v>7.2054999999999998</v>
      </c>
      <c r="L13" t="s">
        <v>1</v>
      </c>
    </row>
    <row r="14" spans="2:19">
      <c r="B14" t="s">
        <v>11</v>
      </c>
      <c r="C14">
        <v>49</v>
      </c>
      <c r="D14">
        <v>19</v>
      </c>
      <c r="E14">
        <v>37</v>
      </c>
      <c r="F14">
        <v>42</v>
      </c>
      <c r="G14">
        <v>49</v>
      </c>
      <c r="H14">
        <v>49</v>
      </c>
      <c r="I14">
        <v>49</v>
      </c>
      <c r="L14" t="s">
        <v>11</v>
      </c>
    </row>
    <row r="15" spans="2:19">
      <c r="B15" t="s">
        <v>12</v>
      </c>
      <c r="C15">
        <f>125+112</f>
        <v>237</v>
      </c>
      <c r="D15">
        <f>130+39</f>
        <v>169</v>
      </c>
      <c r="E15">
        <f>130+80</f>
        <v>210</v>
      </c>
      <c r="F15">
        <f>130+94</f>
        <v>224</v>
      </c>
      <c r="G15">
        <f>127+112</f>
        <v>239</v>
      </c>
      <c r="H15">
        <f>129+109</f>
        <v>238</v>
      </c>
      <c r="I15">
        <f>127+109</f>
        <v>236</v>
      </c>
      <c r="L15" t="s">
        <v>12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853A-4F30-0142-AB97-3D14C1A4C950}">
  <dimension ref="B2:S15"/>
  <sheetViews>
    <sheetView topLeftCell="B1" workbookViewId="0">
      <selection activeCell="F23" sqref="F23"/>
    </sheetView>
  </sheetViews>
  <sheetFormatPr baseColWidth="10" defaultRowHeight="20"/>
  <sheetData>
    <row r="2" spans="2:19">
      <c r="B2" t="s">
        <v>8</v>
      </c>
      <c r="C2" t="s">
        <v>9</v>
      </c>
      <c r="L2" t="s">
        <v>15</v>
      </c>
      <c r="M2" t="s">
        <v>9</v>
      </c>
    </row>
    <row r="3" spans="2:19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</row>
    <row r="4" spans="2:19">
      <c r="C4" t="s">
        <v>4</v>
      </c>
      <c r="D4" t="s">
        <v>5</v>
      </c>
      <c r="E4" s="1">
        <v>0.2</v>
      </c>
      <c r="F4" s="1">
        <v>0.4</v>
      </c>
      <c r="G4" t="s">
        <v>2</v>
      </c>
      <c r="H4" t="s">
        <v>3</v>
      </c>
      <c r="I4" t="s">
        <v>7</v>
      </c>
      <c r="M4" t="s">
        <v>4</v>
      </c>
      <c r="N4" t="s">
        <v>5</v>
      </c>
      <c r="O4" s="1">
        <v>0.2</v>
      </c>
      <c r="P4" s="1">
        <v>0.4</v>
      </c>
      <c r="Q4" t="s">
        <v>2</v>
      </c>
      <c r="R4" t="s">
        <v>3</v>
      </c>
      <c r="S4" t="s">
        <v>7</v>
      </c>
    </row>
    <row r="5" spans="2:19">
      <c r="B5" t="s">
        <v>13</v>
      </c>
      <c r="C5">
        <v>5.2382999999999997</v>
      </c>
      <c r="D5">
        <v>1.4353</v>
      </c>
      <c r="E5">
        <v>2.2353999999999998</v>
      </c>
      <c r="F5">
        <v>2.7490999999999999</v>
      </c>
      <c r="G5">
        <v>4.8639999999999999</v>
      </c>
      <c r="H5">
        <v>4.3559000000000001</v>
      </c>
      <c r="I5">
        <v>4.3559000000000001</v>
      </c>
      <c r="L5" t="s">
        <v>13</v>
      </c>
    </row>
    <row r="6" spans="2:19">
      <c r="B6" t="s">
        <v>14</v>
      </c>
      <c r="C6">
        <v>5.1574999999999998</v>
      </c>
      <c r="D6">
        <v>1.6081000000000001</v>
      </c>
      <c r="E6">
        <v>2.4722</v>
      </c>
      <c r="F6">
        <v>2.6562999999999999</v>
      </c>
      <c r="G6">
        <v>4.9527000000000001</v>
      </c>
      <c r="H6">
        <v>4.6445999999999996</v>
      </c>
      <c r="I6">
        <v>4.6445999999999996</v>
      </c>
      <c r="L6" t="s">
        <v>14</v>
      </c>
    </row>
    <row r="7" spans="2:19">
      <c r="B7" t="s">
        <v>10</v>
      </c>
      <c r="C7">
        <v>5.1891999999999996</v>
      </c>
      <c r="D7">
        <v>1.5243</v>
      </c>
      <c r="E7">
        <v>2.3645999999999998</v>
      </c>
      <c r="F7">
        <v>2.6947999999999999</v>
      </c>
      <c r="G7">
        <v>4.9172000000000002</v>
      </c>
      <c r="H7">
        <v>4.5256999999999996</v>
      </c>
      <c r="I7">
        <v>4.5256999999999996</v>
      </c>
      <c r="L7" t="s">
        <v>10</v>
      </c>
    </row>
    <row r="8" spans="2:19">
      <c r="B8" t="s">
        <v>13</v>
      </c>
      <c r="C8">
        <v>5.7037000000000004</v>
      </c>
      <c r="D8">
        <v>3.9296000000000002</v>
      </c>
      <c r="E8">
        <v>5.6745999999999999</v>
      </c>
      <c r="F8">
        <v>5.1520999999999999</v>
      </c>
      <c r="G8">
        <v>5.7243000000000004</v>
      </c>
      <c r="H8">
        <v>5.7807000000000004</v>
      </c>
      <c r="I8">
        <v>5.7807000000000004</v>
      </c>
      <c r="L8" t="s">
        <v>13</v>
      </c>
    </row>
    <row r="9" spans="2:19">
      <c r="B9" t="s">
        <v>14</v>
      </c>
      <c r="C9">
        <v>5.5857999999999999</v>
      </c>
      <c r="D9">
        <v>3.9184999999999999</v>
      </c>
      <c r="E9">
        <v>4.2333999999999996</v>
      </c>
      <c r="F9">
        <v>4.7554999999999996</v>
      </c>
      <c r="G9">
        <v>5.7125000000000004</v>
      </c>
      <c r="H9">
        <v>5.5480999999999998</v>
      </c>
      <c r="I9">
        <v>5.5480999999999998</v>
      </c>
      <c r="L9" t="s">
        <v>14</v>
      </c>
    </row>
    <row r="10" spans="2:19">
      <c r="B10" t="s">
        <v>0</v>
      </c>
      <c r="C10">
        <v>5.6139999999999999</v>
      </c>
      <c r="D10">
        <v>3.9211</v>
      </c>
      <c r="E10">
        <v>4.5003000000000002</v>
      </c>
      <c r="F10">
        <v>4.8441000000000001</v>
      </c>
      <c r="G10">
        <v>5.7153999999999998</v>
      </c>
      <c r="H10">
        <v>5.6026999999999996</v>
      </c>
      <c r="I10">
        <v>5.6026999999999996</v>
      </c>
      <c r="L10" t="s">
        <v>0</v>
      </c>
    </row>
    <row r="11" spans="2:19">
      <c r="B11" t="s">
        <v>13</v>
      </c>
      <c r="C11">
        <v>7.3068</v>
      </c>
      <c r="D11">
        <v>4.6898</v>
      </c>
      <c r="E11">
        <v>6.0156999999999998</v>
      </c>
      <c r="F11">
        <v>6.1643999999999997</v>
      </c>
      <c r="G11">
        <v>7.1314000000000002</v>
      </c>
      <c r="H11">
        <v>7.101</v>
      </c>
      <c r="I11">
        <v>7.101</v>
      </c>
      <c r="L11" t="s">
        <v>13</v>
      </c>
    </row>
    <row r="12" spans="2:19">
      <c r="B12" t="s">
        <v>14</v>
      </c>
      <c r="C12">
        <v>7.5019</v>
      </c>
      <c r="D12">
        <v>5.6147999999999998</v>
      </c>
      <c r="E12">
        <v>6.0444000000000004</v>
      </c>
      <c r="F12">
        <v>6.5431999999999997</v>
      </c>
      <c r="G12">
        <v>7.58</v>
      </c>
      <c r="H12">
        <v>7.4991000000000003</v>
      </c>
      <c r="I12">
        <v>7.4991000000000003</v>
      </c>
      <c r="L12" t="s">
        <v>14</v>
      </c>
    </row>
    <row r="13" spans="2:19">
      <c r="B13" t="s">
        <v>1</v>
      </c>
      <c r="C13">
        <v>7.4484000000000004</v>
      </c>
      <c r="D13">
        <v>5.3433000000000002</v>
      </c>
      <c r="E13">
        <v>6.0369000000000002</v>
      </c>
      <c r="F13">
        <v>6.4378000000000002</v>
      </c>
      <c r="G13">
        <v>7.4539</v>
      </c>
      <c r="H13">
        <v>7.3874000000000004</v>
      </c>
      <c r="I13">
        <v>7.3874000000000004</v>
      </c>
      <c r="L13" t="s">
        <v>1</v>
      </c>
    </row>
    <row r="14" spans="2:19">
      <c r="B14" t="s">
        <v>11</v>
      </c>
      <c r="C14">
        <v>47</v>
      </c>
      <c r="D14">
        <v>22</v>
      </c>
      <c r="E14">
        <v>31</v>
      </c>
      <c r="F14">
        <v>37</v>
      </c>
      <c r="G14">
        <v>47</v>
      </c>
      <c r="H14">
        <v>47</v>
      </c>
      <c r="I14">
        <v>47</v>
      </c>
      <c r="L14" t="s">
        <v>11</v>
      </c>
    </row>
    <row r="15" spans="2:19">
      <c r="B15" t="s">
        <v>12</v>
      </c>
      <c r="C15">
        <f>123+108</f>
        <v>231</v>
      </c>
      <c r="D15">
        <f>129+60</f>
        <v>189</v>
      </c>
      <c r="E15">
        <f>129+86</f>
        <v>215</v>
      </c>
      <c r="F15">
        <f>130+92</f>
        <v>222</v>
      </c>
      <c r="G15">
        <f>123+108</f>
        <v>231</v>
      </c>
      <c r="H15">
        <f>123+108</f>
        <v>231</v>
      </c>
      <c r="I15">
        <f>123+108</f>
        <v>231</v>
      </c>
      <c r="L15" t="s">
        <v>12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17C4-1E43-E849-AB0D-366E9D84A596}">
  <dimension ref="B2:S15"/>
  <sheetViews>
    <sheetView workbookViewId="0">
      <selection activeCell="I16" sqref="I16"/>
    </sheetView>
  </sheetViews>
  <sheetFormatPr baseColWidth="10" defaultRowHeight="20"/>
  <sheetData>
    <row r="2" spans="2:19">
      <c r="B2" t="s">
        <v>8</v>
      </c>
      <c r="C2" t="s">
        <v>9</v>
      </c>
      <c r="L2" t="s">
        <v>15</v>
      </c>
      <c r="M2" t="s">
        <v>9</v>
      </c>
    </row>
    <row r="3" spans="2:19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</row>
    <row r="4" spans="2:19">
      <c r="C4" t="s">
        <v>4</v>
      </c>
      <c r="D4" t="s">
        <v>5</v>
      </c>
      <c r="E4" s="1">
        <v>0.2</v>
      </c>
      <c r="F4" s="1">
        <v>0.4</v>
      </c>
      <c r="G4" t="s">
        <v>2</v>
      </c>
      <c r="H4" t="s">
        <v>3</v>
      </c>
      <c r="I4" t="s">
        <v>7</v>
      </c>
      <c r="M4" t="s">
        <v>4</v>
      </c>
      <c r="N4" t="s">
        <v>5</v>
      </c>
      <c r="O4" s="1">
        <v>0.2</v>
      </c>
      <c r="P4" s="1">
        <v>0.4</v>
      </c>
      <c r="Q4" t="s">
        <v>2</v>
      </c>
      <c r="R4" t="s">
        <v>3</v>
      </c>
      <c r="S4" t="s">
        <v>7</v>
      </c>
    </row>
    <row r="5" spans="2:19">
      <c r="B5" t="s">
        <v>13</v>
      </c>
      <c r="C5">
        <v>5.9221000000000004</v>
      </c>
      <c r="D5">
        <v>2.0899000000000001</v>
      </c>
      <c r="E5">
        <v>3.6937000000000002</v>
      </c>
      <c r="F5">
        <v>4.3133999999999997</v>
      </c>
      <c r="G5">
        <v>5.6657999999999999</v>
      </c>
      <c r="H5">
        <v>5.5153999999999996</v>
      </c>
      <c r="I5">
        <v>5.2473999999999998</v>
      </c>
      <c r="L5" t="s">
        <v>13</v>
      </c>
    </row>
    <row r="6" spans="2:19">
      <c r="B6" t="s">
        <v>14</v>
      </c>
      <c r="C6">
        <v>5.6295000000000002</v>
      </c>
      <c r="D6">
        <v>1.4005000000000001</v>
      </c>
      <c r="E6">
        <v>3.3540999999999999</v>
      </c>
      <c r="F6">
        <v>3.9367999999999999</v>
      </c>
      <c r="G6">
        <v>5.4931000000000001</v>
      </c>
      <c r="H6">
        <v>4.5110000000000001</v>
      </c>
      <c r="I6">
        <v>4.9806999999999997</v>
      </c>
      <c r="L6" t="s">
        <v>14</v>
      </c>
    </row>
    <row r="7" spans="2:19">
      <c r="B7" t="s">
        <v>10</v>
      </c>
      <c r="C7">
        <v>5.6959999999999997</v>
      </c>
      <c r="D7">
        <v>1.4677</v>
      </c>
      <c r="E7">
        <v>3.4235000000000002</v>
      </c>
      <c r="F7">
        <v>4.0141999999999998</v>
      </c>
      <c r="G7">
        <v>5.5331000000000001</v>
      </c>
      <c r="H7">
        <v>4.7140000000000004</v>
      </c>
      <c r="I7">
        <v>5.0412999999999997</v>
      </c>
      <c r="L7" t="s">
        <v>10</v>
      </c>
    </row>
    <row r="8" spans="2:19">
      <c r="B8" t="s">
        <v>13</v>
      </c>
      <c r="C8">
        <v>7.2839</v>
      </c>
      <c r="D8">
        <v>3.5611999999999999</v>
      </c>
      <c r="E8">
        <v>5.5221</v>
      </c>
      <c r="F8">
        <v>6.2885</v>
      </c>
      <c r="G8">
        <v>7.0964</v>
      </c>
      <c r="H8">
        <v>6.5083000000000002</v>
      </c>
      <c r="I8">
        <v>6.9829999999999997</v>
      </c>
      <c r="L8" t="s">
        <v>13</v>
      </c>
    </row>
    <row r="9" spans="2:19">
      <c r="B9" t="s">
        <v>14</v>
      </c>
      <c r="C9">
        <v>7.7656000000000001</v>
      </c>
      <c r="D9">
        <v>4.2710999999999997</v>
      </c>
      <c r="E9">
        <v>5.5343999999999998</v>
      </c>
      <c r="F9">
        <v>6.2990000000000004</v>
      </c>
      <c r="G9">
        <v>7.2209000000000003</v>
      </c>
      <c r="H9">
        <v>6.9273999999999996</v>
      </c>
      <c r="I9">
        <v>7.1414</v>
      </c>
      <c r="L9" t="s">
        <v>14</v>
      </c>
    </row>
    <row r="10" spans="2:19">
      <c r="B10" t="s">
        <v>0</v>
      </c>
      <c r="C10">
        <v>7.6307999999999998</v>
      </c>
      <c r="D10">
        <v>4.0411999999999999</v>
      </c>
      <c r="E10">
        <v>5.5311000000000003</v>
      </c>
      <c r="F10">
        <v>6.2961999999999998</v>
      </c>
      <c r="G10">
        <v>7.1871999999999998</v>
      </c>
      <c r="H10">
        <v>6.8102</v>
      </c>
      <c r="I10">
        <v>7.0983000000000001</v>
      </c>
      <c r="L10" t="s">
        <v>0</v>
      </c>
    </row>
    <row r="11" spans="2:19">
      <c r="B11" t="s">
        <v>13</v>
      </c>
      <c r="C11">
        <v>8.6394000000000002</v>
      </c>
      <c r="D11">
        <v>5.3472</v>
      </c>
      <c r="E11">
        <v>7.1383999999999999</v>
      </c>
      <c r="F11">
        <v>7.7834000000000003</v>
      </c>
      <c r="G11">
        <v>8.4376999999999995</v>
      </c>
      <c r="H11">
        <v>8.0092999999999996</v>
      </c>
      <c r="I11">
        <v>8.2554999999999996</v>
      </c>
      <c r="L11" t="s">
        <v>13</v>
      </c>
    </row>
    <row r="12" spans="2:19">
      <c r="B12" t="s">
        <v>14</v>
      </c>
      <c r="C12">
        <v>9.2693999999999992</v>
      </c>
      <c r="D12">
        <v>5.4565000000000001</v>
      </c>
      <c r="E12">
        <v>7.1875999999999998</v>
      </c>
      <c r="F12">
        <v>7.9086999999999996</v>
      </c>
      <c r="G12">
        <v>8.8594000000000008</v>
      </c>
      <c r="H12">
        <v>8.3754000000000008</v>
      </c>
      <c r="I12">
        <v>8.7925000000000004</v>
      </c>
      <c r="L12" t="s">
        <v>14</v>
      </c>
    </row>
    <row r="13" spans="2:19">
      <c r="B13" t="s">
        <v>1</v>
      </c>
      <c r="C13">
        <v>9.0957000000000008</v>
      </c>
      <c r="D13">
        <v>5.4267000000000003</v>
      </c>
      <c r="E13">
        <v>7.1745999999999999</v>
      </c>
      <c r="F13">
        <v>7.8754</v>
      </c>
      <c r="G13">
        <v>8.7452000000000005</v>
      </c>
      <c r="H13">
        <v>8.2764000000000006</v>
      </c>
      <c r="I13">
        <v>8.6455000000000002</v>
      </c>
      <c r="L13" t="s">
        <v>1</v>
      </c>
    </row>
    <row r="14" spans="2:19">
      <c r="B14" t="s">
        <v>11</v>
      </c>
      <c r="C14">
        <v>37</v>
      </c>
      <c r="D14">
        <v>21</v>
      </c>
      <c r="E14">
        <v>35</v>
      </c>
      <c r="F14">
        <v>35</v>
      </c>
      <c r="G14">
        <v>37</v>
      </c>
      <c r="H14">
        <v>37</v>
      </c>
      <c r="I14">
        <v>37</v>
      </c>
      <c r="L14" t="s">
        <v>11</v>
      </c>
    </row>
    <row r="15" spans="2:19">
      <c r="B15" t="s">
        <v>12</v>
      </c>
      <c r="C15">
        <f>127+123</f>
        <v>250</v>
      </c>
      <c r="D15">
        <f>128+57</f>
        <v>185</v>
      </c>
      <c r="E15">
        <f>128+117</f>
        <v>245</v>
      </c>
      <c r="F15">
        <f>128+117</f>
        <v>245</v>
      </c>
      <c r="G15">
        <f>125+123</f>
        <v>248</v>
      </c>
      <c r="H15">
        <f>127+124</f>
        <v>251</v>
      </c>
      <c r="I15">
        <f>125+122</f>
        <v>247</v>
      </c>
      <c r="L15" t="s">
        <v>12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0E2A-87C7-4A40-AC74-2599F7C10E83}">
  <dimension ref="B2:S15"/>
  <sheetViews>
    <sheetView topLeftCell="B1" workbookViewId="0">
      <selection activeCell="I15" sqref="I15"/>
    </sheetView>
  </sheetViews>
  <sheetFormatPr baseColWidth="10" defaultRowHeight="20"/>
  <sheetData>
    <row r="2" spans="2:19">
      <c r="B2" t="s">
        <v>8</v>
      </c>
      <c r="C2" t="s">
        <v>9</v>
      </c>
      <c r="L2" t="s">
        <v>15</v>
      </c>
      <c r="M2" t="s">
        <v>9</v>
      </c>
    </row>
    <row r="3" spans="2:19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</row>
    <row r="4" spans="2:19">
      <c r="C4" t="s">
        <v>4</v>
      </c>
      <c r="D4" t="s">
        <v>5</v>
      </c>
      <c r="E4" s="1">
        <v>0.2</v>
      </c>
      <c r="F4" s="1">
        <v>0.4</v>
      </c>
      <c r="G4" t="s">
        <v>2</v>
      </c>
      <c r="H4" t="s">
        <v>3</v>
      </c>
      <c r="I4" t="s">
        <v>7</v>
      </c>
      <c r="M4" t="s">
        <v>4</v>
      </c>
      <c r="N4" t="s">
        <v>5</v>
      </c>
      <c r="O4" s="1">
        <v>0.2</v>
      </c>
      <c r="P4" s="1">
        <v>0.4</v>
      </c>
      <c r="Q4" t="s">
        <v>2</v>
      </c>
      <c r="R4" t="s">
        <v>3</v>
      </c>
      <c r="S4" t="s">
        <v>7</v>
      </c>
    </row>
    <row r="5" spans="2:19">
      <c r="B5" t="s">
        <v>13</v>
      </c>
      <c r="C5">
        <v>5.4462000000000002</v>
      </c>
      <c r="D5">
        <v>1.2932999999999999</v>
      </c>
      <c r="E5">
        <v>3.0779999999999998</v>
      </c>
      <c r="F5">
        <v>3.3527</v>
      </c>
      <c r="G5">
        <v>5.1414999999999997</v>
      </c>
      <c r="H5">
        <v>4.4326999999999996</v>
      </c>
      <c r="I5">
        <v>4.8068999999999997</v>
      </c>
      <c r="L5" t="s">
        <v>13</v>
      </c>
    </row>
    <row r="6" spans="2:19">
      <c r="B6" t="s">
        <v>14</v>
      </c>
      <c r="C6">
        <v>5.4913999999999996</v>
      </c>
      <c r="D6">
        <v>1.7351000000000001</v>
      </c>
      <c r="E6">
        <v>2.992</v>
      </c>
      <c r="F6">
        <v>3.1069</v>
      </c>
      <c r="G6">
        <v>5.2946999999999997</v>
      </c>
      <c r="H6">
        <v>4.5122</v>
      </c>
      <c r="I6">
        <v>4.8278999999999996</v>
      </c>
      <c r="L6" t="s">
        <v>14</v>
      </c>
    </row>
    <row r="7" spans="2:19">
      <c r="B7" t="s">
        <v>10</v>
      </c>
      <c r="C7">
        <v>5.4802</v>
      </c>
      <c r="D7">
        <v>1.6392</v>
      </c>
      <c r="E7">
        <v>3.0104000000000002</v>
      </c>
      <c r="F7">
        <v>3.1591</v>
      </c>
      <c r="G7">
        <v>5.2564000000000002</v>
      </c>
      <c r="H7">
        <v>4.4930000000000003</v>
      </c>
      <c r="I7">
        <v>4.8228</v>
      </c>
      <c r="L7" t="s">
        <v>10</v>
      </c>
    </row>
    <row r="8" spans="2:19">
      <c r="B8" t="s">
        <v>13</v>
      </c>
      <c r="C8">
        <v>6.9663000000000004</v>
      </c>
      <c r="D8">
        <v>3.9559000000000002</v>
      </c>
      <c r="E8">
        <v>4.8255999999999997</v>
      </c>
      <c r="F8">
        <v>5.4482999999999997</v>
      </c>
      <c r="G8">
        <v>6.7445000000000004</v>
      </c>
      <c r="H8">
        <v>6.4654999999999996</v>
      </c>
      <c r="I8">
        <v>6.9615</v>
      </c>
      <c r="L8" t="s">
        <v>13</v>
      </c>
    </row>
    <row r="9" spans="2:19">
      <c r="B9" t="s">
        <v>14</v>
      </c>
      <c r="C9">
        <v>6.7830000000000004</v>
      </c>
      <c r="D9">
        <v>4.7325999999999997</v>
      </c>
      <c r="E9">
        <v>5.8367000000000004</v>
      </c>
      <c r="F9">
        <v>6.1308999999999996</v>
      </c>
      <c r="G9">
        <v>6.6860999999999997</v>
      </c>
      <c r="H9">
        <v>6.5808</v>
      </c>
      <c r="I9">
        <v>6.6516999999999999</v>
      </c>
      <c r="L9" t="s">
        <v>14</v>
      </c>
    </row>
    <row r="10" spans="2:19">
      <c r="B10" t="s">
        <v>0</v>
      </c>
      <c r="C10">
        <v>6.8223000000000003</v>
      </c>
      <c r="D10">
        <v>4.5585000000000004</v>
      </c>
      <c r="E10">
        <v>5.5831999999999997</v>
      </c>
      <c r="F10">
        <v>5.9687999999999999</v>
      </c>
      <c r="G10">
        <v>6.6988000000000003</v>
      </c>
      <c r="H10">
        <v>6.5552000000000001</v>
      </c>
      <c r="I10">
        <v>6.7172000000000001</v>
      </c>
      <c r="L10" t="s">
        <v>0</v>
      </c>
    </row>
    <row r="11" spans="2:19">
      <c r="B11" t="s">
        <v>13</v>
      </c>
      <c r="C11">
        <v>8.1250999999999998</v>
      </c>
      <c r="D11">
        <v>5.1391</v>
      </c>
      <c r="E11">
        <v>6.2908999999999997</v>
      </c>
      <c r="F11">
        <v>6.8628</v>
      </c>
      <c r="G11">
        <v>7.9470999999999998</v>
      </c>
      <c r="H11">
        <v>7.6872999999999996</v>
      </c>
      <c r="I11">
        <v>8.0693000000000001</v>
      </c>
      <c r="L11" t="s">
        <v>13</v>
      </c>
    </row>
    <row r="12" spans="2:19">
      <c r="B12" t="s">
        <v>14</v>
      </c>
      <c r="C12">
        <v>8.4377999999999993</v>
      </c>
      <c r="D12">
        <v>6.1303999999999998</v>
      </c>
      <c r="E12">
        <v>7.3555999999999999</v>
      </c>
      <c r="F12">
        <v>7.5884</v>
      </c>
      <c r="G12">
        <v>8.3696999999999999</v>
      </c>
      <c r="H12">
        <v>8.1989999999999998</v>
      </c>
      <c r="I12">
        <v>8.3496000000000006</v>
      </c>
      <c r="L12" t="s">
        <v>14</v>
      </c>
    </row>
    <row r="13" spans="2:19">
      <c r="B13" t="s">
        <v>1</v>
      </c>
      <c r="C13">
        <v>8.3679000000000006</v>
      </c>
      <c r="D13">
        <v>5.9150999999999998</v>
      </c>
      <c r="E13">
        <v>7.0989000000000004</v>
      </c>
      <c r="F13">
        <v>7.4208999999999996</v>
      </c>
      <c r="G13">
        <v>8.2746999999999993</v>
      </c>
      <c r="H13">
        <v>8.0828000000000007</v>
      </c>
      <c r="I13">
        <v>8.2870000000000008</v>
      </c>
      <c r="L13" t="s">
        <v>1</v>
      </c>
    </row>
    <row r="14" spans="2:19">
      <c r="B14" t="s">
        <v>11</v>
      </c>
      <c r="C14">
        <v>38</v>
      </c>
      <c r="D14">
        <v>21</v>
      </c>
      <c r="E14">
        <v>34</v>
      </c>
      <c r="F14">
        <v>35</v>
      </c>
      <c r="G14">
        <v>38</v>
      </c>
      <c r="H14">
        <v>37</v>
      </c>
      <c r="I14">
        <v>38</v>
      </c>
      <c r="L14" t="s">
        <v>11</v>
      </c>
    </row>
    <row r="15" spans="2:19">
      <c r="B15" t="s">
        <v>12</v>
      </c>
      <c r="C15">
        <f>128+121</f>
        <v>249</v>
      </c>
      <c r="D15">
        <f>130+74</f>
        <v>204</v>
      </c>
      <c r="E15">
        <f>130+110</f>
        <v>240</v>
      </c>
      <c r="F15">
        <f>130+110</f>
        <v>240</v>
      </c>
      <c r="G15">
        <f>126+120</f>
        <v>246</v>
      </c>
      <c r="H15">
        <f>128+117</f>
        <v>245</v>
      </c>
      <c r="I15">
        <f>129+120</f>
        <v>249</v>
      </c>
      <c r="L15" t="s">
        <v>12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4BF1-0ED9-B647-A6CB-E84837A96431}">
  <dimension ref="B2:S16"/>
  <sheetViews>
    <sheetView tabSelected="1" topLeftCell="A3" workbookViewId="0">
      <selection activeCell="I16" sqref="I16"/>
    </sheetView>
  </sheetViews>
  <sheetFormatPr baseColWidth="10" defaultRowHeight="20"/>
  <sheetData>
    <row r="2" spans="2:19">
      <c r="B2" t="s">
        <v>8</v>
      </c>
      <c r="C2" t="s">
        <v>9</v>
      </c>
      <c r="L2" t="s">
        <v>15</v>
      </c>
      <c r="M2" t="s">
        <v>9</v>
      </c>
    </row>
    <row r="3" spans="2:19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</row>
    <row r="4" spans="2:19">
      <c r="C4" t="s">
        <v>4</v>
      </c>
      <c r="D4" t="s">
        <v>5</v>
      </c>
      <c r="E4" s="1">
        <v>0.2</v>
      </c>
      <c r="F4" s="1">
        <v>0.4</v>
      </c>
      <c r="G4" t="s">
        <v>2</v>
      </c>
      <c r="H4" t="s">
        <v>3</v>
      </c>
      <c r="I4" t="s">
        <v>7</v>
      </c>
      <c r="M4" t="s">
        <v>4</v>
      </c>
      <c r="N4" t="s">
        <v>5</v>
      </c>
      <c r="O4" s="1">
        <v>0.2</v>
      </c>
      <c r="P4" s="1">
        <v>0.4</v>
      </c>
      <c r="Q4" t="s">
        <v>2</v>
      </c>
      <c r="R4" t="s">
        <v>3</v>
      </c>
      <c r="S4" t="s">
        <v>7</v>
      </c>
    </row>
    <row r="5" spans="2:19">
      <c r="B5" t="s">
        <v>13</v>
      </c>
      <c r="C5">
        <f>ROUND(AVERAGE(seed1!C5,seed2!C5,seed3!C5,seed4!C5,seed5!C5),4)</f>
        <v>5.5121000000000002</v>
      </c>
      <c r="D5">
        <f>ROUND(AVERAGE(seed1!D5,seed2!D5,seed3!D5,seed4!D5,seed5!D5),4)</f>
        <v>1.6975</v>
      </c>
      <c r="E5">
        <f>ROUND(AVERAGE(seed1!E5,seed2!E5,seed3!E5,seed4!E5,seed5!E5),4)</f>
        <v>2.8125</v>
      </c>
      <c r="F5">
        <f>ROUND(AVERAGE(seed1!F5,seed2!F5,seed3!F5,seed4!F5,seed5!F5),4)</f>
        <v>3.4883000000000002</v>
      </c>
      <c r="G5">
        <f>ROUND(AVERAGE(seed1!G5,seed2!G5,seed3!G5,seed4!G5,seed5!G5),4)</f>
        <v>5.2461000000000002</v>
      </c>
      <c r="H5">
        <f>ROUND(AVERAGE(seed1!H5,seed2!H5,seed3!H5,seed4!H5,seed5!H5),4)</f>
        <v>4.8461999999999996</v>
      </c>
      <c r="I5">
        <f>ROUND(AVERAGE(seed1!I5,seed2!I5,seed3!I5,seed4!I5,seed5!I5),4)</f>
        <v>4.7550999999999997</v>
      </c>
      <c r="L5" t="s">
        <v>13</v>
      </c>
      <c r="M5" t="e">
        <f>ROUND(AVERAGE(seed1!M5,seed2!M5,seed3!M5,seed4!M5,seed5!M5),4)</f>
        <v>#DIV/0!</v>
      </c>
      <c r="N5" t="e">
        <f>ROUND(AVERAGE(seed1!N5,seed2!N5,seed3!N5,seed4!N5,seed5!N5),4)</f>
        <v>#DIV/0!</v>
      </c>
      <c r="O5" t="e">
        <f>ROUND(AVERAGE(seed1!O5,seed2!O5,seed3!O5,seed4!O5,seed5!O5),4)</f>
        <v>#DIV/0!</v>
      </c>
      <c r="P5" t="e">
        <f>ROUND(AVERAGE(seed1!P5,seed2!P5,seed3!P5,seed4!P5,seed5!P5),4)</f>
        <v>#DIV/0!</v>
      </c>
      <c r="Q5" t="e">
        <f>ROUND(AVERAGE(seed1!Q5,seed2!Q5,seed3!Q5,seed4!Q5,seed5!Q5),4)</f>
        <v>#DIV/0!</v>
      </c>
      <c r="R5" t="e">
        <f>ROUND(AVERAGE(seed1!R5,seed2!R5,seed3!R5,seed4!R5,seed5!R5),4)</f>
        <v>#DIV/0!</v>
      </c>
      <c r="S5" t="e">
        <f>AVERAGE(seed1!S5,seed2!S5,seed3!S5,seed4!S5,seed5!S5)</f>
        <v>#DIV/0!</v>
      </c>
    </row>
    <row r="6" spans="2:19">
      <c r="B6" t="s">
        <v>14</v>
      </c>
      <c r="C6">
        <f>ROUND(AVERAGE(seed1!C6,seed2!C6,seed3!C6,seed4!C6,seed5!C6),4)</f>
        <v>5.4759000000000002</v>
      </c>
      <c r="D6">
        <f>ROUND(AVERAGE(seed1!D6,seed2!D6,seed3!D6,seed4!D6,seed5!D6),4)</f>
        <v>1.4843999999999999</v>
      </c>
      <c r="E6">
        <f>ROUND(AVERAGE(seed1!E6,seed2!E6,seed3!E6,seed4!E6,seed5!E6),4)</f>
        <v>2.7242999999999999</v>
      </c>
      <c r="F6">
        <f>ROUND(AVERAGE(seed1!F6,seed2!F6,seed3!F6,seed4!F6,seed5!F6),4)</f>
        <v>3.3022</v>
      </c>
      <c r="G6">
        <f>ROUND(AVERAGE(seed1!G6,seed2!G6,seed3!G6,seed4!G6,seed5!G6),4)</f>
        <v>5.2647000000000004</v>
      </c>
      <c r="H6">
        <f>ROUND(AVERAGE(seed1!H6,seed2!H6,seed3!H6,seed4!H6,seed5!H6),4)</f>
        <v>4.7175000000000002</v>
      </c>
      <c r="I6">
        <f>ROUND(AVERAGE(seed1!I6,seed2!I6,seed3!I6,seed4!I6,seed5!I6),4)</f>
        <v>4.7831000000000001</v>
      </c>
      <c r="L6" t="s">
        <v>14</v>
      </c>
      <c r="M6" t="e">
        <f>ROUND(AVERAGE(seed1!M6,seed2!M6,seed3!M6,seed4!M6,seed5!M6),4)</f>
        <v>#DIV/0!</v>
      </c>
      <c r="N6" t="e">
        <f>ROUND(AVERAGE(seed1!N6,seed2!N6,seed3!N6,seed4!N6,seed5!N6),4)</f>
        <v>#DIV/0!</v>
      </c>
      <c r="O6" t="e">
        <f>ROUND(AVERAGE(seed1!O6,seed2!O6,seed3!O6,seed4!O6,seed5!O6),4)</f>
        <v>#DIV/0!</v>
      </c>
      <c r="P6" t="e">
        <f>ROUND(AVERAGE(seed1!P6,seed2!P6,seed3!P6,seed4!P6,seed5!P6),4)</f>
        <v>#DIV/0!</v>
      </c>
      <c r="Q6" t="e">
        <f>ROUND(AVERAGE(seed1!Q6,seed2!Q6,seed3!Q6,seed4!Q6,seed5!Q6),4)</f>
        <v>#DIV/0!</v>
      </c>
      <c r="R6" t="e">
        <f>ROUND(AVERAGE(seed1!R6,seed2!R6,seed3!R6,seed4!R6,seed5!R6),4)</f>
        <v>#DIV/0!</v>
      </c>
      <c r="S6" t="e">
        <f>AVERAGE(seed1!S6,seed2!S6,seed3!S6,seed4!S6,seed5!S6)</f>
        <v>#DIV/0!</v>
      </c>
    </row>
    <row r="7" spans="2:19">
      <c r="B7" t="s">
        <v>10</v>
      </c>
      <c r="C7">
        <f>ROUND(AVERAGE(seed1!C7,seed2!C7,seed3!C7,seed4!C7,seed5!C7),4)</f>
        <v>5.4865000000000004</v>
      </c>
      <c r="D7">
        <f>ROUND(AVERAGE(seed1!D7,seed2!D7,seed3!D7,seed4!D7,seed5!D7),4)</f>
        <v>1.4884999999999999</v>
      </c>
      <c r="E7">
        <f>ROUND(AVERAGE(seed1!E7,seed2!E7,seed3!E7,seed4!E7,seed5!E7),4)</f>
        <v>2.73</v>
      </c>
      <c r="F7">
        <f>ROUND(AVERAGE(seed1!F7,seed2!F7,seed3!F7,seed4!F7,seed5!F7),4)</f>
        <v>3.3431999999999999</v>
      </c>
      <c r="G7">
        <f>ROUND(AVERAGE(seed1!G7,seed2!G7,seed3!G7,seed4!G7,seed5!G7),4)</f>
        <v>5.2553000000000001</v>
      </c>
      <c r="H7">
        <f>ROUND(AVERAGE(seed1!H7,seed2!H7,seed3!H7,seed4!H7,seed5!H7),4)</f>
        <v>4.7282000000000002</v>
      </c>
      <c r="I7">
        <f>ROUND(AVERAGE(seed1!I7,seed2!I7,seed3!I7,seed4!I7,seed5!I7),4)</f>
        <v>4.7621000000000002</v>
      </c>
      <c r="L7" t="s">
        <v>10</v>
      </c>
      <c r="M7" t="e">
        <f>ROUND(AVERAGE(seed1!M7,seed2!M7,seed3!M7,seed4!M7,seed5!M7),4)</f>
        <v>#DIV/0!</v>
      </c>
      <c r="N7" t="e">
        <f>ROUND(AVERAGE(seed1!N7,seed2!N7,seed3!N7,seed4!N7,seed5!N7),4)</f>
        <v>#DIV/0!</v>
      </c>
      <c r="O7" t="e">
        <f>ROUND(AVERAGE(seed1!O7,seed2!O7,seed3!O7,seed4!O7,seed5!O7),4)</f>
        <v>#DIV/0!</v>
      </c>
      <c r="P7" t="e">
        <f>ROUND(AVERAGE(seed1!P7,seed2!P7,seed3!P7,seed4!P7,seed5!P7),4)</f>
        <v>#DIV/0!</v>
      </c>
      <c r="Q7" t="e">
        <f>ROUND(AVERAGE(seed1!Q7,seed2!Q7,seed3!Q7,seed4!Q7,seed5!Q7),4)</f>
        <v>#DIV/0!</v>
      </c>
      <c r="R7" t="e">
        <f>ROUND(AVERAGE(seed1!R7,seed2!R7,seed3!R7,seed4!R7,seed5!R7),4)</f>
        <v>#DIV/0!</v>
      </c>
      <c r="S7" t="e">
        <f>AVERAGE(seed1!S7,seed2!S7,seed3!S7,seed4!S7,seed5!S7)</f>
        <v>#DIV/0!</v>
      </c>
    </row>
    <row r="8" spans="2:19">
      <c r="B8" t="s">
        <v>13</v>
      </c>
      <c r="C8">
        <f>ROUND(AVERAGE(seed1!C8,seed2!C8,seed3!C8,seed4!C8,seed5!C8),4)</f>
        <v>6.5777999999999999</v>
      </c>
      <c r="D8">
        <f>ROUND(AVERAGE(seed1!D8,seed2!D8,seed3!D8,seed4!D8,seed5!D8),4)</f>
        <v>3.8045</v>
      </c>
      <c r="E8">
        <f>ROUND(AVERAGE(seed1!E8,seed2!E8,seed3!E8,seed4!E8,seed5!E8),4)</f>
        <v>5.0838000000000001</v>
      </c>
      <c r="F8">
        <f>ROUND(AVERAGE(seed1!F8,seed2!F8,seed3!F8,seed4!F8,seed5!F8),4)</f>
        <v>5.6759000000000004</v>
      </c>
      <c r="G8">
        <f>ROUND(AVERAGE(seed1!G8,seed2!G8,seed3!G8,seed4!G8,seed5!G8),4)</f>
        <v>6.3517000000000001</v>
      </c>
      <c r="H8">
        <f>ROUND(AVERAGE(seed1!H8,seed2!H8,seed3!H8,seed4!H8,seed5!H8),4)</f>
        <v>6.21</v>
      </c>
      <c r="I8">
        <f>ROUND(AVERAGE(seed1!I8,seed2!I8,seed3!I8,seed4!I8,seed5!I8),4)</f>
        <v>6.4244000000000003</v>
      </c>
      <c r="L8" t="s">
        <v>13</v>
      </c>
      <c r="M8" t="e">
        <f>ROUND(AVERAGE(seed1!M8,seed2!M8,seed3!M8,seed4!M8,seed5!M8),4)</f>
        <v>#DIV/0!</v>
      </c>
      <c r="N8" t="e">
        <f>ROUND(AVERAGE(seed1!N8,seed2!N8,seed3!N8,seed4!N8,seed5!N8),4)</f>
        <v>#DIV/0!</v>
      </c>
      <c r="O8" t="e">
        <f>ROUND(AVERAGE(seed1!O8,seed2!O8,seed3!O8,seed4!O8,seed5!O8),4)</f>
        <v>#DIV/0!</v>
      </c>
      <c r="P8" t="e">
        <f>ROUND(AVERAGE(seed1!P8,seed2!P8,seed3!P8,seed4!P8,seed5!P8),4)</f>
        <v>#DIV/0!</v>
      </c>
      <c r="Q8" t="e">
        <f>ROUND(AVERAGE(seed1!Q8,seed2!Q8,seed3!Q8,seed4!Q8,seed5!Q8),4)</f>
        <v>#DIV/0!</v>
      </c>
      <c r="R8" t="e">
        <f>ROUND(AVERAGE(seed1!R8,seed2!R8,seed3!R8,seed4!R8,seed5!R8),4)</f>
        <v>#DIV/0!</v>
      </c>
      <c r="S8" t="e">
        <f>AVERAGE(seed1!S8,seed2!S8,seed3!S8,seed4!S8,seed5!S8)</f>
        <v>#DIV/0!</v>
      </c>
    </row>
    <row r="9" spans="2:19">
      <c r="B9" t="s">
        <v>14</v>
      </c>
      <c r="C9">
        <f>ROUND(AVERAGE(seed1!C9,seed2!C9,seed3!C9,seed4!C9,seed5!C9),4)</f>
        <v>6.6561000000000003</v>
      </c>
      <c r="D9">
        <f>ROUND(AVERAGE(seed1!D9,seed2!D9,seed3!D9,seed4!D9,seed5!D9),4)</f>
        <v>4.1365999999999996</v>
      </c>
      <c r="E9">
        <f>ROUND(AVERAGE(seed1!E9,seed2!E9,seed3!E9,seed4!E9,seed5!E9),4)</f>
        <v>4.8559999999999999</v>
      </c>
      <c r="F9">
        <f>ROUND(AVERAGE(seed1!F9,seed2!F9,seed3!F9,seed4!F9,seed5!F9),4)</f>
        <v>5.5678000000000001</v>
      </c>
      <c r="G9">
        <f>ROUND(AVERAGE(seed1!G9,seed2!G9,seed3!G9,seed4!G9,seed5!G9),4)</f>
        <v>6.4379</v>
      </c>
      <c r="H9">
        <f>ROUND(AVERAGE(seed1!H9,seed2!H9,seed3!H9,seed4!H9,seed5!H9),4)</f>
        <v>6.3947000000000003</v>
      </c>
      <c r="I9">
        <f>ROUND(AVERAGE(seed1!I9,seed2!I9,seed3!I9,seed4!I9,seed5!I9),4)</f>
        <v>6.3598999999999997</v>
      </c>
      <c r="L9" t="s">
        <v>14</v>
      </c>
      <c r="M9" t="e">
        <f>ROUND(AVERAGE(seed1!M9,seed2!M9,seed3!M9,seed4!M9,seed5!M9),4)</f>
        <v>#DIV/0!</v>
      </c>
      <c r="N9" t="e">
        <f>ROUND(AVERAGE(seed1!N9,seed2!N9,seed3!N9,seed4!N9,seed5!N9),4)</f>
        <v>#DIV/0!</v>
      </c>
      <c r="O9" t="e">
        <f>ROUND(AVERAGE(seed1!O9,seed2!O9,seed3!O9,seed4!O9,seed5!O9),4)</f>
        <v>#DIV/0!</v>
      </c>
      <c r="P9" t="e">
        <f>ROUND(AVERAGE(seed1!P9,seed2!P9,seed3!P9,seed4!P9,seed5!P9),4)</f>
        <v>#DIV/0!</v>
      </c>
      <c r="Q9" t="e">
        <f>ROUND(AVERAGE(seed1!Q9,seed2!Q9,seed3!Q9,seed4!Q9,seed5!Q9),4)</f>
        <v>#DIV/0!</v>
      </c>
      <c r="R9" t="e">
        <f>ROUND(AVERAGE(seed1!R9,seed2!R9,seed3!R9,seed4!R9,seed5!R9),4)</f>
        <v>#DIV/0!</v>
      </c>
      <c r="S9" t="e">
        <f>AVERAGE(seed1!S9,seed2!S9,seed3!S9,seed4!S9,seed5!S9)</f>
        <v>#DIV/0!</v>
      </c>
    </row>
    <row r="10" spans="2:19">
      <c r="B10" t="s">
        <v>0</v>
      </c>
      <c r="C10">
        <f>ROUND(AVERAGE(seed1!C10,seed2!C10,seed3!C10,seed4!C10,seed5!C10),4)</f>
        <v>6.6317000000000004</v>
      </c>
      <c r="D10">
        <f>ROUND(AVERAGE(seed1!D10,seed2!D10,seed3!D10,seed4!D10,seed5!D10),4)</f>
        <v>4.0369000000000002</v>
      </c>
      <c r="E10">
        <f>ROUND(AVERAGE(seed1!E10,seed2!E10,seed3!E10,seed4!E10,seed5!E10),4)</f>
        <v>4.8944000000000001</v>
      </c>
      <c r="F10">
        <f>ROUND(AVERAGE(seed1!F10,seed2!F10,seed3!F10,seed4!F10,seed5!F10),4)</f>
        <v>5.5938999999999997</v>
      </c>
      <c r="G10">
        <f>ROUND(AVERAGE(seed1!G10,seed2!G10,seed3!G10,seed4!G10,seed5!G10),4)</f>
        <v>6.4146999999999998</v>
      </c>
      <c r="H10">
        <f>ROUND(AVERAGE(seed1!H10,seed2!H10,seed3!H10,seed4!H10,seed5!H10),4)</f>
        <v>6.3445999999999998</v>
      </c>
      <c r="I10">
        <f>ROUND(AVERAGE(seed1!I10,seed2!I10,seed3!I10,seed4!I10,seed5!I10),4)</f>
        <v>6.3711000000000002</v>
      </c>
      <c r="L10" t="s">
        <v>0</v>
      </c>
      <c r="M10" t="e">
        <f>ROUND(AVERAGE(seed1!M10,seed2!M10,seed3!M10,seed4!M10,seed5!M10),4)</f>
        <v>#DIV/0!</v>
      </c>
      <c r="N10" t="e">
        <f>ROUND(AVERAGE(seed1!N10,seed2!N10,seed3!N10,seed4!N10,seed5!N10),4)</f>
        <v>#DIV/0!</v>
      </c>
      <c r="O10" t="e">
        <f>ROUND(AVERAGE(seed1!O10,seed2!O10,seed3!O10,seed4!O10,seed5!O10),4)</f>
        <v>#DIV/0!</v>
      </c>
      <c r="P10" t="e">
        <f>ROUND(AVERAGE(seed1!P10,seed2!P10,seed3!P10,seed4!P10,seed5!P10),4)</f>
        <v>#DIV/0!</v>
      </c>
      <c r="Q10" t="e">
        <f>ROUND(AVERAGE(seed1!Q10,seed2!Q10,seed3!Q10,seed4!Q10,seed5!Q10),4)</f>
        <v>#DIV/0!</v>
      </c>
      <c r="R10" t="e">
        <f>ROUND(AVERAGE(seed1!R10,seed2!R10,seed3!R10,seed4!R10,seed5!R10),4)</f>
        <v>#DIV/0!</v>
      </c>
      <c r="S10" t="e">
        <f>AVERAGE(seed1!S10,seed2!S10,seed3!S10,seed4!S10,seed5!S10)</f>
        <v>#DIV/0!</v>
      </c>
    </row>
    <row r="11" spans="2:19">
      <c r="B11" t="s">
        <v>13</v>
      </c>
      <c r="C11">
        <f>ROUND(AVERAGE(seed1!C11,seed2!C11,seed3!C11,seed4!C11,seed5!C11),4)</f>
        <v>8.0082000000000004</v>
      </c>
      <c r="D11">
        <f>ROUND(AVERAGE(seed1!D11,seed2!D11,seed3!D11,seed4!D11,seed5!D11),4)</f>
        <v>5.1665999999999999</v>
      </c>
      <c r="E11">
        <f>ROUND(AVERAGE(seed1!E11,seed2!E11,seed3!E11,seed4!E11,seed5!E11),4)</f>
        <v>6.3745000000000003</v>
      </c>
      <c r="F11">
        <f>ROUND(AVERAGE(seed1!F11,seed2!F11,seed3!F11,seed4!F11,seed5!F11),4)</f>
        <v>7.0542999999999996</v>
      </c>
      <c r="G11">
        <f>ROUND(AVERAGE(seed1!G11,seed2!G11,seed3!G11,seed4!G11,seed5!G11),4)</f>
        <v>7.7870999999999997</v>
      </c>
      <c r="H11">
        <f>ROUND(AVERAGE(seed1!H11,seed2!H11,seed3!H11,seed4!H11,seed5!H11),4)</f>
        <v>7.6422999999999996</v>
      </c>
      <c r="I11">
        <f>ROUND(AVERAGE(seed1!I11,seed2!I11,seed3!I11,seed4!I11,seed5!I11),4)</f>
        <v>7.7347000000000001</v>
      </c>
      <c r="L11" t="s">
        <v>13</v>
      </c>
      <c r="M11" t="e">
        <f>ROUND(AVERAGE(seed1!M11,seed2!M11,seed3!M11,seed4!M11,seed5!M11),4)</f>
        <v>#DIV/0!</v>
      </c>
      <c r="N11" t="e">
        <f>ROUND(AVERAGE(seed1!N11,seed2!N11,seed3!N11,seed4!N11,seed5!N11),4)</f>
        <v>#DIV/0!</v>
      </c>
      <c r="O11" t="e">
        <f>ROUND(AVERAGE(seed1!O11,seed2!O11,seed3!O11,seed4!O11,seed5!O11),4)</f>
        <v>#DIV/0!</v>
      </c>
      <c r="P11" t="e">
        <f>ROUND(AVERAGE(seed1!P11,seed2!P11,seed3!P11,seed4!P11,seed5!P11),4)</f>
        <v>#DIV/0!</v>
      </c>
      <c r="Q11" t="e">
        <f>ROUND(AVERAGE(seed1!Q11,seed2!Q11,seed3!Q11,seed4!Q11,seed5!Q11),4)</f>
        <v>#DIV/0!</v>
      </c>
      <c r="R11" t="e">
        <f>ROUND(AVERAGE(seed1!R11,seed2!R11,seed3!R11,seed4!R11,seed5!R11),4)</f>
        <v>#DIV/0!</v>
      </c>
      <c r="S11" t="e">
        <f>AVERAGE(seed1!S11,seed2!S11,seed3!S11,seed4!S11,seed5!S11)</f>
        <v>#DIV/0!</v>
      </c>
    </row>
    <row r="12" spans="2:19">
      <c r="B12" t="s">
        <v>14</v>
      </c>
      <c r="C12">
        <f>ROUND(AVERAGE(seed1!C12,seed2!C12,seed3!C12,seed4!C12,seed5!C12),4)</f>
        <v>8.3795999999999999</v>
      </c>
      <c r="D12">
        <f>ROUND(AVERAGE(seed1!D12,seed2!D12,seed3!D12,seed4!D12,seed5!D12),4)</f>
        <v>5.5060000000000002</v>
      </c>
      <c r="E12">
        <f>ROUND(AVERAGE(seed1!E12,seed2!E12,seed3!E12,seed4!E12,seed5!E12),4)</f>
        <v>6.4748000000000001</v>
      </c>
      <c r="F12">
        <f>ROUND(AVERAGE(seed1!F12,seed2!F12,seed3!F12,seed4!F12,seed5!F12),4)</f>
        <v>7.1772999999999998</v>
      </c>
      <c r="G12">
        <f>ROUND(AVERAGE(seed1!G12,seed2!G12,seed3!G12,seed4!G12,seed5!G12),4)</f>
        <v>8.1796000000000006</v>
      </c>
      <c r="H12">
        <f>ROUND(AVERAGE(seed1!H12,seed2!H12,seed3!H12,seed4!H12,seed5!H12),4)</f>
        <v>8.0449999999999999</v>
      </c>
      <c r="I12">
        <f>ROUND(AVERAGE(seed1!I12,seed2!I12,seed3!I12,seed4!I12,seed5!I12),4)</f>
        <v>8.0634999999999994</v>
      </c>
      <c r="L12" t="s">
        <v>14</v>
      </c>
      <c r="M12" t="e">
        <f>ROUND(AVERAGE(seed1!M12,seed2!M12,seed3!M12,seed4!M12,seed5!M12),4)</f>
        <v>#DIV/0!</v>
      </c>
      <c r="N12" t="e">
        <f>ROUND(AVERAGE(seed1!N12,seed2!N12,seed3!N12,seed4!N12,seed5!N12),4)</f>
        <v>#DIV/0!</v>
      </c>
      <c r="O12" t="e">
        <f>ROUND(AVERAGE(seed1!O12,seed2!O12,seed3!O12,seed4!O12,seed5!O12),4)</f>
        <v>#DIV/0!</v>
      </c>
      <c r="P12" t="e">
        <f>ROUND(AVERAGE(seed1!P12,seed2!P12,seed3!P12,seed4!P12,seed5!P12),4)</f>
        <v>#DIV/0!</v>
      </c>
      <c r="Q12" t="e">
        <f>ROUND(AVERAGE(seed1!Q12,seed2!Q12,seed3!Q12,seed4!Q12,seed5!Q12),4)</f>
        <v>#DIV/0!</v>
      </c>
      <c r="R12" t="e">
        <f>ROUND(AVERAGE(seed1!R12,seed2!R12,seed3!R12,seed4!R12,seed5!R12),4)</f>
        <v>#DIV/0!</v>
      </c>
      <c r="S12" t="e">
        <f>AVERAGE(seed1!S12,seed2!S12,seed3!S12,seed4!S12,seed5!S12)</f>
        <v>#DIV/0!</v>
      </c>
    </row>
    <row r="13" spans="2:19">
      <c r="B13" t="s">
        <v>1</v>
      </c>
      <c r="C13">
        <f>ROUND(AVERAGE(seed1!C13,seed2!C13,seed3!C13,seed4!C13,seed5!C13),4)</f>
        <v>8.2841000000000005</v>
      </c>
      <c r="D13">
        <f>ROUND(AVERAGE(seed1!D13,seed2!D13,seed3!D13,seed4!D13,seed5!D13),4)</f>
        <v>5.4119000000000002</v>
      </c>
      <c r="E13">
        <f>ROUND(AVERAGE(seed1!E13,seed2!E13,seed3!E13,seed4!E13,seed5!E13),4)</f>
        <v>6.4516</v>
      </c>
      <c r="F13">
        <f>ROUND(AVERAGE(seed1!F13,seed2!F13,seed3!F13,seed4!F13,seed5!F13),4)</f>
        <v>7.1459999999999999</v>
      </c>
      <c r="G13">
        <f>ROUND(AVERAGE(seed1!G13,seed2!G13,seed3!G13,seed4!G13,seed5!G13),4)</f>
        <v>8.0786999999999995</v>
      </c>
      <c r="H13">
        <f>ROUND(AVERAGE(seed1!H13,seed2!H13,seed3!H13,seed4!H13,seed5!H13),4)</f>
        <v>7.9428000000000001</v>
      </c>
      <c r="I13">
        <f>ROUND(AVERAGE(seed1!I13,seed2!I13,seed3!I13,seed4!I13,seed5!I13),4)</f>
        <v>7.9772999999999996</v>
      </c>
      <c r="L13" t="s">
        <v>1</v>
      </c>
      <c r="M13" t="e">
        <f>ROUND(AVERAGE(seed1!M13,seed2!M13,seed3!M13,seed4!M13,seed5!M13),4)</f>
        <v>#DIV/0!</v>
      </c>
      <c r="N13" t="e">
        <f>ROUND(AVERAGE(seed1!N13,seed2!N13,seed3!N13,seed4!N13,seed5!N13),4)</f>
        <v>#DIV/0!</v>
      </c>
      <c r="O13" t="e">
        <f>ROUND(AVERAGE(seed1!O13,seed2!O13,seed3!O13,seed4!O13,seed5!O13),4)</f>
        <v>#DIV/0!</v>
      </c>
      <c r="P13" t="e">
        <f>ROUND(AVERAGE(seed1!P13,seed2!P13,seed3!P13,seed4!P13,seed5!P13),4)</f>
        <v>#DIV/0!</v>
      </c>
      <c r="Q13" t="e">
        <f>ROUND(AVERAGE(seed1!Q13,seed2!Q13,seed3!Q13,seed4!Q13,seed5!Q13),4)</f>
        <v>#DIV/0!</v>
      </c>
      <c r="R13" t="e">
        <f>ROUND(AVERAGE(seed1!R13,seed2!R13,seed3!R13,seed4!R13,seed5!R13),4)</f>
        <v>#DIV/0!</v>
      </c>
      <c r="S13" t="e">
        <f>AVERAGE(seed1!S13,seed2!S13,seed3!S13,seed4!S13,seed5!S13)</f>
        <v>#DIV/0!</v>
      </c>
    </row>
    <row r="14" spans="2:19">
      <c r="B14" t="s">
        <v>11</v>
      </c>
      <c r="C14">
        <f>ROUND(AVERAGE(seed1!C14,seed2!C14,seed3!C14,seed4!C14,seed5!C14),1)</f>
        <v>41.8</v>
      </c>
      <c r="D14">
        <f>ROUND(AVERAGE(seed1!D14,seed2!D14,seed3!D14,seed4!D14,seed5!D14),1)</f>
        <v>20.6</v>
      </c>
      <c r="E14">
        <f>ROUND(AVERAGE(seed1!E14,seed2!E14,seed3!E14,seed4!E14,seed5!E14),1)</f>
        <v>33.4</v>
      </c>
      <c r="F14">
        <f>ROUND(AVERAGE(seed1!F14,seed2!F14,seed3!F14,seed4!F14,seed5!F14),1)</f>
        <v>37.200000000000003</v>
      </c>
      <c r="G14">
        <f>ROUND(AVERAGE(seed1!G14,seed2!G14,seed3!G14,seed4!G14,seed5!G14),1)</f>
        <v>41.8</v>
      </c>
      <c r="H14">
        <f>ROUND(AVERAGE(seed1!H14,seed2!H14,seed3!H14,seed4!H14,seed5!H14),1)</f>
        <v>41.6</v>
      </c>
      <c r="I14">
        <f>ROUND(AVERAGE(seed1!I14,seed2!I14,seed3!I14,seed4!I14,seed5!I14),1)</f>
        <v>41.8</v>
      </c>
      <c r="L14" t="s">
        <v>11</v>
      </c>
      <c r="M14" t="e">
        <f>ROUND(AVERAGE(seed1!M14,seed2!M14,seed3!M14,seed4!M14,seed5!M14),1)</f>
        <v>#DIV/0!</v>
      </c>
      <c r="N14" t="e">
        <f>ROUND(AVERAGE(seed1!N14,seed2!N14,seed3!N14,seed4!N14,seed5!N14),1)</f>
        <v>#DIV/0!</v>
      </c>
      <c r="O14" t="e">
        <f>ROUND(AVERAGE(seed1!O14,seed2!O14,seed3!O14,seed4!O14,seed5!O14),1)</f>
        <v>#DIV/0!</v>
      </c>
      <c r="P14" t="e">
        <f>ROUND(AVERAGE(seed1!P14,seed2!P14,seed3!P14,seed4!P14,seed5!P14),1)</f>
        <v>#DIV/0!</v>
      </c>
      <c r="Q14" t="e">
        <f>ROUND(AVERAGE(seed1!Q14,seed2!Q14,seed3!Q14,seed4!Q14,seed5!Q14),1)</f>
        <v>#DIV/0!</v>
      </c>
      <c r="R14" t="e">
        <f>ROUND(AVERAGE(seed1!R14,seed2!R14,seed3!R14,seed4!R14,seed5!R14),1)</f>
        <v>#DIV/0!</v>
      </c>
      <c r="S14" t="e">
        <f>ROUND(AVERAGE(seed1!S14,seed2!S14,seed3!S14,seed4!S14,seed5!S14),1)</f>
        <v>#DIV/0!</v>
      </c>
    </row>
    <row r="15" spans="2:19">
      <c r="B15" t="s">
        <v>12</v>
      </c>
      <c r="C15">
        <f>ROUND(AVERAGE(seed1!C15,seed2!C15,seed3!C15,seed4!C15,seed5!C15),1)</f>
        <v>244.8</v>
      </c>
      <c r="D15">
        <f>ROUND(AVERAGE(seed1!D15,seed2!D15,seed3!D15,seed4!D15,seed5!D15),1)</f>
        <v>190</v>
      </c>
      <c r="E15">
        <f>ROUND(AVERAGE(seed1!E15,seed2!E15,seed3!E15,seed4!E15,seed5!E15),1)</f>
        <v>226.8</v>
      </c>
      <c r="F15">
        <f>ROUND(AVERAGE(seed1!F15,seed2!F15,seed3!F15,seed4!F15,seed5!F15),1)</f>
        <v>235.8</v>
      </c>
      <c r="G15">
        <f>ROUND(AVERAGE(seed1!G15,seed2!G15,seed3!G15,seed4!G15,seed5!G15),1)</f>
        <v>243.8</v>
      </c>
      <c r="H15">
        <f>ROUND(AVERAGE(seed1!H15,seed2!H15,seed3!H15,seed4!H15,seed5!H15),1)</f>
        <v>244.2</v>
      </c>
      <c r="I15">
        <f>ROUND(AVERAGE(seed1!I15,seed2!I15,seed3!I15,seed4!I15,seed5!I15),1)</f>
        <v>243.2</v>
      </c>
      <c r="L15" t="s">
        <v>12</v>
      </c>
      <c r="M15" t="e">
        <f>ROUND(AVERAGE(seed1!M15,seed2!M15,seed3!M15,seed4!M15,seed5!M15),1)</f>
        <v>#DIV/0!</v>
      </c>
      <c r="N15" t="e">
        <f>ROUND(AVERAGE(seed1!N15,seed2!N15,seed3!N15,seed4!N15,seed5!N15),1)</f>
        <v>#DIV/0!</v>
      </c>
      <c r="O15" t="e">
        <f>ROUND(AVERAGE(seed1!O15,seed2!O15,seed3!O15,seed4!O15,seed5!O15),1)</f>
        <v>#DIV/0!</v>
      </c>
      <c r="P15" t="e">
        <f>ROUND(AVERAGE(seed1!P15,seed2!P15,seed3!P15,seed4!P15,seed5!P15),1)</f>
        <v>#DIV/0!</v>
      </c>
      <c r="Q15" t="e">
        <f>ROUND(AVERAGE(seed1!Q15,seed2!Q15,seed3!Q15,seed4!Q15,seed5!Q15),1)</f>
        <v>#DIV/0!</v>
      </c>
      <c r="R15" t="e">
        <f>ROUND(AVERAGE(seed1!R15,seed2!R15,seed3!R15,seed4!R15,seed5!R15),1)</f>
        <v>#DIV/0!</v>
      </c>
      <c r="S15" t="e">
        <f>ROUND(AVERAGE(seed1!S15,seed2!S15,seed3!S15,seed4!S15,seed5!S15),1)</f>
        <v>#DIV/0!</v>
      </c>
    </row>
    <row r="16" spans="2:19">
      <c r="B16" t="s">
        <v>6</v>
      </c>
      <c r="C16">
        <f>ROUND(AVERAGE(C7,C10),4)</f>
        <v>6.0590999999999999</v>
      </c>
      <c r="D16">
        <f t="shared" ref="D16:I16" si="0">ROUND(AVERAGE(D7,D10),4)</f>
        <v>2.7627000000000002</v>
      </c>
      <c r="E16">
        <f t="shared" si="0"/>
        <v>3.8121999999999998</v>
      </c>
      <c r="F16">
        <f t="shared" si="0"/>
        <v>4.4686000000000003</v>
      </c>
      <c r="G16">
        <f t="shared" si="0"/>
        <v>5.835</v>
      </c>
      <c r="H16">
        <f t="shared" si="0"/>
        <v>5.5364000000000004</v>
      </c>
      <c r="I16">
        <f t="shared" ref="I16" si="1">ROUND(AVERAGE(I7,I10),4)</f>
        <v>5.5666000000000002</v>
      </c>
      <c r="L16" t="s">
        <v>6</v>
      </c>
      <c r="M16" t="e">
        <f>ROUND(AVERAGE(M7,M10),4)</f>
        <v>#DIV/0!</v>
      </c>
      <c r="N16" t="e">
        <f t="shared" ref="N16:S16" si="2">ROUND(AVERAGE(N7,N10),4)</f>
        <v>#DIV/0!</v>
      </c>
      <c r="O16" t="e">
        <f t="shared" si="2"/>
        <v>#DIV/0!</v>
      </c>
      <c r="P16" t="e">
        <f t="shared" si="2"/>
        <v>#DIV/0!</v>
      </c>
      <c r="Q16" t="e">
        <f t="shared" si="2"/>
        <v>#DIV/0!</v>
      </c>
      <c r="R16" t="e">
        <f t="shared" si="2"/>
        <v>#DIV/0!</v>
      </c>
      <c r="S16" t="e">
        <f t="shared" si="2"/>
        <v>#DIV/0!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seed1</vt:lpstr>
      <vt:lpstr>seed2</vt:lpstr>
      <vt:lpstr>seed3</vt:lpstr>
      <vt:lpstr>seed4</vt:lpstr>
      <vt:lpstr>seed5</vt:lpstr>
      <vt:lpstr>平均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yamashi.y@keio.jp</dc:creator>
  <cp:lastModifiedBy>yamashi.y@keio.jp</cp:lastModifiedBy>
  <dcterms:created xsi:type="dcterms:W3CDTF">2025-11-29T15:02:01Z</dcterms:created>
  <dcterms:modified xsi:type="dcterms:W3CDTF">2025-12-22T09:59:01Z</dcterms:modified>
</cp:coreProperties>
</file>