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shi/Documents/研究パワポ/修論評価データ/"/>
    </mc:Choice>
  </mc:AlternateContent>
  <xr:revisionPtr revIDLastSave="0" documentId="13_ncr:1_{D53E6603-0742-0545-9C16-80B284E06211}" xr6:coauthVersionLast="47" xr6:coauthVersionMax="47" xr10:uidLastSave="{00000000-0000-0000-0000-000000000000}"/>
  <bookViews>
    <workbookView xWindow="1760" yWindow="2040" windowWidth="26700" windowHeight="14560" activeTab="5" xr2:uid="{C5CA4C6E-6361-2F40-A2A3-1A2A3BC48401}"/>
  </bookViews>
  <sheets>
    <sheet name="seed1" sheetId="1" r:id="rId1"/>
    <sheet name="seed2" sheetId="3" r:id="rId2"/>
    <sheet name="seed3" sheetId="4" r:id="rId3"/>
    <sheet name="seed4" sheetId="5" r:id="rId4"/>
    <sheet name="seed5" sheetId="6" r:id="rId5"/>
    <sheet name="平均" sheetId="2" r:id="rId6"/>
  </sheets>
  <definedNames>
    <definedName name="_xlchart.v1.0" hidden="1">平均!$W$47</definedName>
    <definedName name="_xlchart.v1.1" hidden="1">平均!$W$48</definedName>
    <definedName name="_xlchart.v1.10" hidden="1">平均!$X$51:$AB$51</definedName>
    <definedName name="_xlchart.v1.11" hidden="1">平均!$W$47</definedName>
    <definedName name="_xlchart.v1.12" hidden="1">平均!$W$48</definedName>
    <definedName name="_xlchart.v1.13" hidden="1">平均!$W$49</definedName>
    <definedName name="_xlchart.v1.14" hidden="1">平均!$W$50</definedName>
    <definedName name="_xlchart.v1.15" hidden="1">平均!$W$51</definedName>
    <definedName name="_xlchart.v1.16" hidden="1">平均!$X$46:$AB$46</definedName>
    <definedName name="_xlchart.v1.17" hidden="1">平均!$X$47:$AB$47</definedName>
    <definedName name="_xlchart.v1.18" hidden="1">平均!$X$48:$AB$48</definedName>
    <definedName name="_xlchart.v1.19" hidden="1">平均!$X$49:$AB$49</definedName>
    <definedName name="_xlchart.v1.2" hidden="1">平均!$W$49</definedName>
    <definedName name="_xlchart.v1.20" hidden="1">平均!$X$50:$AB$50</definedName>
    <definedName name="_xlchart.v1.21" hidden="1">平均!$X$51:$AB$51</definedName>
    <definedName name="_xlchart.v1.22" hidden="1">平均!$W$47</definedName>
    <definedName name="_xlchart.v1.23" hidden="1">平均!$W$48</definedName>
    <definedName name="_xlchart.v1.24" hidden="1">平均!$W$49</definedName>
    <definedName name="_xlchart.v1.25" hidden="1">平均!$W$50</definedName>
    <definedName name="_xlchart.v1.26" hidden="1">平均!$W$51</definedName>
    <definedName name="_xlchart.v1.27" hidden="1">平均!$X$46:$AB$46</definedName>
    <definedName name="_xlchart.v1.28" hidden="1">平均!$X$47:$AB$47</definedName>
    <definedName name="_xlchart.v1.29" hidden="1">平均!$X$48:$AB$48</definedName>
    <definedName name="_xlchart.v1.3" hidden="1">平均!$W$50</definedName>
    <definedName name="_xlchart.v1.30" hidden="1">平均!$X$49:$AB$49</definedName>
    <definedName name="_xlchart.v1.31" hidden="1">平均!$X$50:$AB$50</definedName>
    <definedName name="_xlchart.v1.32" hidden="1">平均!$X$51:$AB$51</definedName>
    <definedName name="_xlchart.v1.33" hidden="1">平均!$W$33</definedName>
    <definedName name="_xlchart.v1.34" hidden="1">平均!$W$34</definedName>
    <definedName name="_xlchart.v1.35" hidden="1">平均!$W$35</definedName>
    <definedName name="_xlchart.v1.36" hidden="1">平均!$W$36</definedName>
    <definedName name="_xlchart.v1.37" hidden="1">平均!$W$37</definedName>
    <definedName name="_xlchart.v1.38" hidden="1">平均!$X$32:$AA$32</definedName>
    <definedName name="_xlchart.v1.39" hidden="1">平均!$X$33:$AA$33</definedName>
    <definedName name="_xlchart.v1.4" hidden="1">平均!$W$51</definedName>
    <definedName name="_xlchart.v1.40" hidden="1">平均!$X$34:$AA$34</definedName>
    <definedName name="_xlchart.v1.41" hidden="1">平均!$X$35:$AA$35</definedName>
    <definedName name="_xlchart.v1.42" hidden="1">平均!$X$36:$AA$36</definedName>
    <definedName name="_xlchart.v1.43" hidden="1">平均!$X$37:$AA$37</definedName>
    <definedName name="_xlchart.v1.5" hidden="1">平均!$X$46:$AB$46</definedName>
    <definedName name="_xlchart.v1.6" hidden="1">平均!$X$47:$AB$47</definedName>
    <definedName name="_xlchart.v1.7" hidden="1">平均!$X$48:$AB$48</definedName>
    <definedName name="_xlchart.v1.8" hidden="1">平均!$X$49:$AB$49</definedName>
    <definedName name="_xlchart.v1.9" hidden="1">平均!$X$50:$AB$50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0" i="2" l="1"/>
  <c r="Z80" i="2"/>
  <c r="X80" i="2"/>
  <c r="AB67" i="2"/>
  <c r="Y29" i="2" l="1"/>
  <c r="Y18" i="2" l="1"/>
  <c r="Z18" i="2"/>
  <c r="AA18" i="2"/>
  <c r="Q43" i="2"/>
  <c r="P43" i="2"/>
  <c r="O43" i="2"/>
  <c r="N43" i="2"/>
  <c r="M43" i="2"/>
  <c r="L43" i="2"/>
  <c r="Q42" i="2"/>
  <c r="P42" i="2"/>
  <c r="O42" i="2"/>
  <c r="N42" i="2"/>
  <c r="M42" i="2"/>
  <c r="L42" i="2"/>
  <c r="Q41" i="2"/>
  <c r="P41" i="2"/>
  <c r="O41" i="2"/>
  <c r="N41" i="2"/>
  <c r="M41" i="2"/>
  <c r="L41" i="2"/>
  <c r="Q40" i="2"/>
  <c r="P40" i="2"/>
  <c r="O40" i="2"/>
  <c r="N40" i="2"/>
  <c r="M40" i="2"/>
  <c r="L40" i="2"/>
  <c r="Q39" i="2"/>
  <c r="P39" i="2"/>
  <c r="O39" i="2"/>
  <c r="N39" i="2"/>
  <c r="M39" i="2"/>
  <c r="L39" i="2"/>
  <c r="Q38" i="2"/>
  <c r="P38" i="2"/>
  <c r="O38" i="2"/>
  <c r="N38" i="2"/>
  <c r="M38" i="2"/>
  <c r="L38" i="2"/>
  <c r="Q54" i="2"/>
  <c r="P54" i="2"/>
  <c r="O54" i="2"/>
  <c r="N54" i="2"/>
  <c r="M54" i="2"/>
  <c r="L54" i="2"/>
  <c r="Q53" i="2"/>
  <c r="P53" i="2"/>
  <c r="O53" i="2"/>
  <c r="N53" i="2"/>
  <c r="M53" i="2"/>
  <c r="L53" i="2"/>
  <c r="Q52" i="2"/>
  <c r="P52" i="2"/>
  <c r="O52" i="2"/>
  <c r="N52" i="2"/>
  <c r="M52" i="2"/>
  <c r="L52" i="2"/>
  <c r="Q51" i="2"/>
  <c r="P51" i="2"/>
  <c r="O51" i="2"/>
  <c r="N51" i="2"/>
  <c r="M51" i="2"/>
  <c r="L51" i="2"/>
  <c r="Q50" i="2"/>
  <c r="P50" i="2"/>
  <c r="O50" i="2"/>
  <c r="N50" i="2"/>
  <c r="M50" i="2"/>
  <c r="L50" i="2"/>
  <c r="Q49" i="2"/>
  <c r="P49" i="2"/>
  <c r="O49" i="2"/>
  <c r="N49" i="2"/>
  <c r="M49" i="2"/>
  <c r="L49" i="2"/>
  <c r="H30" i="2"/>
  <c r="G30" i="2"/>
  <c r="F30" i="2"/>
  <c r="E30" i="2"/>
  <c r="D30" i="2"/>
  <c r="C30" i="2"/>
  <c r="H29" i="2"/>
  <c r="G29" i="2"/>
  <c r="F29" i="2"/>
  <c r="E29" i="2"/>
  <c r="D29" i="2"/>
  <c r="C29" i="2"/>
  <c r="H28" i="2"/>
  <c r="G28" i="2"/>
  <c r="F28" i="2"/>
  <c r="E28" i="2"/>
  <c r="D28" i="2"/>
  <c r="C28" i="2"/>
  <c r="H27" i="2"/>
  <c r="G27" i="2"/>
  <c r="F27" i="2"/>
  <c r="E27" i="2"/>
  <c r="D27" i="2"/>
  <c r="C27" i="2"/>
  <c r="D16" i="2"/>
  <c r="E16" i="2"/>
  <c r="F16" i="2"/>
  <c r="G16" i="2"/>
  <c r="H16" i="2"/>
  <c r="D17" i="2"/>
  <c r="E17" i="2"/>
  <c r="F17" i="2"/>
  <c r="G17" i="2"/>
  <c r="H17" i="2"/>
  <c r="D18" i="2"/>
  <c r="E18" i="2"/>
  <c r="F18" i="2"/>
  <c r="G18" i="2"/>
  <c r="H18" i="2"/>
  <c r="D19" i="2"/>
  <c r="E19" i="2"/>
  <c r="F19" i="2"/>
  <c r="G19" i="2"/>
  <c r="H19" i="2"/>
  <c r="C19" i="2"/>
  <c r="C18" i="2"/>
  <c r="C17" i="2"/>
  <c r="C16" i="2"/>
  <c r="M55" i="2" l="1"/>
  <c r="N55" i="2"/>
  <c r="O55" i="2"/>
  <c r="P55" i="2"/>
  <c r="Q55" i="2"/>
  <c r="L55" i="2"/>
  <c r="G32" i="2"/>
  <c r="H32" i="2"/>
  <c r="F32" i="2"/>
  <c r="E32" i="2"/>
  <c r="D32" i="2"/>
  <c r="C32" i="2"/>
  <c r="E21" i="2"/>
  <c r="H21" i="2"/>
  <c r="G21" i="2"/>
  <c r="F21" i="2"/>
  <c r="D21" i="2"/>
  <c r="C21" i="2"/>
  <c r="M44" i="2"/>
  <c r="N44" i="2"/>
  <c r="O44" i="2"/>
  <c r="P44" i="2"/>
  <c r="Q44" i="2"/>
  <c r="L44" i="2"/>
  <c r="Q30" i="2"/>
  <c r="P30" i="2"/>
  <c r="O30" i="2"/>
  <c r="N30" i="2"/>
  <c r="M30" i="2"/>
  <c r="L30" i="2"/>
  <c r="Q29" i="2"/>
  <c r="P29" i="2"/>
  <c r="O29" i="2"/>
  <c r="N29" i="2"/>
  <c r="M29" i="2"/>
  <c r="L29" i="2"/>
  <c r="Q28" i="2"/>
  <c r="P28" i="2"/>
  <c r="O28" i="2"/>
  <c r="N28" i="2"/>
  <c r="M28" i="2"/>
  <c r="L28" i="2"/>
  <c r="Q27" i="2"/>
  <c r="P27" i="2"/>
  <c r="O27" i="2"/>
  <c r="N27" i="2"/>
  <c r="M27" i="2"/>
  <c r="L27" i="2"/>
  <c r="Q19" i="2"/>
  <c r="P19" i="2"/>
  <c r="O19" i="2"/>
  <c r="N19" i="2"/>
  <c r="M19" i="2"/>
  <c r="L19" i="2"/>
  <c r="Q18" i="2"/>
  <c r="P18" i="2"/>
  <c r="O18" i="2"/>
  <c r="N18" i="2"/>
  <c r="M18" i="2"/>
  <c r="L18" i="2"/>
  <c r="Q17" i="2"/>
  <c r="P17" i="2"/>
  <c r="O17" i="2"/>
  <c r="N17" i="2"/>
  <c r="M17" i="2"/>
  <c r="L17" i="2"/>
  <c r="Q16" i="2"/>
  <c r="P16" i="2"/>
  <c r="O16" i="2"/>
  <c r="N16" i="2"/>
  <c r="M16" i="2"/>
  <c r="L16" i="2"/>
  <c r="L6" i="2"/>
  <c r="M6" i="2"/>
  <c r="N6" i="2"/>
  <c r="O6" i="2"/>
  <c r="P6" i="2"/>
  <c r="Q6" i="2"/>
  <c r="L7" i="2"/>
  <c r="M7" i="2"/>
  <c r="N7" i="2"/>
  <c r="O7" i="2"/>
  <c r="P7" i="2"/>
  <c r="Q7" i="2"/>
  <c r="L8" i="2"/>
  <c r="M8" i="2"/>
  <c r="N8" i="2"/>
  <c r="O8" i="2"/>
  <c r="P8" i="2"/>
  <c r="Q8" i="2"/>
  <c r="M5" i="2"/>
  <c r="N5" i="2"/>
  <c r="O5" i="2"/>
  <c r="P5" i="2"/>
  <c r="Q5" i="2"/>
  <c r="L5" i="2"/>
  <c r="D10" i="2"/>
  <c r="E10" i="2"/>
  <c r="F10" i="2"/>
  <c r="G10" i="2"/>
  <c r="H10" i="2"/>
  <c r="C10" i="2"/>
  <c r="C8" i="2"/>
  <c r="D8" i="2"/>
  <c r="E8" i="2"/>
  <c r="F8" i="2"/>
  <c r="G8" i="2"/>
  <c r="H8" i="2"/>
  <c r="C6" i="2"/>
  <c r="D6" i="2"/>
  <c r="E6" i="2"/>
  <c r="F6" i="2"/>
  <c r="G6" i="2"/>
  <c r="H6" i="2"/>
  <c r="C7" i="2"/>
  <c r="D7" i="2"/>
  <c r="E7" i="2"/>
  <c r="F7" i="2"/>
  <c r="G7" i="2"/>
  <c r="H7" i="2"/>
  <c r="D5" i="2"/>
  <c r="E5" i="2"/>
  <c r="F5" i="2"/>
  <c r="G5" i="2"/>
  <c r="H5" i="2"/>
  <c r="C5" i="2"/>
  <c r="Q31" i="2"/>
  <c r="P31" i="2"/>
  <c r="O31" i="2"/>
  <c r="N31" i="2"/>
  <c r="M31" i="2"/>
  <c r="L31" i="2"/>
  <c r="Q20" i="2"/>
  <c r="P20" i="2"/>
  <c r="O20" i="2"/>
  <c r="N20" i="2"/>
  <c r="M20" i="2"/>
  <c r="L20" i="2"/>
  <c r="Q32" i="2"/>
  <c r="P32" i="2"/>
  <c r="O32" i="2"/>
  <c r="N32" i="2"/>
  <c r="M32" i="2"/>
  <c r="L32" i="2"/>
  <c r="Q21" i="2"/>
  <c r="P21" i="2"/>
  <c r="O21" i="2"/>
  <c r="N21" i="2"/>
  <c r="M21" i="2"/>
  <c r="L21" i="2"/>
  <c r="L10" i="2"/>
  <c r="M10" i="2"/>
  <c r="N10" i="2"/>
  <c r="O10" i="2"/>
  <c r="P10" i="2"/>
  <c r="Q10" i="2"/>
  <c r="M9" i="2"/>
  <c r="N9" i="2"/>
  <c r="O9" i="2"/>
  <c r="P9" i="2"/>
  <c r="Q9" i="2"/>
  <c r="L9" i="2"/>
  <c r="Q22" i="2" l="1"/>
  <c r="P22" i="2"/>
  <c r="O22" i="2"/>
  <c r="Q11" i="2"/>
  <c r="P11" i="2"/>
  <c r="M22" i="2"/>
  <c r="L22" i="2"/>
  <c r="N22" i="2"/>
  <c r="N11" i="2"/>
  <c r="L11" i="2"/>
  <c r="M11" i="2"/>
  <c r="O11" i="2"/>
  <c r="N33" i="2"/>
  <c r="P33" i="2"/>
  <c r="Q33" i="2"/>
  <c r="L33" i="2"/>
  <c r="M33" i="2"/>
  <c r="O33" i="2"/>
</calcChain>
</file>

<file path=xl/sharedStrings.xml><?xml version="1.0" encoding="utf-8"?>
<sst xmlns="http://schemas.openxmlformats.org/spreadsheetml/2006/main" count="543" uniqueCount="33">
  <si>
    <t>400/400/400</t>
    <phoneticPr fontId="1"/>
  </si>
  <si>
    <t>右折</t>
    <rPh sb="0" eb="2">
      <t>ウセテゥ</t>
    </rPh>
    <phoneticPr fontId="1"/>
  </si>
  <si>
    <t>合計</t>
    <rPh sb="0" eb="2">
      <t>ゴウケイ</t>
    </rPh>
    <phoneticPr fontId="1"/>
  </si>
  <si>
    <t>既存</t>
    <rPh sb="0" eb="2">
      <t>キゾn</t>
    </rPh>
    <phoneticPr fontId="1"/>
  </si>
  <si>
    <t>提案</t>
    <rPh sb="0" eb="2">
      <t>テイアn</t>
    </rPh>
    <phoneticPr fontId="1"/>
  </si>
  <si>
    <t>全て受け入れ</t>
    <rPh sb="0" eb="1">
      <t>スベテ</t>
    </rPh>
    <rPh sb="2" eb="3">
      <t>ウケイレ</t>
    </rPh>
    <phoneticPr fontId="1"/>
  </si>
  <si>
    <t>道交法</t>
    <rPh sb="0" eb="3">
      <t>ドウコウホウ</t>
    </rPh>
    <phoneticPr fontId="1"/>
  </si>
  <si>
    <t>600/300/600</t>
    <phoneticPr fontId="1"/>
  </si>
  <si>
    <t>交差点前_平均</t>
    <rPh sb="0" eb="4">
      <t>コウサ</t>
    </rPh>
    <rPh sb="5" eb="7">
      <t>ヘイキn</t>
    </rPh>
    <phoneticPr fontId="1"/>
  </si>
  <si>
    <t>600s</t>
    <phoneticPr fontId="1"/>
  </si>
  <si>
    <t>660/180/660</t>
    <phoneticPr fontId="1"/>
  </si>
  <si>
    <t>540/420/540</t>
    <phoneticPr fontId="1"/>
  </si>
  <si>
    <t>右左折_通過</t>
    <rPh sb="0" eb="3">
      <t>ウサセテゥ</t>
    </rPh>
    <rPh sb="4" eb="6">
      <t>ツウカ</t>
    </rPh>
    <phoneticPr fontId="1"/>
  </si>
  <si>
    <t>直進_通過</t>
    <rPh sb="0" eb="1">
      <t>チョク</t>
    </rPh>
    <rPh sb="3" eb="5">
      <t>ツウカ</t>
    </rPh>
    <phoneticPr fontId="1"/>
  </si>
  <si>
    <t>左折</t>
    <rPh sb="0" eb="1">
      <t>サセテゥ</t>
    </rPh>
    <phoneticPr fontId="1"/>
  </si>
  <si>
    <t>直進</t>
    <rPh sb="0" eb="1">
      <t>チョク</t>
    </rPh>
    <phoneticPr fontId="1"/>
  </si>
  <si>
    <t>500/500/500</t>
    <phoneticPr fontId="1"/>
  </si>
  <si>
    <t>600/600/600</t>
    <phoneticPr fontId="1"/>
  </si>
  <si>
    <t>570/360/570</t>
    <phoneticPr fontId="1"/>
  </si>
  <si>
    <t>630/240/630</t>
    <phoneticPr fontId="1"/>
  </si>
  <si>
    <t>100%受け入れ</t>
    <rPh sb="4" eb="5">
      <t>ウケ</t>
    </rPh>
    <phoneticPr fontId="1"/>
  </si>
  <si>
    <t>道交法ベース</t>
    <rPh sb="0" eb="3">
      <t>ドウコウホウ</t>
    </rPh>
    <phoneticPr fontId="1"/>
  </si>
  <si>
    <t>速度変化率</t>
    <rPh sb="0" eb="5">
      <t>ソクドヘ</t>
    </rPh>
    <phoneticPr fontId="1"/>
  </si>
  <si>
    <t>周辺考慮</t>
    <rPh sb="0" eb="2">
      <t>シュウ</t>
    </rPh>
    <rPh sb="2" eb="4">
      <t>コウリョ</t>
    </rPh>
    <phoneticPr fontId="1"/>
  </si>
  <si>
    <t>提案手法</t>
    <rPh sb="0" eb="4">
      <t>テイアn</t>
    </rPh>
    <phoneticPr fontId="1"/>
  </si>
  <si>
    <t>seed2</t>
    <phoneticPr fontId="1"/>
  </si>
  <si>
    <t>600s seed1-5</t>
    <phoneticPr fontId="1"/>
  </si>
  <si>
    <t>ALW</t>
    <phoneticPr fontId="1"/>
  </si>
  <si>
    <t>ACT</t>
    <phoneticPr fontId="1"/>
  </si>
  <si>
    <t>SPD</t>
    <phoneticPr fontId="1"/>
  </si>
  <si>
    <t>UTF</t>
    <phoneticPr fontId="1"/>
  </si>
  <si>
    <t>TIV</t>
    <phoneticPr fontId="1"/>
  </si>
  <si>
    <t>600s seed1-3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</si>
</sst>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201802257165219E-2"/>
          <c:y val="0.14237288135593221"/>
          <c:w val="0.81851128187712729"/>
          <c:h val="0.741123715467769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平均!$W$5</c:f>
              <c:strCache>
                <c:ptCount val="1"/>
                <c:pt idx="0">
                  <c:v>100%受け入れ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平均!$X$4:$AA$4</c:f>
              <c:numCache>
                <c:formatCode>General</c:formatCode>
                <c:ptCount val="4"/>
                <c:pt idx="0">
                  <c:v>180</c:v>
                </c:pt>
                <c:pt idx="1">
                  <c:v>300</c:v>
                </c:pt>
                <c:pt idx="2">
                  <c:v>360</c:v>
                </c:pt>
                <c:pt idx="3">
                  <c:v>420</c:v>
                </c:pt>
              </c:numCache>
            </c:numRef>
          </c:cat>
          <c:val>
            <c:numRef>
              <c:f>平均!$X$5:$AA$5</c:f>
              <c:numCache>
                <c:formatCode>General</c:formatCode>
                <c:ptCount val="4"/>
                <c:pt idx="0">
                  <c:v>11.307399999999999</c:v>
                </c:pt>
                <c:pt idx="1">
                  <c:v>9.2329000000000008</c:v>
                </c:pt>
                <c:pt idx="2">
                  <c:v>6.9718999999999998</c:v>
                </c:pt>
                <c:pt idx="3">
                  <c:v>6.8955000000000002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B-B04E-9FDA-2A6D11F6B0AD}"/>
            </c:ext>
          </c:extLst>
        </c:ser>
        <c:ser>
          <c:idx val="1"/>
          <c:order val="1"/>
          <c:tx>
            <c:strRef>
              <c:f>平均!$W$6</c:f>
              <c:strCache>
                <c:ptCount val="1"/>
                <c:pt idx="0">
                  <c:v>道交法ベース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平均!$X$4:$AA$4</c:f>
              <c:numCache>
                <c:formatCode>General</c:formatCode>
                <c:ptCount val="4"/>
                <c:pt idx="0">
                  <c:v>180</c:v>
                </c:pt>
                <c:pt idx="1">
                  <c:v>300</c:v>
                </c:pt>
                <c:pt idx="2">
                  <c:v>360</c:v>
                </c:pt>
                <c:pt idx="3">
                  <c:v>420</c:v>
                </c:pt>
              </c:numCache>
            </c:numRef>
          </c:cat>
          <c:val>
            <c:numRef>
              <c:f>平均!$X$6:$AA$6</c:f>
              <c:numCache>
                <c:formatCode>General</c:formatCode>
                <c:ptCount val="4"/>
                <c:pt idx="0">
                  <c:v>8.5501000000000005</c:v>
                </c:pt>
                <c:pt idx="1">
                  <c:v>7.3219000000000003</c:v>
                </c:pt>
                <c:pt idx="2">
                  <c:v>6.2888000000000002</c:v>
                </c:pt>
                <c:pt idx="3">
                  <c:v>5.3544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AB-B04E-9FDA-2A6D11F6B0AD}"/>
            </c:ext>
          </c:extLst>
        </c:ser>
        <c:ser>
          <c:idx val="2"/>
          <c:order val="2"/>
          <c:tx>
            <c:strRef>
              <c:f>平均!$W$7</c:f>
              <c:strCache>
                <c:ptCount val="1"/>
                <c:pt idx="0">
                  <c:v>速度変化率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平均!$X$4:$AA$4</c:f>
              <c:numCache>
                <c:formatCode>General</c:formatCode>
                <c:ptCount val="4"/>
                <c:pt idx="0">
                  <c:v>180</c:v>
                </c:pt>
                <c:pt idx="1">
                  <c:v>300</c:v>
                </c:pt>
                <c:pt idx="2">
                  <c:v>360</c:v>
                </c:pt>
                <c:pt idx="3">
                  <c:v>420</c:v>
                </c:pt>
              </c:numCache>
            </c:numRef>
          </c:cat>
          <c:val>
            <c:numRef>
              <c:f>平均!$X$7:$AA$7</c:f>
              <c:numCache>
                <c:formatCode>General</c:formatCode>
                <c:ptCount val="4"/>
                <c:pt idx="0">
                  <c:v>10.105700000000001</c:v>
                </c:pt>
                <c:pt idx="1">
                  <c:v>7.7754000000000003</c:v>
                </c:pt>
                <c:pt idx="2">
                  <c:v>6.9744000000000002</c:v>
                </c:pt>
                <c:pt idx="3">
                  <c:v>6.2558999999999996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AB-B04E-9FDA-2A6D11F6B0AD}"/>
            </c:ext>
          </c:extLst>
        </c:ser>
        <c:ser>
          <c:idx val="3"/>
          <c:order val="3"/>
          <c:tx>
            <c:strRef>
              <c:f>平均!$W$8</c:f>
              <c:strCache>
                <c:ptCount val="1"/>
                <c:pt idx="0">
                  <c:v>周辺考慮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平均!$X$4:$AA$4</c:f>
              <c:numCache>
                <c:formatCode>General</c:formatCode>
                <c:ptCount val="4"/>
                <c:pt idx="0">
                  <c:v>180</c:v>
                </c:pt>
                <c:pt idx="1">
                  <c:v>300</c:v>
                </c:pt>
                <c:pt idx="2">
                  <c:v>360</c:v>
                </c:pt>
                <c:pt idx="3">
                  <c:v>420</c:v>
                </c:pt>
              </c:numCache>
            </c:numRef>
          </c:cat>
          <c:val>
            <c:numRef>
              <c:f>平均!$X$8:$AA$8</c:f>
              <c:numCache>
                <c:formatCode>General</c:formatCode>
                <c:ptCount val="4"/>
                <c:pt idx="0">
                  <c:v>11.095800000000001</c:v>
                </c:pt>
                <c:pt idx="1">
                  <c:v>8.7157999999999998</c:v>
                </c:pt>
                <c:pt idx="2">
                  <c:v>8.0670000000000002</c:v>
                </c:pt>
                <c:pt idx="3">
                  <c:v>7.6181000000000001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AB-B04E-9FDA-2A6D11F6B0AD}"/>
            </c:ext>
          </c:extLst>
        </c:ser>
        <c:ser>
          <c:idx val="4"/>
          <c:order val="4"/>
          <c:tx>
            <c:strRef>
              <c:f>平均!$W$9</c:f>
              <c:strCache>
                <c:ptCount val="1"/>
                <c:pt idx="0">
                  <c:v>提案手法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平均!$X$4:$AA$4</c:f>
              <c:numCache>
                <c:formatCode>General</c:formatCode>
                <c:ptCount val="4"/>
                <c:pt idx="0">
                  <c:v>180</c:v>
                </c:pt>
                <c:pt idx="1">
                  <c:v>300</c:v>
                </c:pt>
                <c:pt idx="2">
                  <c:v>360</c:v>
                </c:pt>
                <c:pt idx="3">
                  <c:v>420</c:v>
                </c:pt>
              </c:numCache>
            </c:numRef>
          </c:cat>
          <c:val>
            <c:numRef>
              <c:f>平均!$X$9:$AA$9</c:f>
              <c:numCache>
                <c:formatCode>General</c:formatCode>
                <c:ptCount val="4"/>
                <c:pt idx="0">
                  <c:v>11.639099999999999</c:v>
                </c:pt>
                <c:pt idx="1">
                  <c:v>9.9254999999999995</c:v>
                </c:pt>
                <c:pt idx="2">
                  <c:v>9.5124999999999993</c:v>
                </c:pt>
                <c:pt idx="3">
                  <c:v>8.8747000000000007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AB-B04E-9FDA-2A6D11F6B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2094288"/>
        <c:axId val="879002512"/>
      </c:barChart>
      <c:lineChart>
        <c:grouping val="standard"/>
        <c:varyColors val="0"/>
        <c:ser>
          <c:idx val="5"/>
          <c:order val="5"/>
          <c:tx>
            <c:strRef>
              <c:f>平均!$W$10</c:f>
              <c:strCache>
                <c:ptCount val="1"/>
                <c:pt idx="0">
                  <c:v>100%受け入れ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平均!$X$4:$AA$4</c:f>
              <c:numCache>
                <c:formatCode>General</c:formatCode>
                <c:ptCount val="4"/>
                <c:pt idx="0">
                  <c:v>180</c:v>
                </c:pt>
                <c:pt idx="1">
                  <c:v>300</c:v>
                </c:pt>
                <c:pt idx="2">
                  <c:v>360</c:v>
                </c:pt>
                <c:pt idx="3">
                  <c:v>420</c:v>
                </c:pt>
              </c:numCache>
            </c:numRef>
          </c:cat>
          <c:val>
            <c:numRef>
              <c:f>平均!$X$10:$AA$10</c:f>
              <c:numCache>
                <c:formatCode>General</c:formatCode>
                <c:ptCount val="4"/>
                <c:pt idx="0">
                  <c:v>27.7</c:v>
                </c:pt>
                <c:pt idx="1">
                  <c:v>46.3</c:v>
                </c:pt>
                <c:pt idx="2">
                  <c:v>49.3</c:v>
                </c:pt>
                <c:pt idx="3">
                  <c:v>65.7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AB-B04E-9FDA-2A6D11F6B0AD}"/>
            </c:ext>
          </c:extLst>
        </c:ser>
        <c:ser>
          <c:idx val="6"/>
          <c:order val="6"/>
          <c:tx>
            <c:strRef>
              <c:f>平均!$W$11</c:f>
              <c:strCache>
                <c:ptCount val="1"/>
                <c:pt idx="0">
                  <c:v>道交法ベース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平均!$X$4:$AA$4</c:f>
              <c:numCache>
                <c:formatCode>General</c:formatCode>
                <c:ptCount val="4"/>
                <c:pt idx="0">
                  <c:v>180</c:v>
                </c:pt>
                <c:pt idx="1">
                  <c:v>300</c:v>
                </c:pt>
                <c:pt idx="2">
                  <c:v>360</c:v>
                </c:pt>
                <c:pt idx="3">
                  <c:v>420</c:v>
                </c:pt>
              </c:numCache>
            </c:numRef>
          </c:cat>
          <c:val>
            <c:numRef>
              <c:f>平均!$X$11:$AA$11</c:f>
              <c:numCache>
                <c:formatCode>General</c:formatCode>
                <c:ptCount val="4"/>
                <c:pt idx="0">
                  <c:v>20</c:v>
                </c:pt>
                <c:pt idx="1">
                  <c:v>28.7</c:v>
                </c:pt>
                <c:pt idx="2">
                  <c:v>27</c:v>
                </c:pt>
                <c:pt idx="3">
                  <c:v>23.7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AB-B04E-9FDA-2A6D11F6B0AD}"/>
            </c:ext>
          </c:extLst>
        </c:ser>
        <c:ser>
          <c:idx val="7"/>
          <c:order val="7"/>
          <c:tx>
            <c:strRef>
              <c:f>平均!$W$12</c:f>
              <c:strCache>
                <c:ptCount val="1"/>
                <c:pt idx="0">
                  <c:v>速度変化率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cat>
            <c:numRef>
              <c:f>平均!$X$4:$AA$4</c:f>
              <c:numCache>
                <c:formatCode>General</c:formatCode>
                <c:ptCount val="4"/>
                <c:pt idx="0">
                  <c:v>180</c:v>
                </c:pt>
                <c:pt idx="1">
                  <c:v>300</c:v>
                </c:pt>
                <c:pt idx="2">
                  <c:v>360</c:v>
                </c:pt>
                <c:pt idx="3">
                  <c:v>420</c:v>
                </c:pt>
              </c:numCache>
            </c:numRef>
          </c:cat>
          <c:val>
            <c:numRef>
              <c:f>平均!$X$12:$AA$12</c:f>
              <c:numCache>
                <c:formatCode>General</c:formatCode>
                <c:ptCount val="4"/>
                <c:pt idx="0">
                  <c:v>24.3</c:v>
                </c:pt>
                <c:pt idx="1">
                  <c:v>33.700000000000003</c:v>
                </c:pt>
                <c:pt idx="2">
                  <c:v>38.700000000000003</c:v>
                </c:pt>
                <c:pt idx="3">
                  <c:v>39.700000000000003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AB-B04E-9FDA-2A6D11F6B0AD}"/>
            </c:ext>
          </c:extLst>
        </c:ser>
        <c:ser>
          <c:idx val="8"/>
          <c:order val="8"/>
          <c:tx>
            <c:strRef>
              <c:f>平均!$W$13</c:f>
              <c:strCache>
                <c:ptCount val="1"/>
                <c:pt idx="0">
                  <c:v>周辺考慮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平均!$X$4:$AA$4</c:f>
              <c:numCache>
                <c:formatCode>General</c:formatCode>
                <c:ptCount val="4"/>
                <c:pt idx="0">
                  <c:v>180</c:v>
                </c:pt>
                <c:pt idx="1">
                  <c:v>300</c:v>
                </c:pt>
                <c:pt idx="2">
                  <c:v>360</c:v>
                </c:pt>
                <c:pt idx="3">
                  <c:v>420</c:v>
                </c:pt>
              </c:numCache>
            </c:numRef>
          </c:cat>
          <c:val>
            <c:numRef>
              <c:f>平均!$X$13:$AA$13</c:f>
              <c:numCache>
                <c:formatCode>General</c:formatCode>
                <c:ptCount val="4"/>
                <c:pt idx="0">
                  <c:v>28</c:v>
                </c:pt>
                <c:pt idx="1">
                  <c:v>45.7</c:v>
                </c:pt>
                <c:pt idx="2">
                  <c:v>54.3</c:v>
                </c:pt>
                <c:pt idx="3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AB-B04E-9FDA-2A6D11F6B0AD}"/>
            </c:ext>
          </c:extLst>
        </c:ser>
        <c:ser>
          <c:idx val="9"/>
          <c:order val="9"/>
          <c:tx>
            <c:strRef>
              <c:f>平均!$W$14</c:f>
              <c:strCache>
                <c:ptCount val="1"/>
                <c:pt idx="0">
                  <c:v>提案手法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平均!$X$4:$AA$4</c:f>
              <c:numCache>
                <c:formatCode>General</c:formatCode>
                <c:ptCount val="4"/>
                <c:pt idx="0">
                  <c:v>180</c:v>
                </c:pt>
                <c:pt idx="1">
                  <c:v>300</c:v>
                </c:pt>
                <c:pt idx="2">
                  <c:v>360</c:v>
                </c:pt>
                <c:pt idx="3">
                  <c:v>420</c:v>
                </c:pt>
              </c:numCache>
            </c:numRef>
          </c:cat>
          <c:val>
            <c:numRef>
              <c:f>平均!$X$14:$AA$14</c:f>
              <c:numCache>
                <c:formatCode>General</c:formatCode>
                <c:ptCount val="4"/>
                <c:pt idx="0">
                  <c:v>27.7</c:v>
                </c:pt>
                <c:pt idx="1">
                  <c:v>46.3</c:v>
                </c:pt>
                <c:pt idx="2">
                  <c:v>56</c:v>
                </c:pt>
                <c:pt idx="3">
                  <c:v>64.3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0AB-B04E-9FDA-2A6D11F6B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8877984"/>
        <c:axId val="946193056"/>
      </c:lineChart>
      <c:catAx>
        <c:axId val="872094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100"/>
                  <a:t>下方向から流入する車両台数</a:t>
                </a:r>
                <a:r>
                  <a:rPr lang="en-US" altLang="ja-JP" sz="1100" baseline="0"/>
                  <a:t> </a:t>
                </a:r>
                <a:r>
                  <a:rPr lang="en-US" altLang="ja-JP" sz="1100"/>
                  <a:t>[</a:t>
                </a:r>
                <a:r>
                  <a:rPr lang="ja-JP" altLang="en-US" sz="1100"/>
                  <a:t>台</a:t>
                </a:r>
                <a:r>
                  <a:rPr lang="en-US" altLang="ja-JP" sz="1100"/>
                  <a:t>/h]</a:t>
                </a:r>
                <a:endParaRPr lang="ja-JP" alt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79002512"/>
        <c:crosses val="autoZero"/>
        <c:auto val="1"/>
        <c:lblAlgn val="ctr"/>
        <c:lblOffset val="100"/>
        <c:noMultiLvlLbl val="0"/>
      </c:catAx>
      <c:valAx>
        <c:axId val="87900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/>
                  <a:t>全車両の平均速度</a:t>
                </a:r>
                <a:r>
                  <a:rPr lang="en-US" altLang="ja-JP" sz="1200"/>
                  <a:t>  [m/s]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72094288"/>
        <c:crosses val="autoZero"/>
        <c:crossBetween val="between"/>
      </c:valAx>
      <c:valAx>
        <c:axId val="9461930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/>
                  <a:t>右左折車両の交差点通過台数</a:t>
                </a:r>
                <a:r>
                  <a:rPr lang="en-US" altLang="ja-JP" sz="1200"/>
                  <a:t>  [</a:t>
                </a:r>
                <a:r>
                  <a:rPr lang="ja-JP" altLang="en-US" sz="1200"/>
                  <a:t>台</a:t>
                </a:r>
                <a:r>
                  <a:rPr lang="en-US" altLang="ja-JP" sz="1200"/>
                  <a:t>]</a:t>
                </a:r>
                <a:endParaRPr lang="ja-JP" altLang="en-US" sz="1200"/>
              </a:p>
            </c:rich>
          </c:tx>
          <c:layout>
            <c:manualLayout>
              <c:xMode val="edge"/>
              <c:yMode val="edge"/>
              <c:x val="0.95171514543630897"/>
              <c:y val="0.19573121580141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8877984"/>
        <c:crosses val="max"/>
        <c:crossBetween val="between"/>
      </c:valAx>
      <c:catAx>
        <c:axId val="1088877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619305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9401082146285116E-2"/>
          <c:y val="3.3050046710262911E-2"/>
          <c:w val="0.83630031682932837"/>
          <c:h val="0.101100226878419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76257917199515"/>
          <c:y val="5.0493750810990362E-2"/>
          <c:w val="0.83145980381819395"/>
          <c:h val="0.75510054614768551"/>
        </c:manualLayout>
      </c:layout>
      <c:scatterChart>
        <c:scatterStyle val="lineMarker"/>
        <c:varyColors val="0"/>
        <c:ser>
          <c:idx val="0"/>
          <c:order val="0"/>
          <c:tx>
            <c:strRef>
              <c:f>平均!$W$23</c:f>
              <c:strCache>
                <c:ptCount val="1"/>
                <c:pt idx="0">
                  <c:v>100%受け入れ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</a:ln>
              <a:effectLst/>
            </c:spPr>
          </c:marker>
          <c:xVal>
            <c:numRef>
              <c:f>平均!$X$22:$Z$22</c:f>
              <c:numCache>
                <c:formatCode>General</c:formatCode>
                <c:ptCount val="3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</c:numCache>
            </c:numRef>
          </c:xVal>
          <c:yVal>
            <c:numRef>
              <c:f>平均!$X$23:$Z$23</c:f>
              <c:numCache>
                <c:formatCode>General</c:formatCode>
                <c:ptCount val="3"/>
                <c:pt idx="0">
                  <c:v>7.1925999999999997</c:v>
                </c:pt>
                <c:pt idx="1">
                  <c:v>4.0510000000000002</c:v>
                </c:pt>
                <c:pt idx="2">
                  <c:v>2.6919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F3-2947-A504-001A77FDA282}"/>
            </c:ext>
          </c:extLst>
        </c:ser>
        <c:ser>
          <c:idx val="1"/>
          <c:order val="1"/>
          <c:tx>
            <c:strRef>
              <c:f>平均!$W$24</c:f>
              <c:strCache>
                <c:ptCount val="1"/>
                <c:pt idx="0">
                  <c:v>道交法ベース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xVal>
            <c:numRef>
              <c:f>平均!$X$22:$Z$22</c:f>
              <c:numCache>
                <c:formatCode>General</c:formatCode>
                <c:ptCount val="3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</c:numCache>
            </c:numRef>
          </c:xVal>
          <c:yVal>
            <c:numRef>
              <c:f>平均!$X$24:$Z$24</c:f>
              <c:numCache>
                <c:formatCode>General</c:formatCode>
                <c:ptCount val="3"/>
                <c:pt idx="0">
                  <c:v>7.2161999999999997</c:v>
                </c:pt>
                <c:pt idx="1">
                  <c:v>5.6944999999999997</c:v>
                </c:pt>
                <c:pt idx="2">
                  <c:v>3.4965000000000002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F3-2947-A504-001A77FDA282}"/>
            </c:ext>
          </c:extLst>
        </c:ser>
        <c:ser>
          <c:idx val="2"/>
          <c:order val="2"/>
          <c:tx>
            <c:strRef>
              <c:f>平均!$W$25</c:f>
              <c:strCache>
                <c:ptCount val="1"/>
                <c:pt idx="0">
                  <c:v>速度変化率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</a:ln>
              <a:effectLst/>
            </c:spPr>
          </c:marker>
          <c:xVal>
            <c:numRef>
              <c:f>平均!$X$22:$Z$22</c:f>
              <c:numCache>
                <c:formatCode>General</c:formatCode>
                <c:ptCount val="3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</c:numCache>
            </c:numRef>
          </c:xVal>
          <c:yVal>
            <c:numRef>
              <c:f>平均!$X$25:$Z$25</c:f>
              <c:numCache>
                <c:formatCode>General</c:formatCode>
                <c:ptCount val="3"/>
                <c:pt idx="0">
                  <c:v>7.8628999999999998</c:v>
                </c:pt>
                <c:pt idx="1">
                  <c:v>6.5407999999999999</c:v>
                </c:pt>
                <c:pt idx="2">
                  <c:v>3.7923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F3-2947-A504-001A77FDA282}"/>
            </c:ext>
          </c:extLst>
        </c:ser>
        <c:ser>
          <c:idx val="3"/>
          <c:order val="3"/>
          <c:tx>
            <c:strRef>
              <c:f>平均!$W$26</c:f>
              <c:strCache>
                <c:ptCount val="1"/>
                <c:pt idx="0">
                  <c:v>周辺考慮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平均!$X$22:$Z$22</c:f>
              <c:numCache>
                <c:formatCode>General</c:formatCode>
                <c:ptCount val="3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</c:numCache>
            </c:numRef>
          </c:xVal>
          <c:yVal>
            <c:numRef>
              <c:f>平均!$X$26:$Z$26</c:f>
              <c:numCache>
                <c:formatCode>General</c:formatCode>
                <c:ptCount val="3"/>
                <c:pt idx="0">
                  <c:v>7.5537999999999998</c:v>
                </c:pt>
                <c:pt idx="1">
                  <c:v>5.6555</c:v>
                </c:pt>
                <c:pt idx="2">
                  <c:v>3.3530000000000002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F3-2947-A504-001A77FDA282}"/>
            </c:ext>
          </c:extLst>
        </c:ser>
        <c:ser>
          <c:idx val="4"/>
          <c:order val="4"/>
          <c:tx>
            <c:strRef>
              <c:f>平均!$W$27</c:f>
              <c:strCache>
                <c:ptCount val="1"/>
                <c:pt idx="0">
                  <c:v>提案手法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平均!$X$22:$Z$22</c:f>
              <c:numCache>
                <c:formatCode>General</c:formatCode>
                <c:ptCount val="3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</c:numCache>
            </c:numRef>
          </c:xVal>
          <c:yVal>
            <c:numRef>
              <c:f>平均!$X$27:$Z$27</c:f>
              <c:numCache>
                <c:formatCode>General</c:formatCode>
                <c:ptCount val="3"/>
                <c:pt idx="0">
                  <c:v>7.8221999999999996</c:v>
                </c:pt>
                <c:pt idx="1">
                  <c:v>7.2766000000000002</c:v>
                </c:pt>
                <c:pt idx="2">
                  <c:v>3.7233000000000001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F3-2947-A504-001A77FDA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929200"/>
        <c:axId val="1475888784"/>
      </c:scatterChart>
      <c:valAx>
        <c:axId val="1475929200"/>
        <c:scaling>
          <c:orientation val="minMax"/>
          <c:max val="600"/>
          <c:min val="4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車両流入台数</a:t>
                </a:r>
                <a:r>
                  <a:rPr lang="en-US" altLang="ja-JP" sz="1400" baseline="0"/>
                  <a:t>   [</a:t>
                </a:r>
                <a:r>
                  <a:rPr lang="ja-JP" altLang="en-US" sz="1400" baseline="0"/>
                  <a:t>台</a:t>
                </a:r>
                <a:r>
                  <a:rPr lang="en-US" altLang="ja-JP" sz="1400" baseline="0"/>
                  <a:t>/h/road]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.33327205701810547"/>
              <c:y val="0.888885528405817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5888784"/>
        <c:crosses val="autoZero"/>
        <c:crossBetween val="midCat"/>
        <c:majorUnit val="50"/>
      </c:valAx>
      <c:valAx>
        <c:axId val="1475888784"/>
        <c:scaling>
          <c:orientation val="minMax"/>
          <c:max val="8"/>
          <c:min val="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交通全体の平均速度</a:t>
                </a:r>
                <a:r>
                  <a:rPr lang="en-US" altLang="ja-JP" sz="1400"/>
                  <a:t> [m/s]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1.2686420989411119E-2"/>
              <c:y val="0.145182060594847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5929200"/>
        <c:crossesAt val="350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068537064418518"/>
          <c:y val="0.6129052631391676"/>
          <c:w val="0.46558349660815213"/>
          <c:h val="0.180171967908094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68807302442772"/>
          <c:y val="4.7694398387542566E-2"/>
          <c:w val="0.85982347969898476"/>
          <c:h val="0.75538653841438252"/>
        </c:manualLayout>
      </c:layout>
      <c:lineChart>
        <c:grouping val="standard"/>
        <c:varyColors val="0"/>
        <c:ser>
          <c:idx val="0"/>
          <c:order val="0"/>
          <c:tx>
            <c:strRef>
              <c:f>平均!$W$23</c:f>
              <c:strCache>
                <c:ptCount val="1"/>
                <c:pt idx="0">
                  <c:v>100%受け入れ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平均!$X$22:$Z$22</c:f>
              <c:numCache>
                <c:formatCode>General</c:formatCode>
                <c:ptCount val="3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</c:numCache>
            </c:numRef>
          </c:cat>
          <c:val>
            <c:numRef>
              <c:f>平均!$X$23:$Z$23</c:f>
              <c:numCache>
                <c:formatCode>General</c:formatCode>
                <c:ptCount val="3"/>
                <c:pt idx="0">
                  <c:v>7.1925999999999997</c:v>
                </c:pt>
                <c:pt idx="1">
                  <c:v>4.0510000000000002</c:v>
                </c:pt>
                <c:pt idx="2">
                  <c:v>2.6919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FB-6449-9B0B-2A505574AD95}"/>
            </c:ext>
          </c:extLst>
        </c:ser>
        <c:ser>
          <c:idx val="1"/>
          <c:order val="1"/>
          <c:tx>
            <c:strRef>
              <c:f>平均!$W$24</c:f>
              <c:strCache>
                <c:ptCount val="1"/>
                <c:pt idx="0">
                  <c:v>道交法ベース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平均!$X$22:$Z$22</c:f>
              <c:numCache>
                <c:formatCode>General</c:formatCode>
                <c:ptCount val="3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</c:numCache>
            </c:numRef>
          </c:cat>
          <c:val>
            <c:numRef>
              <c:f>平均!$X$24:$Z$24</c:f>
              <c:numCache>
                <c:formatCode>General</c:formatCode>
                <c:ptCount val="3"/>
                <c:pt idx="0">
                  <c:v>7.2161999999999997</c:v>
                </c:pt>
                <c:pt idx="1">
                  <c:v>5.6944999999999997</c:v>
                </c:pt>
                <c:pt idx="2">
                  <c:v>3.4965000000000002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FB-6449-9B0B-2A505574AD95}"/>
            </c:ext>
          </c:extLst>
        </c:ser>
        <c:ser>
          <c:idx val="2"/>
          <c:order val="2"/>
          <c:tx>
            <c:strRef>
              <c:f>平均!$W$25</c:f>
              <c:strCache>
                <c:ptCount val="1"/>
                <c:pt idx="0">
                  <c:v>速度変化率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平均!$X$22:$Z$22</c:f>
              <c:numCache>
                <c:formatCode>General</c:formatCode>
                <c:ptCount val="3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</c:numCache>
            </c:numRef>
          </c:cat>
          <c:val>
            <c:numRef>
              <c:f>平均!$X$25:$Z$25</c:f>
              <c:numCache>
                <c:formatCode>General</c:formatCode>
                <c:ptCount val="3"/>
                <c:pt idx="0">
                  <c:v>7.8628999999999998</c:v>
                </c:pt>
                <c:pt idx="1">
                  <c:v>6.5407999999999999</c:v>
                </c:pt>
                <c:pt idx="2">
                  <c:v>3.7923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FB-6449-9B0B-2A505574AD95}"/>
            </c:ext>
          </c:extLst>
        </c:ser>
        <c:ser>
          <c:idx val="3"/>
          <c:order val="3"/>
          <c:tx>
            <c:strRef>
              <c:f>平均!$W$26</c:f>
              <c:strCache>
                <c:ptCount val="1"/>
                <c:pt idx="0">
                  <c:v>周辺考慮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平均!$X$22:$Z$22</c:f>
              <c:numCache>
                <c:formatCode>General</c:formatCode>
                <c:ptCount val="3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</c:numCache>
            </c:numRef>
          </c:cat>
          <c:val>
            <c:numRef>
              <c:f>平均!$X$26:$Z$26</c:f>
              <c:numCache>
                <c:formatCode>General</c:formatCode>
                <c:ptCount val="3"/>
                <c:pt idx="0">
                  <c:v>7.5537999999999998</c:v>
                </c:pt>
                <c:pt idx="1">
                  <c:v>5.6555</c:v>
                </c:pt>
                <c:pt idx="2">
                  <c:v>3.3530000000000002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FB-6449-9B0B-2A505574AD95}"/>
            </c:ext>
          </c:extLst>
        </c:ser>
        <c:ser>
          <c:idx val="4"/>
          <c:order val="4"/>
          <c:tx>
            <c:strRef>
              <c:f>平均!$W$27</c:f>
              <c:strCache>
                <c:ptCount val="1"/>
                <c:pt idx="0">
                  <c:v>提案手法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平均!$X$22:$Z$22</c:f>
              <c:numCache>
                <c:formatCode>General</c:formatCode>
                <c:ptCount val="3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</c:numCache>
            </c:numRef>
          </c:cat>
          <c:val>
            <c:numRef>
              <c:f>平均!$X$27:$Z$27</c:f>
              <c:numCache>
                <c:formatCode>General</c:formatCode>
                <c:ptCount val="3"/>
                <c:pt idx="0">
                  <c:v>7.8221999999999996</c:v>
                </c:pt>
                <c:pt idx="1">
                  <c:v>7.2766000000000002</c:v>
                </c:pt>
                <c:pt idx="2">
                  <c:v>3.7233000000000001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FB-6449-9B0B-2A505574A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723488"/>
        <c:axId val="1451900720"/>
      </c:lineChart>
      <c:catAx>
        <c:axId val="891723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車両流入台数</a:t>
                </a:r>
                <a:r>
                  <a:rPr lang="en-US" altLang="ja-JP" sz="1400"/>
                  <a:t>  [</a:t>
                </a:r>
                <a:r>
                  <a:rPr lang="ja-JP" altLang="en-US" sz="1400"/>
                  <a:t>台</a:t>
                </a:r>
                <a:r>
                  <a:rPr lang="en-US" altLang="ja-JP" sz="1400"/>
                  <a:t>/h/road]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1900720"/>
        <c:crosses val="autoZero"/>
        <c:auto val="1"/>
        <c:lblAlgn val="ctr"/>
        <c:lblOffset val="100"/>
        <c:noMultiLvlLbl val="0"/>
      </c:catAx>
      <c:valAx>
        <c:axId val="1451900720"/>
        <c:scaling>
          <c:orientation val="minMax"/>
          <c:max val="8"/>
          <c:min val="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交通全体の平均速度</a:t>
                </a:r>
                <a:r>
                  <a:rPr lang="en-US" altLang="ja-JP" sz="1400"/>
                  <a:t> [m/s]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1723488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997064225960152"/>
          <c:y val="0.61524042308238391"/>
          <c:w val="0.48767319246733903"/>
          <c:h val="0.178887129043537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0739825343589"/>
          <c:y val="4.0840429979272827E-2"/>
          <c:w val="0.85393420958700905"/>
          <c:h val="0.77272227630582668"/>
        </c:manualLayout>
      </c:layout>
      <c:lineChart>
        <c:grouping val="standard"/>
        <c:varyColors val="0"/>
        <c:ser>
          <c:idx val="0"/>
          <c:order val="0"/>
          <c:tx>
            <c:strRef>
              <c:f>平均!$W$47</c:f>
              <c:strCache>
                <c:ptCount val="1"/>
                <c:pt idx="0">
                  <c:v>100%受け入れ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cat>
            <c:numRef>
              <c:f>平均!$X$46:$AB$46</c:f>
              <c:numCache>
                <c:formatCode>General</c:formatCode>
                <c:ptCount val="5"/>
                <c:pt idx="0">
                  <c:v>180</c:v>
                </c:pt>
                <c:pt idx="1">
                  <c:v>240</c:v>
                </c:pt>
                <c:pt idx="2">
                  <c:v>300</c:v>
                </c:pt>
                <c:pt idx="3">
                  <c:v>360</c:v>
                </c:pt>
                <c:pt idx="4">
                  <c:v>420</c:v>
                </c:pt>
              </c:numCache>
            </c:numRef>
          </c:cat>
          <c:val>
            <c:numRef>
              <c:f>平均!$X$47:$AB$47</c:f>
              <c:numCache>
                <c:formatCode>General</c:formatCode>
                <c:ptCount val="5"/>
                <c:pt idx="0">
                  <c:v>11.307399999999999</c:v>
                </c:pt>
                <c:pt idx="1">
                  <c:v>10.0261</c:v>
                </c:pt>
                <c:pt idx="2">
                  <c:v>9.2329000000000008</c:v>
                </c:pt>
                <c:pt idx="3">
                  <c:v>6.9718999999999998</c:v>
                </c:pt>
                <c:pt idx="4">
                  <c:v>6.8955000000000002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E3-B04C-9B27-10DAB8B1D0EB}"/>
            </c:ext>
          </c:extLst>
        </c:ser>
        <c:ser>
          <c:idx val="1"/>
          <c:order val="1"/>
          <c:tx>
            <c:strRef>
              <c:f>平均!$W$48</c:f>
              <c:strCache>
                <c:ptCount val="1"/>
                <c:pt idx="0">
                  <c:v>道交法ベース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1750">
                <a:solidFill>
                  <a:schemeClr val="accent2"/>
                </a:solidFill>
              </a:ln>
              <a:effectLst/>
            </c:spPr>
          </c:marker>
          <c:cat>
            <c:numRef>
              <c:f>平均!$X$46:$AB$46</c:f>
              <c:numCache>
                <c:formatCode>General</c:formatCode>
                <c:ptCount val="5"/>
                <c:pt idx="0">
                  <c:v>180</c:v>
                </c:pt>
                <c:pt idx="1">
                  <c:v>240</c:v>
                </c:pt>
                <c:pt idx="2">
                  <c:v>300</c:v>
                </c:pt>
                <c:pt idx="3">
                  <c:v>360</c:v>
                </c:pt>
                <c:pt idx="4">
                  <c:v>420</c:v>
                </c:pt>
              </c:numCache>
            </c:numRef>
          </c:cat>
          <c:val>
            <c:numRef>
              <c:f>平均!$X$48:$AB$48</c:f>
              <c:numCache>
                <c:formatCode>General</c:formatCode>
                <c:ptCount val="5"/>
                <c:pt idx="0">
                  <c:v>8.5501000000000005</c:v>
                </c:pt>
                <c:pt idx="1">
                  <c:v>7.5842999999999998</c:v>
                </c:pt>
                <c:pt idx="2">
                  <c:v>7.3219000000000003</c:v>
                </c:pt>
                <c:pt idx="3">
                  <c:v>6.2888000000000002</c:v>
                </c:pt>
                <c:pt idx="4">
                  <c:v>5.3544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E3-B04C-9B27-10DAB8B1D0EB}"/>
            </c:ext>
          </c:extLst>
        </c:ser>
        <c:ser>
          <c:idx val="2"/>
          <c:order val="2"/>
          <c:tx>
            <c:strRef>
              <c:f>平均!$W$49</c:f>
              <c:strCache>
                <c:ptCount val="1"/>
                <c:pt idx="0">
                  <c:v>速度変化率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cat>
            <c:numRef>
              <c:f>平均!$X$46:$AB$46</c:f>
              <c:numCache>
                <c:formatCode>General</c:formatCode>
                <c:ptCount val="5"/>
                <c:pt idx="0">
                  <c:v>180</c:v>
                </c:pt>
                <c:pt idx="1">
                  <c:v>240</c:v>
                </c:pt>
                <c:pt idx="2">
                  <c:v>300</c:v>
                </c:pt>
                <c:pt idx="3">
                  <c:v>360</c:v>
                </c:pt>
                <c:pt idx="4">
                  <c:v>420</c:v>
                </c:pt>
              </c:numCache>
            </c:numRef>
          </c:cat>
          <c:val>
            <c:numRef>
              <c:f>平均!$X$49:$AB$49</c:f>
              <c:numCache>
                <c:formatCode>General</c:formatCode>
                <c:ptCount val="5"/>
                <c:pt idx="0">
                  <c:v>10.105700000000001</c:v>
                </c:pt>
                <c:pt idx="1">
                  <c:v>9.1835000000000004</c:v>
                </c:pt>
                <c:pt idx="2">
                  <c:v>7.7754000000000003</c:v>
                </c:pt>
                <c:pt idx="3">
                  <c:v>6.9744000000000002</c:v>
                </c:pt>
                <c:pt idx="4">
                  <c:v>6.2558999999999996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E3-B04C-9B27-10DAB8B1D0EB}"/>
            </c:ext>
          </c:extLst>
        </c:ser>
        <c:ser>
          <c:idx val="3"/>
          <c:order val="3"/>
          <c:tx>
            <c:strRef>
              <c:f>平均!$W$50</c:f>
              <c:strCache>
                <c:ptCount val="1"/>
                <c:pt idx="0">
                  <c:v>周辺考慮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cat>
            <c:numRef>
              <c:f>平均!$X$46:$AB$46</c:f>
              <c:numCache>
                <c:formatCode>General</c:formatCode>
                <c:ptCount val="5"/>
                <c:pt idx="0">
                  <c:v>180</c:v>
                </c:pt>
                <c:pt idx="1">
                  <c:v>240</c:v>
                </c:pt>
                <c:pt idx="2">
                  <c:v>300</c:v>
                </c:pt>
                <c:pt idx="3">
                  <c:v>360</c:v>
                </c:pt>
                <c:pt idx="4">
                  <c:v>420</c:v>
                </c:pt>
              </c:numCache>
            </c:numRef>
          </c:cat>
          <c:val>
            <c:numRef>
              <c:f>平均!$X$50:$AB$50</c:f>
              <c:numCache>
                <c:formatCode>General</c:formatCode>
                <c:ptCount val="5"/>
                <c:pt idx="0">
                  <c:v>11.095800000000001</c:v>
                </c:pt>
                <c:pt idx="1">
                  <c:v>10.220000000000001</c:v>
                </c:pt>
                <c:pt idx="2">
                  <c:v>8.7157999999999998</c:v>
                </c:pt>
                <c:pt idx="3">
                  <c:v>8.0670000000000002</c:v>
                </c:pt>
                <c:pt idx="4">
                  <c:v>7.6181000000000001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E3-B04C-9B27-10DAB8B1D0EB}"/>
            </c:ext>
          </c:extLst>
        </c:ser>
        <c:ser>
          <c:idx val="4"/>
          <c:order val="4"/>
          <c:tx>
            <c:strRef>
              <c:f>平均!$W$51</c:f>
              <c:strCache>
                <c:ptCount val="1"/>
                <c:pt idx="0">
                  <c:v>提案手法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FF0000"/>
                </a:solidFill>
              </a:ln>
              <a:effectLst/>
            </c:spPr>
          </c:marker>
          <c:cat>
            <c:numRef>
              <c:f>平均!$X$46:$AB$46</c:f>
              <c:numCache>
                <c:formatCode>General</c:formatCode>
                <c:ptCount val="5"/>
                <c:pt idx="0">
                  <c:v>180</c:v>
                </c:pt>
                <c:pt idx="1">
                  <c:v>240</c:v>
                </c:pt>
                <c:pt idx="2">
                  <c:v>300</c:v>
                </c:pt>
                <c:pt idx="3">
                  <c:v>360</c:v>
                </c:pt>
                <c:pt idx="4">
                  <c:v>420</c:v>
                </c:pt>
              </c:numCache>
            </c:numRef>
          </c:cat>
          <c:val>
            <c:numRef>
              <c:f>平均!$X$51:$AB$51</c:f>
              <c:numCache>
                <c:formatCode>General</c:formatCode>
                <c:ptCount val="5"/>
                <c:pt idx="0">
                  <c:v>11.639099999999999</c:v>
                </c:pt>
                <c:pt idx="1">
                  <c:v>11.1698</c:v>
                </c:pt>
                <c:pt idx="2">
                  <c:v>9.9254999999999995</c:v>
                </c:pt>
                <c:pt idx="3">
                  <c:v>9.5124999999999993</c:v>
                </c:pt>
                <c:pt idx="4">
                  <c:v>8.8747000000000007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E3-B04C-9B27-10DAB8B1D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9944112"/>
        <c:axId val="1706745584"/>
      </c:lineChart>
      <c:catAx>
        <c:axId val="20199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右左折車両の流入台数</a:t>
                </a:r>
                <a:r>
                  <a:rPr lang="en-US" altLang="ja-JP" sz="1400"/>
                  <a:t> [</a:t>
                </a:r>
                <a:r>
                  <a:rPr lang="ja-JP" altLang="en-US" sz="1400"/>
                  <a:t>台</a:t>
                </a:r>
                <a:r>
                  <a:rPr lang="en-US" altLang="ja-JP" sz="1400"/>
                  <a:t>/h]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6745584"/>
        <c:crosses val="autoZero"/>
        <c:auto val="1"/>
        <c:lblAlgn val="ctr"/>
        <c:lblOffset val="100"/>
        <c:noMultiLvlLbl val="0"/>
      </c:catAx>
      <c:valAx>
        <c:axId val="1706745584"/>
        <c:scaling>
          <c:orientation val="minMax"/>
          <c:max val="12"/>
          <c:min val="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交通全体の平均速度</a:t>
                </a:r>
                <a:r>
                  <a:rPr lang="en-US" altLang="ja-JP" sz="1400"/>
                  <a:t> [m/s]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1994411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808199362569342"/>
          <c:y val="0.69601681561583684"/>
          <c:w val="0.60936126797534307"/>
          <c:h val="0.114632099934807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04226832073175"/>
          <c:y val="4.2635658914728682E-2"/>
          <c:w val="0.85720345815606358"/>
          <c:h val="0.7785201123115425"/>
        </c:manualLayout>
      </c:layout>
      <c:lineChart>
        <c:grouping val="standard"/>
        <c:varyColors val="0"/>
        <c:ser>
          <c:idx val="0"/>
          <c:order val="0"/>
          <c:tx>
            <c:strRef>
              <c:f>平均!$W$59</c:f>
              <c:strCache>
                <c:ptCount val="1"/>
                <c:pt idx="0">
                  <c:v>ALW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cat>
            <c:numRef>
              <c:f>平均!$X$58:$AB$58</c:f>
              <c:numCache>
                <c:formatCode>General</c:formatCode>
                <c:ptCount val="5"/>
                <c:pt idx="0">
                  <c:v>180</c:v>
                </c:pt>
                <c:pt idx="1">
                  <c:v>240</c:v>
                </c:pt>
                <c:pt idx="2">
                  <c:v>300</c:v>
                </c:pt>
                <c:pt idx="3">
                  <c:v>360</c:v>
                </c:pt>
                <c:pt idx="4">
                  <c:v>420</c:v>
                </c:pt>
              </c:numCache>
            </c:numRef>
          </c:cat>
          <c:val>
            <c:numRef>
              <c:f>平均!$X$59:$AB$59</c:f>
              <c:numCache>
                <c:formatCode>General</c:formatCode>
                <c:ptCount val="5"/>
                <c:pt idx="0">
                  <c:v>11.165800000000001</c:v>
                </c:pt>
                <c:pt idx="1">
                  <c:v>9.5198</c:v>
                </c:pt>
                <c:pt idx="2">
                  <c:v>9.0798000000000005</c:v>
                </c:pt>
                <c:pt idx="3">
                  <c:v>7.4911000000000003</c:v>
                </c:pt>
                <c:pt idx="4">
                  <c:v>7.1264000000000003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8-DB4A-B972-38CA08CD85A0}"/>
            </c:ext>
          </c:extLst>
        </c:ser>
        <c:ser>
          <c:idx val="1"/>
          <c:order val="1"/>
          <c:tx>
            <c:strRef>
              <c:f>平均!$W$60</c:f>
              <c:strCache>
                <c:ptCount val="1"/>
                <c:pt idx="0">
                  <c:v>ACT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平均!$X$58:$AB$58</c:f>
              <c:numCache>
                <c:formatCode>General</c:formatCode>
                <c:ptCount val="5"/>
                <c:pt idx="0">
                  <c:v>180</c:v>
                </c:pt>
                <c:pt idx="1">
                  <c:v>240</c:v>
                </c:pt>
                <c:pt idx="2">
                  <c:v>300</c:v>
                </c:pt>
                <c:pt idx="3">
                  <c:v>360</c:v>
                </c:pt>
                <c:pt idx="4">
                  <c:v>420</c:v>
                </c:pt>
              </c:numCache>
            </c:numRef>
          </c:cat>
          <c:val>
            <c:numRef>
              <c:f>平均!$X$60:$AB$60</c:f>
              <c:numCache>
                <c:formatCode>General</c:formatCode>
                <c:ptCount val="5"/>
                <c:pt idx="0">
                  <c:v>8.6829000000000001</c:v>
                </c:pt>
                <c:pt idx="1">
                  <c:v>7.7904999999999998</c:v>
                </c:pt>
                <c:pt idx="2">
                  <c:v>7.2777000000000003</c:v>
                </c:pt>
                <c:pt idx="3">
                  <c:v>6.2621000000000002</c:v>
                </c:pt>
                <c:pt idx="4">
                  <c:v>5.6750999999999996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E8-DB4A-B972-38CA08CD85A0}"/>
            </c:ext>
          </c:extLst>
        </c:ser>
        <c:ser>
          <c:idx val="2"/>
          <c:order val="2"/>
          <c:tx>
            <c:strRef>
              <c:f>平均!$W$61</c:f>
              <c:strCache>
                <c:ptCount val="1"/>
                <c:pt idx="0">
                  <c:v>SPD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cat>
            <c:numRef>
              <c:f>平均!$X$58:$AB$58</c:f>
              <c:numCache>
                <c:formatCode>General</c:formatCode>
                <c:ptCount val="5"/>
                <c:pt idx="0">
                  <c:v>180</c:v>
                </c:pt>
                <c:pt idx="1">
                  <c:v>240</c:v>
                </c:pt>
                <c:pt idx="2">
                  <c:v>300</c:v>
                </c:pt>
                <c:pt idx="3">
                  <c:v>360</c:v>
                </c:pt>
                <c:pt idx="4">
                  <c:v>420</c:v>
                </c:pt>
              </c:numCache>
            </c:numRef>
          </c:cat>
          <c:val>
            <c:numRef>
              <c:f>平均!$X$61:$AB$61</c:f>
              <c:numCache>
                <c:formatCode>General</c:formatCode>
                <c:ptCount val="5"/>
                <c:pt idx="0">
                  <c:v>11.271699999999999</c:v>
                </c:pt>
                <c:pt idx="1">
                  <c:v>10.239699999999999</c:v>
                </c:pt>
                <c:pt idx="2">
                  <c:v>9.3689</c:v>
                </c:pt>
                <c:pt idx="3">
                  <c:v>8.0754999999999999</c:v>
                </c:pt>
                <c:pt idx="4">
                  <c:v>6.5736999999999997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E8-DB4A-B972-38CA08CD85A0}"/>
            </c:ext>
          </c:extLst>
        </c:ser>
        <c:ser>
          <c:idx val="3"/>
          <c:order val="3"/>
          <c:tx>
            <c:strRef>
              <c:f>平均!$W$62</c:f>
              <c:strCache>
                <c:ptCount val="1"/>
                <c:pt idx="0">
                  <c:v>UTF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cat>
            <c:numRef>
              <c:f>平均!$X$58:$AB$58</c:f>
              <c:numCache>
                <c:formatCode>General</c:formatCode>
                <c:ptCount val="5"/>
                <c:pt idx="0">
                  <c:v>180</c:v>
                </c:pt>
                <c:pt idx="1">
                  <c:v>240</c:v>
                </c:pt>
                <c:pt idx="2">
                  <c:v>300</c:v>
                </c:pt>
                <c:pt idx="3">
                  <c:v>360</c:v>
                </c:pt>
                <c:pt idx="4">
                  <c:v>420</c:v>
                </c:pt>
              </c:numCache>
            </c:numRef>
          </c:cat>
          <c:val>
            <c:numRef>
              <c:f>平均!$X$62:$AB$62</c:f>
              <c:numCache>
                <c:formatCode>General</c:formatCode>
                <c:ptCount val="5"/>
                <c:pt idx="0">
                  <c:v>11.1541</c:v>
                </c:pt>
                <c:pt idx="1">
                  <c:v>10.1473</c:v>
                </c:pt>
                <c:pt idx="2">
                  <c:v>8.7589000000000006</c:v>
                </c:pt>
                <c:pt idx="3">
                  <c:v>8.1435999999999993</c:v>
                </c:pt>
                <c:pt idx="4">
                  <c:v>7.5179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E8-DB4A-B972-38CA08CD85A0}"/>
            </c:ext>
          </c:extLst>
        </c:ser>
        <c:ser>
          <c:idx val="4"/>
          <c:order val="4"/>
          <c:tx>
            <c:strRef>
              <c:f>平均!$W$63</c:f>
              <c:strCache>
                <c:ptCount val="1"/>
                <c:pt idx="0">
                  <c:v>TIV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FF0000"/>
                </a:solidFill>
              </a:ln>
              <a:effectLst/>
            </c:spPr>
          </c:marker>
          <c:cat>
            <c:numRef>
              <c:f>平均!$X$58:$AB$58</c:f>
              <c:numCache>
                <c:formatCode>General</c:formatCode>
                <c:ptCount val="5"/>
                <c:pt idx="0">
                  <c:v>180</c:v>
                </c:pt>
                <c:pt idx="1">
                  <c:v>240</c:v>
                </c:pt>
                <c:pt idx="2">
                  <c:v>300</c:v>
                </c:pt>
                <c:pt idx="3">
                  <c:v>360</c:v>
                </c:pt>
                <c:pt idx="4">
                  <c:v>420</c:v>
                </c:pt>
              </c:numCache>
            </c:numRef>
          </c:cat>
          <c:val>
            <c:numRef>
              <c:f>平均!$X$63:$AB$63</c:f>
              <c:numCache>
                <c:formatCode>General</c:formatCode>
                <c:ptCount val="5"/>
                <c:pt idx="0">
                  <c:v>11.716100000000001</c:v>
                </c:pt>
                <c:pt idx="1">
                  <c:v>11.079499999999999</c:v>
                </c:pt>
                <c:pt idx="2">
                  <c:v>10.181800000000001</c:v>
                </c:pt>
                <c:pt idx="3">
                  <c:v>9.2596000000000007</c:v>
                </c:pt>
                <c:pt idx="4">
                  <c:v>8.8924000000000003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E8-DB4A-B972-38CA08CD8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8326815"/>
        <c:axId val="1706359728"/>
      </c:lineChart>
      <c:catAx>
        <c:axId val="1168326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600"/>
                  <a:t>Infrow</a:t>
                </a:r>
                <a:r>
                  <a:rPr lang="en-US" altLang="ja-JP" sz="1600" baseline="0"/>
                  <a:t> from position B [/h]</a:t>
                </a:r>
                <a:endParaRPr lang="ja-JP" alt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6359728"/>
        <c:crosses val="autoZero"/>
        <c:auto val="1"/>
        <c:lblAlgn val="ctr"/>
        <c:lblOffset val="100"/>
        <c:noMultiLvlLbl val="0"/>
      </c:catAx>
      <c:valAx>
        <c:axId val="1706359728"/>
        <c:scaling>
          <c:orientation val="minMax"/>
          <c:max val="12"/>
          <c:min val="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600"/>
                  <a:t>Average</a:t>
                </a:r>
                <a:r>
                  <a:rPr lang="en-US" altLang="ja-JP" sz="1600" baseline="0"/>
                  <a:t> speed [m/s]</a:t>
                </a:r>
                <a:endParaRPr lang="ja-JP" alt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8326815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787327654793948"/>
          <c:y val="0.64923060489531836"/>
          <c:w val="0.43566978176715054"/>
          <c:h val="0.15679544985425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572815027899703E-2"/>
          <c:y val="3.7503892636774346E-2"/>
          <c:w val="0.8784095771827295"/>
          <c:h val="0.76869261131897926"/>
        </c:manualLayout>
      </c:layout>
      <c:lineChart>
        <c:grouping val="standard"/>
        <c:varyColors val="0"/>
        <c:ser>
          <c:idx val="0"/>
          <c:order val="0"/>
          <c:tx>
            <c:strRef>
              <c:f>平均!$W$71</c:f>
              <c:strCache>
                <c:ptCount val="1"/>
                <c:pt idx="0">
                  <c:v>ALW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cat>
            <c:numRef>
              <c:f>平均!$X$70:$Z$70</c:f>
              <c:numCache>
                <c:formatCode>General</c:formatCode>
                <c:ptCount val="3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</c:numCache>
            </c:numRef>
          </c:cat>
          <c:val>
            <c:numRef>
              <c:f>平均!$X$71:$Z$71</c:f>
              <c:numCache>
                <c:formatCode>General</c:formatCode>
                <c:ptCount val="3"/>
                <c:pt idx="0">
                  <c:v>7.1925999999999997</c:v>
                </c:pt>
                <c:pt idx="1">
                  <c:v>4.0510000000000002</c:v>
                </c:pt>
                <c:pt idx="2">
                  <c:v>2.6919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D0-1E44-8C09-2467D1DE95F1}"/>
            </c:ext>
          </c:extLst>
        </c:ser>
        <c:ser>
          <c:idx val="1"/>
          <c:order val="1"/>
          <c:tx>
            <c:strRef>
              <c:f>平均!$W$72</c:f>
              <c:strCache>
                <c:ptCount val="1"/>
                <c:pt idx="0">
                  <c:v>ACT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平均!$X$70:$Z$70</c:f>
              <c:numCache>
                <c:formatCode>General</c:formatCode>
                <c:ptCount val="3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</c:numCache>
            </c:numRef>
          </c:cat>
          <c:val>
            <c:numRef>
              <c:f>平均!$X$72:$Z$72</c:f>
              <c:numCache>
                <c:formatCode>General</c:formatCode>
                <c:ptCount val="3"/>
                <c:pt idx="0">
                  <c:v>7.2161999999999997</c:v>
                </c:pt>
                <c:pt idx="1">
                  <c:v>5.6944999999999997</c:v>
                </c:pt>
                <c:pt idx="2">
                  <c:v>3.4965000000000002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D0-1E44-8C09-2467D1DE95F1}"/>
            </c:ext>
          </c:extLst>
        </c:ser>
        <c:ser>
          <c:idx val="2"/>
          <c:order val="2"/>
          <c:tx>
            <c:strRef>
              <c:f>平均!$W$73</c:f>
              <c:strCache>
                <c:ptCount val="1"/>
                <c:pt idx="0">
                  <c:v>SPD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cat>
            <c:numRef>
              <c:f>平均!$X$70:$Z$70</c:f>
              <c:numCache>
                <c:formatCode>General</c:formatCode>
                <c:ptCount val="3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</c:numCache>
            </c:numRef>
          </c:cat>
          <c:val>
            <c:numRef>
              <c:f>平均!$X$73:$Z$73</c:f>
              <c:numCache>
                <c:formatCode>General</c:formatCode>
                <c:ptCount val="3"/>
                <c:pt idx="0">
                  <c:v>7.8628999999999998</c:v>
                </c:pt>
                <c:pt idx="1">
                  <c:v>6.5407999999999999</c:v>
                </c:pt>
                <c:pt idx="2">
                  <c:v>3.7923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D0-1E44-8C09-2467D1DE95F1}"/>
            </c:ext>
          </c:extLst>
        </c:ser>
        <c:ser>
          <c:idx val="3"/>
          <c:order val="3"/>
          <c:tx>
            <c:strRef>
              <c:f>平均!$W$74</c:f>
              <c:strCache>
                <c:ptCount val="1"/>
                <c:pt idx="0">
                  <c:v>UTF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cat>
            <c:numRef>
              <c:f>平均!$X$70:$Z$70</c:f>
              <c:numCache>
                <c:formatCode>General</c:formatCode>
                <c:ptCount val="3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</c:numCache>
            </c:numRef>
          </c:cat>
          <c:val>
            <c:numRef>
              <c:f>平均!$X$74:$Z$74</c:f>
              <c:numCache>
                <c:formatCode>General</c:formatCode>
                <c:ptCount val="3"/>
                <c:pt idx="0">
                  <c:v>7.5537999999999998</c:v>
                </c:pt>
                <c:pt idx="1">
                  <c:v>5.6555</c:v>
                </c:pt>
                <c:pt idx="2">
                  <c:v>3.3530000000000002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D0-1E44-8C09-2467D1DE95F1}"/>
            </c:ext>
          </c:extLst>
        </c:ser>
        <c:ser>
          <c:idx val="4"/>
          <c:order val="4"/>
          <c:tx>
            <c:strRef>
              <c:f>平均!$W$75</c:f>
              <c:strCache>
                <c:ptCount val="1"/>
                <c:pt idx="0">
                  <c:v>TIV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FF0000"/>
                </a:solidFill>
              </a:ln>
              <a:effectLst/>
            </c:spPr>
          </c:marker>
          <c:cat>
            <c:numRef>
              <c:f>平均!$X$70:$Z$70</c:f>
              <c:numCache>
                <c:formatCode>General</c:formatCode>
                <c:ptCount val="3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</c:numCache>
            </c:numRef>
          </c:cat>
          <c:val>
            <c:numRef>
              <c:f>平均!$X$75:$Z$75</c:f>
              <c:numCache>
                <c:formatCode>General</c:formatCode>
                <c:ptCount val="3"/>
                <c:pt idx="0">
                  <c:v>7.8221999999999996</c:v>
                </c:pt>
                <c:pt idx="1">
                  <c:v>7.2766000000000002</c:v>
                </c:pt>
                <c:pt idx="2">
                  <c:v>3.7233000000000001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D0-1E44-8C09-2467D1DE9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046176"/>
        <c:axId val="238083760"/>
      </c:lineChart>
      <c:catAx>
        <c:axId val="238046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600"/>
                  <a:t>Inflow</a:t>
                </a:r>
                <a:r>
                  <a:rPr lang="en-US" altLang="ja-JP" sz="1600" baseline="0"/>
                  <a:t> from position A/B/C  [/h]</a:t>
                </a:r>
                <a:endParaRPr lang="ja-JP" alt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38083760"/>
        <c:crosses val="autoZero"/>
        <c:auto val="1"/>
        <c:lblAlgn val="ctr"/>
        <c:lblOffset val="100"/>
        <c:noMultiLvlLbl val="0"/>
      </c:catAx>
      <c:valAx>
        <c:axId val="238083760"/>
        <c:scaling>
          <c:orientation val="minMax"/>
          <c:max val="8"/>
          <c:min val="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speed [m/s]</a:t>
                </a:r>
                <a:endParaRPr lang="ja-JP" altLang="en-US" sz="1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38046176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0521411799219074"/>
          <c:y val="0.64163292465838206"/>
          <c:w val="0.43470925197689941"/>
          <c:h val="0.139753546379341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323850</xdr:colOff>
      <xdr:row>2</xdr:row>
      <xdr:rowOff>177800</xdr:rowOff>
    </xdr:from>
    <xdr:to>
      <xdr:col>38</xdr:col>
      <xdr:colOff>939800</xdr:colOff>
      <xdr:row>17</xdr:row>
      <xdr:rowOff>114300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5D29649-0CF8-94B9-CCD2-02860B8ED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814939</xdr:colOff>
      <xdr:row>19</xdr:row>
      <xdr:rowOff>224023</xdr:rowOff>
    </xdr:from>
    <xdr:to>
      <xdr:col>38</xdr:col>
      <xdr:colOff>512269</xdr:colOff>
      <xdr:row>33</xdr:row>
      <xdr:rowOff>10672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A2EA4CE5-6106-7D9E-0A48-984F3DE01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170756</xdr:colOff>
      <xdr:row>18</xdr:row>
      <xdr:rowOff>207895</xdr:rowOff>
    </xdr:from>
    <xdr:to>
      <xdr:col>31</xdr:col>
      <xdr:colOff>503731</xdr:colOff>
      <xdr:row>31</xdr:row>
      <xdr:rowOff>181428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0776B572-91E0-7077-2070-A15239E56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698499</xdr:colOff>
      <xdr:row>36</xdr:row>
      <xdr:rowOff>81845</xdr:rowOff>
    </xdr:from>
    <xdr:to>
      <xdr:col>34</xdr:col>
      <xdr:colOff>860777</xdr:colOff>
      <xdr:row>50</xdr:row>
      <xdr:rowOff>28222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530F019B-5B52-1DF7-DEEE-85D54B436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502162</xdr:colOff>
      <xdr:row>52</xdr:row>
      <xdr:rowOff>183055</xdr:rowOff>
    </xdr:from>
    <xdr:to>
      <xdr:col>34</xdr:col>
      <xdr:colOff>452528</xdr:colOff>
      <xdr:row>65</xdr:row>
      <xdr:rowOff>233563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1C7E10BC-FAC8-C3DB-719C-F99FD84FF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432111</xdr:colOff>
      <xdr:row>67</xdr:row>
      <xdr:rowOff>92927</xdr:rowOff>
    </xdr:from>
    <xdr:to>
      <xdr:col>34</xdr:col>
      <xdr:colOff>743415</xdr:colOff>
      <xdr:row>82</xdr:row>
      <xdr:rowOff>123902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1BFC387A-F75D-B3E3-5F48-7EF99740B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0DCA-A601-9A40-AA76-DC09B9D4CE52}">
  <dimension ref="B2:S55"/>
  <sheetViews>
    <sheetView topLeftCell="H31" workbookViewId="0">
      <selection activeCell="Q22" sqref="Q22"/>
    </sheetView>
  </sheetViews>
  <sheetFormatPr baseColWidth="10" defaultRowHeight="20"/>
  <sheetData>
    <row r="2" spans="2:19">
      <c r="B2" t="s">
        <v>0</v>
      </c>
      <c r="D2" t="s">
        <v>9</v>
      </c>
      <c r="K2" t="s">
        <v>10</v>
      </c>
    </row>
    <row r="3" spans="2:19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9">
      <c r="C4" t="s">
        <v>5</v>
      </c>
      <c r="D4" t="s">
        <v>6</v>
      </c>
      <c r="E4" s="1">
        <v>0.2</v>
      </c>
      <c r="F4" s="1">
        <v>0.4</v>
      </c>
      <c r="G4" t="s">
        <v>3</v>
      </c>
      <c r="H4" t="s">
        <v>4</v>
      </c>
      <c r="L4" t="s">
        <v>5</v>
      </c>
      <c r="M4" t="s">
        <v>6</v>
      </c>
      <c r="N4" s="1">
        <v>0.2</v>
      </c>
      <c r="O4" s="1">
        <v>0.4</v>
      </c>
      <c r="P4" t="s">
        <v>3</v>
      </c>
      <c r="Q4" t="s">
        <v>4</v>
      </c>
    </row>
    <row r="5" spans="2:19">
      <c r="B5" t="s">
        <v>1</v>
      </c>
      <c r="C5">
        <v>4.3895</v>
      </c>
      <c r="D5">
        <v>5.1429</v>
      </c>
      <c r="E5">
        <v>5.6032000000000002</v>
      </c>
      <c r="F5">
        <v>2.1878000000000002</v>
      </c>
      <c r="G5">
        <v>5.4477000000000002</v>
      </c>
      <c r="H5">
        <v>5.3746</v>
      </c>
      <c r="K5" t="s">
        <v>1</v>
      </c>
      <c r="L5">
        <v>6.2249999999999996</v>
      </c>
      <c r="M5">
        <v>1.0004</v>
      </c>
      <c r="N5">
        <v>3.073</v>
      </c>
      <c r="O5">
        <v>3.9940000000000002</v>
      </c>
      <c r="P5">
        <v>5.2446999999999999</v>
      </c>
      <c r="Q5">
        <v>5.6078999999999999</v>
      </c>
    </row>
    <row r="6" spans="2:19">
      <c r="B6" t="s">
        <v>14</v>
      </c>
      <c r="C6">
        <v>5.3699000000000003</v>
      </c>
      <c r="D6">
        <v>4.0336999999999996</v>
      </c>
      <c r="E6">
        <v>5.2949999999999999</v>
      </c>
      <c r="F6">
        <v>1.2397</v>
      </c>
      <c r="G6">
        <v>5.0735000000000001</v>
      </c>
      <c r="H6">
        <v>5.6917999999999997</v>
      </c>
      <c r="K6" t="s">
        <v>14</v>
      </c>
      <c r="L6">
        <v>6.2335000000000003</v>
      </c>
      <c r="M6">
        <v>0.76190000000000002</v>
      </c>
      <c r="N6">
        <v>2.4792000000000001</v>
      </c>
      <c r="O6">
        <v>2.6244999999999998</v>
      </c>
      <c r="P6">
        <v>4.0476000000000001</v>
      </c>
      <c r="Q6">
        <v>4.5921000000000003</v>
      </c>
    </row>
    <row r="7" spans="2:19">
      <c r="B7" t="s">
        <v>15</v>
      </c>
      <c r="C7">
        <v>4.9843000000000002</v>
      </c>
      <c r="D7">
        <v>7.077</v>
      </c>
      <c r="E7">
        <v>8.7807999999999993</v>
      </c>
      <c r="F7">
        <v>2.3681999999999999</v>
      </c>
      <c r="G7">
        <v>6.6980000000000004</v>
      </c>
      <c r="H7">
        <v>7.1478000000000002</v>
      </c>
      <c r="K7" t="s">
        <v>15</v>
      </c>
      <c r="L7">
        <v>10.8756</v>
      </c>
      <c r="M7">
        <v>12.9331</v>
      </c>
      <c r="N7">
        <v>12.9331</v>
      </c>
      <c r="O7">
        <v>12.482799999999999</v>
      </c>
      <c r="P7">
        <v>10.965</v>
      </c>
      <c r="Q7">
        <v>12.5352</v>
      </c>
    </row>
    <row r="8" spans="2:19">
      <c r="B8" t="s">
        <v>2</v>
      </c>
      <c r="C8">
        <v>6.8388</v>
      </c>
      <c r="D8">
        <v>7.0347</v>
      </c>
      <c r="E8">
        <v>8.0340000000000007</v>
      </c>
      <c r="F8" s="2">
        <v>2.8441000000000001</v>
      </c>
      <c r="G8">
        <v>7.5545999999999998</v>
      </c>
      <c r="H8">
        <v>7.8174999999999999</v>
      </c>
      <c r="K8" t="s">
        <v>2</v>
      </c>
      <c r="L8">
        <v>11.47</v>
      </c>
      <c r="M8" s="2">
        <v>7.4696999999999996</v>
      </c>
      <c r="N8" s="3">
        <v>10.704700000000001</v>
      </c>
      <c r="O8">
        <v>10.955</v>
      </c>
      <c r="P8">
        <v>10.9434</v>
      </c>
      <c r="Q8">
        <v>11.903600000000001</v>
      </c>
    </row>
    <row r="9" spans="2:19">
      <c r="K9" t="s">
        <v>12</v>
      </c>
      <c r="L9">
        <v>29</v>
      </c>
      <c r="M9">
        <v>20</v>
      </c>
      <c r="N9">
        <v>29</v>
      </c>
      <c r="O9">
        <v>29</v>
      </c>
      <c r="P9">
        <v>29</v>
      </c>
      <c r="Q9">
        <v>29</v>
      </c>
      <c r="S9">
        <v>30</v>
      </c>
    </row>
    <row r="10" spans="2:19">
      <c r="K10" t="s">
        <v>13</v>
      </c>
      <c r="L10">
        <v>216</v>
      </c>
      <c r="M10">
        <v>216</v>
      </c>
      <c r="N10">
        <v>216</v>
      </c>
      <c r="O10">
        <v>216</v>
      </c>
      <c r="P10">
        <v>216</v>
      </c>
      <c r="Q10">
        <v>216</v>
      </c>
      <c r="S10">
        <v>220</v>
      </c>
    </row>
    <row r="13" spans="2:19">
      <c r="B13" t="s">
        <v>16</v>
      </c>
      <c r="K13" t="s">
        <v>19</v>
      </c>
    </row>
    <row r="14" spans="2:19"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  <c r="L14">
        <v>1</v>
      </c>
      <c r="M14">
        <v>2</v>
      </c>
      <c r="N14">
        <v>3</v>
      </c>
      <c r="O14">
        <v>4</v>
      </c>
      <c r="P14">
        <v>5</v>
      </c>
      <c r="Q14">
        <v>6</v>
      </c>
    </row>
    <row r="15" spans="2:19">
      <c r="C15" t="s">
        <v>5</v>
      </c>
      <c r="D15" t="s">
        <v>6</v>
      </c>
      <c r="E15" s="1">
        <v>0.2</v>
      </c>
      <c r="F15" s="1">
        <v>0.4</v>
      </c>
      <c r="G15" t="s">
        <v>3</v>
      </c>
      <c r="H15" t="s">
        <v>4</v>
      </c>
      <c r="L15" t="s">
        <v>5</v>
      </c>
      <c r="M15" t="s">
        <v>6</v>
      </c>
      <c r="N15" s="1">
        <v>0.2</v>
      </c>
      <c r="O15" s="1">
        <v>0.4</v>
      </c>
      <c r="P15" t="s">
        <v>3</v>
      </c>
      <c r="Q15" t="s">
        <v>4</v>
      </c>
    </row>
    <row r="16" spans="2:19">
      <c r="B16" t="s">
        <v>1</v>
      </c>
      <c r="C16">
        <v>3.1913999999999998</v>
      </c>
      <c r="D16">
        <v>3.9971999999999999</v>
      </c>
      <c r="E16">
        <v>4.5129000000000001</v>
      </c>
      <c r="F16">
        <v>4.3387000000000002</v>
      </c>
      <c r="G16">
        <v>4.2419000000000002</v>
      </c>
      <c r="H16">
        <v>5.4264999999999999</v>
      </c>
      <c r="K16" t="s">
        <v>1</v>
      </c>
      <c r="L16">
        <v>4.6508000000000003</v>
      </c>
      <c r="M16">
        <v>0.7399</v>
      </c>
      <c r="N16">
        <v>1.7704</v>
      </c>
      <c r="O16">
        <v>3.2246000000000001</v>
      </c>
      <c r="P16">
        <v>4.9286000000000003</v>
      </c>
      <c r="Q16">
        <v>5.1403999999999996</v>
      </c>
    </row>
    <row r="17" spans="2:19">
      <c r="B17" t="s">
        <v>14</v>
      </c>
      <c r="C17">
        <v>3.0760000000000001</v>
      </c>
      <c r="D17">
        <v>3.1427</v>
      </c>
      <c r="E17">
        <v>3.6230000000000002</v>
      </c>
      <c r="F17">
        <v>3.4386000000000001</v>
      </c>
      <c r="G17">
        <v>3.5451999999999999</v>
      </c>
      <c r="H17">
        <v>4.7965</v>
      </c>
      <c r="K17" t="s">
        <v>14</v>
      </c>
      <c r="L17">
        <v>3.6898</v>
      </c>
      <c r="M17">
        <v>0.78390000000000004</v>
      </c>
      <c r="N17">
        <v>1.7297</v>
      </c>
      <c r="O17">
        <v>3.3348</v>
      </c>
      <c r="P17">
        <v>5.2648000000000001</v>
      </c>
      <c r="Q17">
        <v>5.0214999999999996</v>
      </c>
    </row>
    <row r="18" spans="2:19">
      <c r="B18" t="s">
        <v>15</v>
      </c>
      <c r="C18">
        <v>2.7187000000000001</v>
      </c>
      <c r="D18">
        <v>6.2309000000000001</v>
      </c>
      <c r="E18">
        <v>6.0601000000000003</v>
      </c>
      <c r="F18">
        <v>5.4748999999999999</v>
      </c>
      <c r="G18">
        <v>4.6829000000000001</v>
      </c>
      <c r="H18">
        <v>6.0877999999999997</v>
      </c>
      <c r="K18" t="s">
        <v>15</v>
      </c>
      <c r="L18">
        <v>9.6265999999999998</v>
      </c>
      <c r="M18">
        <v>13.2225</v>
      </c>
      <c r="N18">
        <v>12.9124</v>
      </c>
      <c r="O18">
        <v>12.4284</v>
      </c>
      <c r="P18">
        <v>10.5619</v>
      </c>
      <c r="Q18">
        <v>11.608599999999999</v>
      </c>
    </row>
    <row r="19" spans="2:19">
      <c r="B19" t="s">
        <v>2</v>
      </c>
      <c r="C19">
        <v>4.6947000000000001</v>
      </c>
      <c r="D19">
        <v>6.1116999999999999</v>
      </c>
      <c r="E19">
        <v>6.5570000000000004</v>
      </c>
      <c r="F19">
        <v>6.2549999999999999</v>
      </c>
      <c r="G19">
        <v>6.0404999999999998</v>
      </c>
      <c r="H19">
        <v>7.3440000000000003</v>
      </c>
      <c r="K19" t="s">
        <v>2</v>
      </c>
      <c r="L19">
        <v>9.7683</v>
      </c>
      <c r="M19">
        <v>6.6344000000000003</v>
      </c>
      <c r="N19" s="3">
        <v>8.6166999999999998</v>
      </c>
      <c r="O19" s="3">
        <v>10.3956</v>
      </c>
      <c r="P19" s="3">
        <v>10.482200000000001</v>
      </c>
      <c r="Q19" s="3">
        <v>11.0924</v>
      </c>
    </row>
    <row r="20" spans="2:19">
      <c r="K20" t="s">
        <v>12</v>
      </c>
      <c r="L20">
        <v>38</v>
      </c>
      <c r="M20">
        <v>22</v>
      </c>
      <c r="N20" s="3">
        <v>36</v>
      </c>
      <c r="O20" s="3">
        <v>38</v>
      </c>
      <c r="P20" s="3">
        <v>38</v>
      </c>
      <c r="Q20" s="3">
        <v>38</v>
      </c>
      <c r="S20">
        <v>40</v>
      </c>
    </row>
    <row r="21" spans="2:19">
      <c r="K21" t="s">
        <v>13</v>
      </c>
      <c r="L21">
        <v>206</v>
      </c>
      <c r="M21">
        <v>206</v>
      </c>
      <c r="N21" s="3">
        <v>206</v>
      </c>
      <c r="O21" s="3">
        <v>206</v>
      </c>
      <c r="P21" s="3">
        <v>205</v>
      </c>
      <c r="Q21" s="3">
        <v>206</v>
      </c>
      <c r="S21">
        <v>210</v>
      </c>
    </row>
    <row r="24" spans="2:19">
      <c r="B24" t="s">
        <v>17</v>
      </c>
      <c r="K24" t="s">
        <v>7</v>
      </c>
    </row>
    <row r="25" spans="2:19">
      <c r="C25">
        <v>1</v>
      </c>
      <c r="D25">
        <v>2</v>
      </c>
      <c r="E25">
        <v>3</v>
      </c>
      <c r="F25">
        <v>4</v>
      </c>
      <c r="G25">
        <v>5</v>
      </c>
      <c r="H25">
        <v>6</v>
      </c>
      <c r="L25">
        <v>1</v>
      </c>
      <c r="M25">
        <v>2</v>
      </c>
      <c r="N25">
        <v>3</v>
      </c>
      <c r="O25">
        <v>4</v>
      </c>
      <c r="P25">
        <v>5</v>
      </c>
      <c r="Q25">
        <v>6</v>
      </c>
    </row>
    <row r="26" spans="2:19">
      <c r="C26" t="s">
        <v>5</v>
      </c>
      <c r="D26" t="s">
        <v>6</v>
      </c>
      <c r="E26" s="1">
        <v>0.2</v>
      </c>
      <c r="F26" s="1">
        <v>0.4</v>
      </c>
      <c r="G26" t="s">
        <v>3</v>
      </c>
      <c r="H26" t="s">
        <v>4</v>
      </c>
      <c r="L26" t="s">
        <v>5</v>
      </c>
      <c r="M26" t="s">
        <v>6</v>
      </c>
      <c r="N26" s="1">
        <v>0.2</v>
      </c>
      <c r="O26" s="1">
        <v>0.4</v>
      </c>
      <c r="P26" t="s">
        <v>3</v>
      </c>
      <c r="Q26" t="s">
        <v>4</v>
      </c>
    </row>
    <row r="27" spans="2:19">
      <c r="B27" t="s">
        <v>1</v>
      </c>
      <c r="C27">
        <v>1.41</v>
      </c>
      <c r="D27">
        <v>2.3187000000000002</v>
      </c>
      <c r="E27">
        <v>2.2122000000000002</v>
      </c>
      <c r="F27">
        <v>2.3925999999999998</v>
      </c>
      <c r="G27">
        <v>1.8962000000000001</v>
      </c>
      <c r="H27">
        <v>2.3256000000000001</v>
      </c>
      <c r="K27" t="s">
        <v>1</v>
      </c>
      <c r="L27">
        <v>4.9968000000000004</v>
      </c>
      <c r="M27">
        <v>1.1987000000000001</v>
      </c>
      <c r="N27">
        <v>1.4055</v>
      </c>
      <c r="O27">
        <v>2.8469000000000002</v>
      </c>
      <c r="P27">
        <v>4.5728999999999997</v>
      </c>
      <c r="Q27">
        <v>4.8563999999999998</v>
      </c>
    </row>
    <row r="28" spans="2:19">
      <c r="B28" t="s">
        <v>14</v>
      </c>
      <c r="C28">
        <v>2.1756000000000002</v>
      </c>
      <c r="D28">
        <v>1.4360999999999999</v>
      </c>
      <c r="E28">
        <v>1.6855</v>
      </c>
      <c r="F28">
        <v>1.9340999999999999</v>
      </c>
      <c r="G28">
        <v>1.6223000000000001</v>
      </c>
      <c r="H28">
        <v>2.0367999999999999</v>
      </c>
      <c r="K28" t="s">
        <v>14</v>
      </c>
      <c r="L28">
        <v>3.9759000000000002</v>
      </c>
      <c r="M28">
        <v>1.0353000000000001</v>
      </c>
      <c r="N28">
        <v>1.4495</v>
      </c>
      <c r="O28">
        <v>2.8384</v>
      </c>
      <c r="P28">
        <v>4.3310000000000004</v>
      </c>
      <c r="Q28">
        <v>4.7994000000000003</v>
      </c>
    </row>
    <row r="29" spans="2:19">
      <c r="B29" t="s">
        <v>15</v>
      </c>
      <c r="C29">
        <v>1.9152</v>
      </c>
      <c r="D29">
        <v>3.0369000000000002</v>
      </c>
      <c r="E29">
        <v>2.3277999999999999</v>
      </c>
      <c r="F29">
        <v>2.7865000000000002</v>
      </c>
      <c r="G29">
        <v>1.9539</v>
      </c>
      <c r="H29">
        <v>2.4306999999999999</v>
      </c>
      <c r="K29" t="s">
        <v>15</v>
      </c>
      <c r="L29">
        <v>6.0919999999999996</v>
      </c>
      <c r="M29">
        <v>13.2194</v>
      </c>
      <c r="N29">
        <v>12.8886</v>
      </c>
      <c r="O29">
        <v>12.453900000000001</v>
      </c>
      <c r="P29">
        <v>9.4337</v>
      </c>
      <c r="Q29">
        <v>11.074400000000001</v>
      </c>
    </row>
    <row r="30" spans="2:19">
      <c r="B30" t="s">
        <v>2</v>
      </c>
      <c r="C30">
        <v>3.0594000000000001</v>
      </c>
      <c r="D30">
        <v>3.5099</v>
      </c>
      <c r="E30">
        <v>3.4192</v>
      </c>
      <c r="F30">
        <v>3.8233000000000001</v>
      </c>
      <c r="G30">
        <v>3.0661999999999998</v>
      </c>
      <c r="H30">
        <v>3.6934999999999998</v>
      </c>
      <c r="K30" t="s">
        <v>2</v>
      </c>
      <c r="L30">
        <v>7.7511000000000001</v>
      </c>
      <c r="M30">
        <v>6.7290000000000001</v>
      </c>
      <c r="N30">
        <v>7.3422000000000001</v>
      </c>
      <c r="O30">
        <v>9.4359000000000002</v>
      </c>
      <c r="P30">
        <v>9.4938000000000002</v>
      </c>
      <c r="Q30">
        <v>10.393800000000001</v>
      </c>
    </row>
    <row r="31" spans="2:19">
      <c r="K31" t="s">
        <v>12</v>
      </c>
      <c r="L31">
        <v>48</v>
      </c>
      <c r="M31">
        <v>35</v>
      </c>
      <c r="N31">
        <v>41</v>
      </c>
      <c r="O31">
        <v>46</v>
      </c>
      <c r="P31">
        <v>48</v>
      </c>
      <c r="Q31">
        <v>48</v>
      </c>
      <c r="S31">
        <v>50</v>
      </c>
    </row>
    <row r="32" spans="2:19">
      <c r="K32" t="s">
        <v>13</v>
      </c>
      <c r="L32">
        <v>197</v>
      </c>
      <c r="M32">
        <v>197</v>
      </c>
      <c r="N32">
        <v>197</v>
      </c>
      <c r="O32">
        <v>197</v>
      </c>
      <c r="P32">
        <v>197</v>
      </c>
      <c r="Q32">
        <v>197</v>
      </c>
      <c r="S32">
        <v>200</v>
      </c>
    </row>
    <row r="33" spans="11:19">
      <c r="O33">
        <v>186</v>
      </c>
    </row>
    <row r="35" spans="11:19">
      <c r="K35" t="s">
        <v>18</v>
      </c>
    </row>
    <row r="36" spans="11:19">
      <c r="L36">
        <v>1</v>
      </c>
      <c r="M36">
        <v>2</v>
      </c>
      <c r="N36">
        <v>3</v>
      </c>
      <c r="O36">
        <v>4</v>
      </c>
      <c r="P36">
        <v>5</v>
      </c>
      <c r="Q36">
        <v>6</v>
      </c>
    </row>
    <row r="37" spans="11:19">
      <c r="L37" t="s">
        <v>5</v>
      </c>
      <c r="M37" t="s">
        <v>6</v>
      </c>
      <c r="N37" s="1">
        <v>0.2</v>
      </c>
      <c r="O37" s="1">
        <v>0.4</v>
      </c>
      <c r="P37" t="s">
        <v>3</v>
      </c>
      <c r="Q37" t="s">
        <v>4</v>
      </c>
    </row>
    <row r="38" spans="11:19">
      <c r="K38" t="s">
        <v>1</v>
      </c>
      <c r="L38">
        <v>1.2436</v>
      </c>
      <c r="M38">
        <v>1.0459000000000001</v>
      </c>
      <c r="N38">
        <v>1.1356999999999999</v>
      </c>
      <c r="O38">
        <v>2.5895000000000001</v>
      </c>
      <c r="P38">
        <v>3.1122000000000001</v>
      </c>
      <c r="Q38">
        <v>4.0251999999999999</v>
      </c>
    </row>
    <row r="39" spans="11:19">
      <c r="K39" t="s">
        <v>14</v>
      </c>
      <c r="L39">
        <v>1.3765000000000001</v>
      </c>
      <c r="M39">
        <v>0.84530000000000005</v>
      </c>
      <c r="N39">
        <v>1.1456</v>
      </c>
      <c r="O39">
        <v>2.2772999999999999</v>
      </c>
      <c r="P39">
        <v>2.8176000000000001</v>
      </c>
      <c r="Q39">
        <v>3.7469000000000001</v>
      </c>
    </row>
    <row r="40" spans="11:19">
      <c r="K40" t="s">
        <v>15</v>
      </c>
      <c r="L40">
        <v>3.4660000000000002</v>
      </c>
      <c r="M40">
        <v>13.2256</v>
      </c>
      <c r="N40">
        <v>12.8851</v>
      </c>
      <c r="O40">
        <v>12.161</v>
      </c>
      <c r="P40">
        <v>8.2958999999999996</v>
      </c>
      <c r="Q40">
        <v>9.2414000000000005</v>
      </c>
    </row>
    <row r="41" spans="11:19">
      <c r="K41" t="s">
        <v>2</v>
      </c>
      <c r="L41">
        <v>4.0457000000000001</v>
      </c>
      <c r="M41">
        <v>6.2484999999999999</v>
      </c>
      <c r="N41">
        <v>6.4038000000000004</v>
      </c>
      <c r="O41">
        <v>8.3995999999999995</v>
      </c>
      <c r="P41">
        <v>7.8234000000000004</v>
      </c>
      <c r="Q41">
        <v>8.8390000000000004</v>
      </c>
    </row>
    <row r="42" spans="11:19">
      <c r="K42" t="s">
        <v>12</v>
      </c>
      <c r="L42">
        <v>35</v>
      </c>
      <c r="M42">
        <v>31</v>
      </c>
      <c r="N42">
        <v>40</v>
      </c>
      <c r="O42">
        <v>52</v>
      </c>
      <c r="P42">
        <v>56</v>
      </c>
      <c r="Q42">
        <v>58</v>
      </c>
      <c r="S42">
        <v>60</v>
      </c>
    </row>
    <row r="43" spans="11:19">
      <c r="K43" t="s">
        <v>13</v>
      </c>
      <c r="L43">
        <v>149</v>
      </c>
      <c r="M43">
        <v>187</v>
      </c>
      <c r="N43">
        <v>187</v>
      </c>
      <c r="O43">
        <v>187</v>
      </c>
      <c r="P43">
        <v>185</v>
      </c>
      <c r="Q43">
        <v>185</v>
      </c>
      <c r="S43">
        <v>190</v>
      </c>
    </row>
    <row r="46" spans="11:19">
      <c r="K46" t="s">
        <v>11</v>
      </c>
    </row>
    <row r="47" spans="11:19">
      <c r="L47">
        <v>1</v>
      </c>
      <c r="M47">
        <v>2</v>
      </c>
      <c r="N47">
        <v>3</v>
      </c>
      <c r="O47">
        <v>4</v>
      </c>
      <c r="P47">
        <v>5</v>
      </c>
      <c r="Q47">
        <v>6</v>
      </c>
    </row>
    <row r="48" spans="11:19">
      <c r="L48" t="s">
        <v>5</v>
      </c>
      <c r="M48" t="s">
        <v>6</v>
      </c>
      <c r="N48" s="1">
        <v>0.2</v>
      </c>
      <c r="O48" s="1">
        <v>0.4</v>
      </c>
      <c r="P48" t="s">
        <v>3</v>
      </c>
      <c r="Q48" t="s">
        <v>4</v>
      </c>
    </row>
    <row r="49" spans="11:19">
      <c r="K49" t="s">
        <v>1</v>
      </c>
      <c r="L49">
        <v>2.9931999999999999</v>
      </c>
      <c r="M49">
        <v>0.92100000000000004</v>
      </c>
      <c r="N49">
        <v>1.0398000000000001</v>
      </c>
      <c r="O49">
        <v>1.2171000000000001</v>
      </c>
      <c r="P49">
        <v>2.9481999999999999</v>
      </c>
      <c r="Q49">
        <v>3.7004000000000001</v>
      </c>
    </row>
    <row r="50" spans="11:19">
      <c r="K50" t="s">
        <v>14</v>
      </c>
      <c r="L50">
        <v>2.8197000000000001</v>
      </c>
      <c r="M50">
        <v>0.86080000000000001</v>
      </c>
      <c r="N50">
        <v>1.0022</v>
      </c>
      <c r="O50">
        <v>1.3049999999999999</v>
      </c>
      <c r="P50">
        <v>2.8252999999999999</v>
      </c>
      <c r="Q50">
        <v>3.4508000000000001</v>
      </c>
    </row>
    <row r="51" spans="11:19">
      <c r="K51" t="s">
        <v>15</v>
      </c>
      <c r="L51">
        <v>6.5064000000000002</v>
      </c>
      <c r="M51">
        <v>13.232100000000001</v>
      </c>
      <c r="N51">
        <v>12.9642</v>
      </c>
      <c r="O51">
        <v>11.8034</v>
      </c>
      <c r="P51">
        <v>7.1863000000000001</v>
      </c>
      <c r="Q51">
        <v>9.1056000000000008</v>
      </c>
    </row>
    <row r="52" spans="11:19">
      <c r="K52" t="s">
        <v>2</v>
      </c>
      <c r="L52">
        <v>6.7896000000000001</v>
      </c>
      <c r="M52">
        <v>5.9611000000000001</v>
      </c>
      <c r="N52">
        <v>6.0921000000000003</v>
      </c>
      <c r="O52">
        <v>5.6741999999999999</v>
      </c>
      <c r="P52">
        <v>7.0953999999999997</v>
      </c>
      <c r="Q52">
        <v>8.4526000000000003</v>
      </c>
    </row>
    <row r="53" spans="11:19">
      <c r="K53" t="s">
        <v>12</v>
      </c>
      <c r="L53">
        <v>68</v>
      </c>
      <c r="M53">
        <v>31</v>
      </c>
      <c r="N53">
        <v>36</v>
      </c>
      <c r="O53">
        <v>47</v>
      </c>
      <c r="P53">
        <v>67</v>
      </c>
      <c r="Q53">
        <v>67</v>
      </c>
      <c r="S53">
        <v>70</v>
      </c>
    </row>
    <row r="54" spans="11:19">
      <c r="K54" t="s">
        <v>13</v>
      </c>
      <c r="L54">
        <v>177</v>
      </c>
      <c r="M54">
        <v>177</v>
      </c>
      <c r="N54">
        <v>177</v>
      </c>
      <c r="O54">
        <v>177</v>
      </c>
      <c r="P54">
        <v>176</v>
      </c>
      <c r="Q54">
        <v>177</v>
      </c>
      <c r="S54">
        <v>180</v>
      </c>
    </row>
    <row r="55" spans="11:19">
      <c r="O55">
        <v>186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E1FA-5A64-FC49-89D7-8A2926DD93D2}">
  <dimension ref="B2:Q55"/>
  <sheetViews>
    <sheetView topLeftCell="A7" workbookViewId="0">
      <selection activeCell="N22" sqref="N22"/>
    </sheetView>
  </sheetViews>
  <sheetFormatPr baseColWidth="10" defaultRowHeight="20"/>
  <sheetData>
    <row r="2" spans="2:17">
      <c r="B2" t="s">
        <v>0</v>
      </c>
      <c r="D2" t="s">
        <v>9</v>
      </c>
      <c r="K2" t="s">
        <v>10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5</v>
      </c>
      <c r="D4" t="s">
        <v>6</v>
      </c>
      <c r="E4" s="1">
        <v>0.2</v>
      </c>
      <c r="F4" s="1">
        <v>0.4</v>
      </c>
      <c r="G4" t="s">
        <v>3</v>
      </c>
      <c r="H4" t="s">
        <v>4</v>
      </c>
      <c r="L4" t="s">
        <v>5</v>
      </c>
      <c r="M4" t="s">
        <v>6</v>
      </c>
      <c r="N4" s="1">
        <v>0.2</v>
      </c>
      <c r="O4" s="1">
        <v>0.4</v>
      </c>
      <c r="P4" t="s">
        <v>3</v>
      </c>
      <c r="Q4" t="s">
        <v>4</v>
      </c>
    </row>
    <row r="5" spans="2:17">
      <c r="B5" t="s">
        <v>1</v>
      </c>
      <c r="C5">
        <v>5.1672000000000002</v>
      </c>
      <c r="D5">
        <v>5.4829999999999997</v>
      </c>
      <c r="E5">
        <v>5.2782</v>
      </c>
      <c r="F5">
        <v>5.8676000000000004</v>
      </c>
      <c r="G5">
        <v>5.5336999999999996</v>
      </c>
      <c r="H5">
        <v>5.4372999999999996</v>
      </c>
      <c r="K5" t="s">
        <v>1</v>
      </c>
      <c r="L5">
        <v>6.3015999999999996</v>
      </c>
      <c r="M5">
        <v>1.9016</v>
      </c>
      <c r="N5">
        <v>2.8201000000000001</v>
      </c>
      <c r="O5">
        <v>4.6317000000000004</v>
      </c>
      <c r="P5">
        <v>5.4757999999999996</v>
      </c>
      <c r="Q5">
        <v>5.1386000000000003</v>
      </c>
    </row>
    <row r="6" spans="2:17">
      <c r="B6" t="s">
        <v>14</v>
      </c>
      <c r="C6">
        <v>5.4471999999999996</v>
      </c>
      <c r="D6">
        <v>4.0510000000000002</v>
      </c>
      <c r="E6">
        <v>4.0079000000000002</v>
      </c>
      <c r="F6">
        <v>4.5835999999999997</v>
      </c>
      <c r="G6">
        <v>4.7435999999999998</v>
      </c>
      <c r="H6">
        <v>4.7645</v>
      </c>
      <c r="K6" t="s">
        <v>14</v>
      </c>
      <c r="L6">
        <v>4.9593999999999996</v>
      </c>
      <c r="M6">
        <v>1.7542</v>
      </c>
      <c r="N6">
        <v>2.3873000000000002</v>
      </c>
      <c r="O6">
        <v>3.3022999999999998</v>
      </c>
      <c r="P6">
        <v>4.5064000000000002</v>
      </c>
      <c r="Q6">
        <v>4.2548000000000004</v>
      </c>
    </row>
    <row r="7" spans="2:17">
      <c r="B7" t="s">
        <v>15</v>
      </c>
      <c r="C7">
        <v>5.7332999999999998</v>
      </c>
      <c r="D7">
        <v>8.3648000000000007</v>
      </c>
      <c r="E7">
        <v>7.4432</v>
      </c>
      <c r="F7">
        <v>7.5846</v>
      </c>
      <c r="G7">
        <v>6.1341000000000001</v>
      </c>
      <c r="H7">
        <v>6.8521000000000001</v>
      </c>
      <c r="K7" t="s">
        <v>15</v>
      </c>
      <c r="L7">
        <v>10.831099999999999</v>
      </c>
      <c r="M7">
        <v>13.202400000000001</v>
      </c>
      <c r="N7">
        <v>12.9552</v>
      </c>
      <c r="O7">
        <v>12.4983</v>
      </c>
      <c r="P7">
        <v>11.216900000000001</v>
      </c>
      <c r="Q7">
        <v>12.3299</v>
      </c>
    </row>
    <row r="8" spans="2:17">
      <c r="B8" t="s">
        <v>2</v>
      </c>
      <c r="C8">
        <v>7.3025000000000002</v>
      </c>
      <c r="D8">
        <v>7.4172000000000002</v>
      </c>
      <c r="E8">
        <v>7.2088999999999999</v>
      </c>
      <c r="F8">
        <v>7.6755000000000004</v>
      </c>
      <c r="G8">
        <v>7.2445000000000004</v>
      </c>
      <c r="H8">
        <v>7.3864999999999998</v>
      </c>
      <c r="K8" t="s">
        <v>2</v>
      </c>
      <c r="L8">
        <v>11.2841</v>
      </c>
      <c r="M8">
        <v>9.8317999999999994</v>
      </c>
      <c r="N8">
        <v>10.7622</v>
      </c>
      <c r="O8">
        <v>11.4962</v>
      </c>
      <c r="P8">
        <v>11.2767</v>
      </c>
      <c r="Q8">
        <v>11.719900000000001</v>
      </c>
    </row>
    <row r="9" spans="2:17">
      <c r="K9" t="s">
        <v>12</v>
      </c>
      <c r="L9">
        <v>25</v>
      </c>
      <c r="M9">
        <v>23</v>
      </c>
      <c r="N9">
        <v>24</v>
      </c>
      <c r="O9">
        <v>25</v>
      </c>
      <c r="P9">
        <v>26</v>
      </c>
      <c r="Q9">
        <v>25</v>
      </c>
    </row>
    <row r="10" spans="2:17">
      <c r="K10" t="s">
        <v>13</v>
      </c>
      <c r="L10">
        <v>212</v>
      </c>
      <c r="M10">
        <v>213</v>
      </c>
      <c r="N10">
        <v>213</v>
      </c>
      <c r="O10">
        <v>213</v>
      </c>
      <c r="P10">
        <v>211</v>
      </c>
      <c r="Q10">
        <v>213</v>
      </c>
    </row>
    <row r="13" spans="2:17">
      <c r="B13" t="s">
        <v>16</v>
      </c>
      <c r="K13" t="s">
        <v>19</v>
      </c>
    </row>
    <row r="14" spans="2:17"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  <c r="L14">
        <v>1</v>
      </c>
      <c r="M14">
        <v>2</v>
      </c>
      <c r="N14">
        <v>3</v>
      </c>
      <c r="O14">
        <v>4</v>
      </c>
      <c r="P14">
        <v>5</v>
      </c>
      <c r="Q14">
        <v>6</v>
      </c>
    </row>
    <row r="15" spans="2:17">
      <c r="C15" t="s">
        <v>5</v>
      </c>
      <c r="D15" t="s">
        <v>6</v>
      </c>
      <c r="E15" s="1">
        <v>0.2</v>
      </c>
      <c r="F15" s="1">
        <v>0.4</v>
      </c>
      <c r="G15" t="s">
        <v>3</v>
      </c>
      <c r="H15" t="s">
        <v>4</v>
      </c>
      <c r="L15" t="s">
        <v>5</v>
      </c>
      <c r="M15" t="s">
        <v>6</v>
      </c>
      <c r="N15" s="1">
        <v>0.2</v>
      </c>
      <c r="O15" s="1">
        <v>0.4</v>
      </c>
      <c r="P15" t="s">
        <v>3</v>
      </c>
      <c r="Q15" t="s">
        <v>4</v>
      </c>
    </row>
    <row r="16" spans="2:17">
      <c r="B16" t="s">
        <v>1</v>
      </c>
      <c r="C16">
        <v>2.15</v>
      </c>
      <c r="D16">
        <v>3.5497999999999998</v>
      </c>
      <c r="E16">
        <v>4.7549000000000001</v>
      </c>
      <c r="F16">
        <v>4.2061999999999999</v>
      </c>
      <c r="G16">
        <v>3.5384000000000002</v>
      </c>
      <c r="H16">
        <v>2.0453999999999999</v>
      </c>
      <c r="K16" t="s">
        <v>1</v>
      </c>
      <c r="L16">
        <v>5.7436999999999996</v>
      </c>
      <c r="M16">
        <v>1.4020999999999999</v>
      </c>
      <c r="N16">
        <v>2.9762</v>
      </c>
      <c r="O16">
        <v>3.9775999999999998</v>
      </c>
      <c r="P16">
        <v>5.0115999999999996</v>
      </c>
      <c r="Q16">
        <v>5.5224000000000002</v>
      </c>
    </row>
    <row r="17" spans="2:17">
      <c r="B17" t="s">
        <v>14</v>
      </c>
      <c r="C17">
        <v>2.9990999999999999</v>
      </c>
      <c r="D17">
        <v>2.2616000000000001</v>
      </c>
      <c r="E17">
        <v>3.1095000000000002</v>
      </c>
      <c r="F17">
        <v>4.1627999999999998</v>
      </c>
      <c r="G17">
        <v>3.4</v>
      </c>
      <c r="H17">
        <v>3.0691999999999999</v>
      </c>
      <c r="K17" t="s">
        <v>14</v>
      </c>
      <c r="L17">
        <v>3.4403999999999999</v>
      </c>
      <c r="M17">
        <v>1.3922000000000001</v>
      </c>
      <c r="N17">
        <v>2.4977</v>
      </c>
      <c r="O17">
        <v>3.5792999999999999</v>
      </c>
      <c r="P17">
        <v>4.2933000000000003</v>
      </c>
      <c r="Q17">
        <v>4.8528000000000002</v>
      </c>
    </row>
    <row r="18" spans="2:17">
      <c r="B18" t="s">
        <v>15</v>
      </c>
      <c r="C18">
        <v>2.1983000000000001</v>
      </c>
      <c r="D18">
        <v>3.9304999999999999</v>
      </c>
      <c r="E18">
        <v>4.4368999999999996</v>
      </c>
      <c r="F18">
        <v>5.4317000000000002</v>
      </c>
      <c r="G18">
        <v>4.1894999999999998</v>
      </c>
      <c r="H18">
        <v>2.4647000000000001</v>
      </c>
      <c r="K18" t="s">
        <v>15</v>
      </c>
      <c r="L18">
        <v>9.8153000000000006</v>
      </c>
      <c r="M18">
        <v>13.139900000000001</v>
      </c>
      <c r="N18">
        <v>12.9337</v>
      </c>
      <c r="O18">
        <v>12.6709</v>
      </c>
      <c r="P18">
        <v>10.6534</v>
      </c>
      <c r="Q18">
        <v>11.900399999999999</v>
      </c>
    </row>
    <row r="19" spans="2:17">
      <c r="B19" t="s">
        <v>2</v>
      </c>
      <c r="H19" s="2"/>
      <c r="K19" t="s">
        <v>2</v>
      </c>
      <c r="L19">
        <v>10.161199999999999</v>
      </c>
      <c r="M19">
        <v>8.3340999999999994</v>
      </c>
      <c r="N19">
        <v>10.2942</v>
      </c>
      <c r="O19">
        <v>11.0617</v>
      </c>
      <c r="P19">
        <v>10.569000000000001</v>
      </c>
      <c r="Q19">
        <v>11.343299999999999</v>
      </c>
    </row>
    <row r="20" spans="2:17">
      <c r="K20" t="s">
        <v>12</v>
      </c>
      <c r="L20">
        <v>31</v>
      </c>
      <c r="M20">
        <v>26</v>
      </c>
      <c r="N20">
        <v>30</v>
      </c>
      <c r="O20">
        <v>31</v>
      </c>
      <c r="P20">
        <v>32</v>
      </c>
      <c r="Q20">
        <v>35</v>
      </c>
    </row>
    <row r="21" spans="2:17">
      <c r="C21">
        <v>3.8542000000000001</v>
      </c>
      <c r="D21">
        <v>4.8537999999999997</v>
      </c>
      <c r="E21">
        <v>5.9329999999999998</v>
      </c>
      <c r="F21">
        <v>6.4424000000000001</v>
      </c>
      <c r="G21">
        <v>5.4889999999999999</v>
      </c>
      <c r="H21">
        <v>3.9437000000000002</v>
      </c>
      <c r="K21" t="s">
        <v>13</v>
      </c>
      <c r="L21">
        <v>202</v>
      </c>
      <c r="M21">
        <v>205</v>
      </c>
      <c r="N21">
        <v>205</v>
      </c>
      <c r="O21">
        <v>205</v>
      </c>
      <c r="P21">
        <v>201</v>
      </c>
      <c r="Q21">
        <v>205</v>
      </c>
    </row>
    <row r="24" spans="2:17">
      <c r="B24" t="s">
        <v>17</v>
      </c>
      <c r="K24" t="s">
        <v>7</v>
      </c>
    </row>
    <row r="25" spans="2:17">
      <c r="C25">
        <v>1</v>
      </c>
      <c r="D25">
        <v>2</v>
      </c>
      <c r="E25">
        <v>3</v>
      </c>
      <c r="F25">
        <v>4</v>
      </c>
      <c r="G25">
        <v>5</v>
      </c>
      <c r="H25">
        <v>6</v>
      </c>
      <c r="L25">
        <v>1</v>
      </c>
      <c r="M25">
        <v>2</v>
      </c>
      <c r="N25">
        <v>3</v>
      </c>
      <c r="O25">
        <v>4</v>
      </c>
      <c r="P25">
        <v>5</v>
      </c>
      <c r="Q25">
        <v>6</v>
      </c>
    </row>
    <row r="26" spans="2:17">
      <c r="C26" t="s">
        <v>5</v>
      </c>
      <c r="D26" t="s">
        <v>6</v>
      </c>
      <c r="E26" s="1">
        <v>0.2</v>
      </c>
      <c r="F26" s="1">
        <v>0.4</v>
      </c>
      <c r="G26" t="s">
        <v>3</v>
      </c>
      <c r="H26" t="s">
        <v>4</v>
      </c>
      <c r="L26" t="s">
        <v>5</v>
      </c>
      <c r="M26" t="s">
        <v>6</v>
      </c>
      <c r="N26" s="1">
        <v>0.2</v>
      </c>
      <c r="O26" s="1">
        <v>0.4</v>
      </c>
      <c r="P26" t="s">
        <v>3</v>
      </c>
      <c r="Q26" t="s">
        <v>4</v>
      </c>
    </row>
    <row r="27" spans="2:17">
      <c r="B27" t="s">
        <v>1</v>
      </c>
      <c r="C27">
        <v>0.64749999999999996</v>
      </c>
      <c r="D27">
        <v>2.4073000000000002</v>
      </c>
      <c r="E27">
        <v>2.5901000000000001</v>
      </c>
      <c r="F27">
        <v>2.5402999999999998</v>
      </c>
      <c r="G27">
        <v>1.9982</v>
      </c>
      <c r="H27">
        <v>1.7799</v>
      </c>
      <c r="K27" t="s">
        <v>1</v>
      </c>
      <c r="L27">
        <v>6.3501000000000003</v>
      </c>
      <c r="M27">
        <v>1.5672999999999999</v>
      </c>
      <c r="N27">
        <v>1.9979</v>
      </c>
      <c r="O27">
        <v>3.2488000000000001</v>
      </c>
      <c r="P27">
        <v>4.4017999999999997</v>
      </c>
      <c r="Q27">
        <v>5.2026000000000003</v>
      </c>
    </row>
    <row r="28" spans="2:17">
      <c r="B28" t="s">
        <v>14</v>
      </c>
      <c r="C28">
        <v>1.5898000000000001</v>
      </c>
      <c r="D28">
        <v>1.4498</v>
      </c>
      <c r="E28">
        <v>1.7122999999999999</v>
      </c>
      <c r="F28">
        <v>2.1821000000000002</v>
      </c>
      <c r="G28">
        <v>1.8933</v>
      </c>
      <c r="H28">
        <v>2.1454</v>
      </c>
      <c r="K28" t="s">
        <v>14</v>
      </c>
      <c r="L28">
        <v>6.0064000000000002</v>
      </c>
      <c r="M28">
        <v>1.1964999999999999</v>
      </c>
      <c r="N28">
        <v>1.5065</v>
      </c>
      <c r="O28">
        <v>2.4070999999999998</v>
      </c>
      <c r="P28">
        <v>3.8094999999999999</v>
      </c>
      <c r="Q28">
        <v>4.3258999999999999</v>
      </c>
    </row>
    <row r="29" spans="2:17">
      <c r="B29" t="s">
        <v>15</v>
      </c>
      <c r="C29">
        <v>2.0331999999999999</v>
      </c>
      <c r="D29">
        <v>3.0739999999999998</v>
      </c>
      <c r="E29">
        <v>2.9481000000000002</v>
      </c>
      <c r="F29">
        <v>3.6566000000000001</v>
      </c>
      <c r="G29">
        <v>2.1839</v>
      </c>
      <c r="H29">
        <v>2.3957000000000002</v>
      </c>
      <c r="K29" t="s">
        <v>15</v>
      </c>
      <c r="L29">
        <v>10.080299999999999</v>
      </c>
      <c r="M29">
        <v>13.2021</v>
      </c>
      <c r="N29">
        <v>13.0839</v>
      </c>
      <c r="O29">
        <v>12.297499999999999</v>
      </c>
      <c r="P29">
        <v>9.5640999999999998</v>
      </c>
      <c r="Q29">
        <v>11.1637</v>
      </c>
    </row>
    <row r="30" spans="2:17">
      <c r="B30" t="s">
        <v>2</v>
      </c>
      <c r="C30">
        <v>2.0653999999999999</v>
      </c>
      <c r="D30">
        <v>3.6442999999999999</v>
      </c>
      <c r="E30">
        <v>3.8483000000000001</v>
      </c>
      <c r="F30">
        <v>4.3448000000000002</v>
      </c>
      <c r="G30">
        <v>3.3860999999999999</v>
      </c>
      <c r="H30">
        <v>3.4763999999999999</v>
      </c>
      <c r="K30" t="s">
        <v>2</v>
      </c>
      <c r="L30">
        <v>10.633800000000001</v>
      </c>
      <c r="M30">
        <v>8.0640000000000001</v>
      </c>
      <c r="N30">
        <v>8.5756999999999994</v>
      </c>
      <c r="O30">
        <v>9.5343</v>
      </c>
      <c r="P30">
        <v>9.3214000000000006</v>
      </c>
      <c r="Q30">
        <v>10.5093</v>
      </c>
    </row>
    <row r="31" spans="2:17">
      <c r="K31" t="s">
        <v>12</v>
      </c>
      <c r="L31">
        <v>45</v>
      </c>
      <c r="M31">
        <v>28</v>
      </c>
      <c r="N31">
        <v>33</v>
      </c>
      <c r="O31">
        <v>40</v>
      </c>
      <c r="P31">
        <v>46</v>
      </c>
      <c r="Q31">
        <v>47</v>
      </c>
    </row>
    <row r="32" spans="2:17">
      <c r="K32" t="s">
        <v>13</v>
      </c>
      <c r="L32">
        <v>192</v>
      </c>
      <c r="M32">
        <v>196</v>
      </c>
      <c r="N32">
        <v>196</v>
      </c>
      <c r="O32">
        <v>196</v>
      </c>
      <c r="P32">
        <v>190</v>
      </c>
      <c r="Q32">
        <v>191</v>
      </c>
    </row>
    <row r="35" spans="11:17">
      <c r="K35" t="s">
        <v>18</v>
      </c>
    </row>
    <row r="36" spans="11:17">
      <c r="L36">
        <v>1</v>
      </c>
      <c r="M36">
        <v>2</v>
      </c>
      <c r="N36">
        <v>3</v>
      </c>
      <c r="O36">
        <v>4</v>
      </c>
      <c r="P36">
        <v>5</v>
      </c>
      <c r="Q36">
        <v>6</v>
      </c>
    </row>
    <row r="37" spans="11:17">
      <c r="L37" t="s">
        <v>5</v>
      </c>
      <c r="M37" t="s">
        <v>6</v>
      </c>
      <c r="N37" s="1">
        <v>0.2</v>
      </c>
      <c r="O37" s="1">
        <v>0.4</v>
      </c>
      <c r="P37" t="s">
        <v>3</v>
      </c>
      <c r="Q37" t="s">
        <v>4</v>
      </c>
    </row>
    <row r="38" spans="11:17">
      <c r="K38" t="s">
        <v>1</v>
      </c>
      <c r="L38">
        <v>4.2778999999999998</v>
      </c>
      <c r="M38">
        <v>0.97360000000000002</v>
      </c>
      <c r="N38">
        <v>1.6158999999999999</v>
      </c>
      <c r="O38">
        <v>1.8244</v>
      </c>
      <c r="P38">
        <v>3.7864</v>
      </c>
      <c r="Q38">
        <v>4.2205000000000004</v>
      </c>
    </row>
    <row r="39" spans="11:17">
      <c r="K39" t="s">
        <v>14</v>
      </c>
      <c r="L39">
        <v>3.8898000000000001</v>
      </c>
      <c r="M39">
        <v>0.57389999999999997</v>
      </c>
      <c r="N39">
        <v>1.6566000000000001</v>
      </c>
      <c r="O39">
        <v>1.5820000000000001</v>
      </c>
      <c r="P39">
        <v>3.7795999999999998</v>
      </c>
      <c r="Q39">
        <v>4.476</v>
      </c>
    </row>
    <row r="40" spans="11:17">
      <c r="K40" t="s">
        <v>15</v>
      </c>
      <c r="L40">
        <v>7.9984000000000002</v>
      </c>
      <c r="M40">
        <v>13.2308</v>
      </c>
      <c r="N40">
        <v>12.767799999999999</v>
      </c>
      <c r="O40">
        <v>12.5124</v>
      </c>
      <c r="P40">
        <v>8.0525000000000002</v>
      </c>
      <c r="Q40">
        <v>9.7164000000000001</v>
      </c>
    </row>
    <row r="41" spans="11:17">
      <c r="K41" t="s">
        <v>2</v>
      </c>
      <c r="L41">
        <v>8.4349000000000007</v>
      </c>
      <c r="M41">
        <v>6.0960000000000001</v>
      </c>
      <c r="N41">
        <v>7.6375999999999999</v>
      </c>
      <c r="O41">
        <v>7.5674000000000001</v>
      </c>
      <c r="P41">
        <v>8.3316999999999997</v>
      </c>
      <c r="Q41">
        <v>9.4152000000000005</v>
      </c>
    </row>
    <row r="42" spans="11:17">
      <c r="K42" t="s">
        <v>12</v>
      </c>
      <c r="L42">
        <v>55</v>
      </c>
      <c r="M42">
        <v>24</v>
      </c>
      <c r="N42">
        <v>41</v>
      </c>
      <c r="O42">
        <v>44</v>
      </c>
      <c r="P42">
        <v>53</v>
      </c>
      <c r="Q42">
        <v>55</v>
      </c>
    </row>
    <row r="43" spans="11:17">
      <c r="K43" t="s">
        <v>13</v>
      </c>
      <c r="L43">
        <v>182</v>
      </c>
      <c r="M43">
        <v>187</v>
      </c>
      <c r="N43">
        <v>187</v>
      </c>
      <c r="O43">
        <v>187</v>
      </c>
      <c r="P43">
        <v>185</v>
      </c>
      <c r="Q43">
        <v>184</v>
      </c>
    </row>
    <row r="46" spans="11:17">
      <c r="K46" t="s">
        <v>11</v>
      </c>
    </row>
    <row r="47" spans="11:17">
      <c r="L47">
        <v>1</v>
      </c>
      <c r="M47">
        <v>2</v>
      </c>
      <c r="N47">
        <v>3</v>
      </c>
      <c r="O47">
        <v>4</v>
      </c>
      <c r="P47">
        <v>5</v>
      </c>
      <c r="Q47">
        <v>6</v>
      </c>
    </row>
    <row r="48" spans="11:17">
      <c r="L48" t="s">
        <v>5</v>
      </c>
      <c r="M48" t="s">
        <v>6</v>
      </c>
      <c r="N48" s="1">
        <v>0.2</v>
      </c>
      <c r="O48" s="1">
        <v>0.4</v>
      </c>
      <c r="P48" t="s">
        <v>3</v>
      </c>
      <c r="Q48" t="s">
        <v>4</v>
      </c>
    </row>
    <row r="49" spans="11:17">
      <c r="K49" t="s">
        <v>1</v>
      </c>
      <c r="L49">
        <v>3.7654000000000001</v>
      </c>
      <c r="M49">
        <v>0.65159999999999996</v>
      </c>
      <c r="N49">
        <v>1.2372000000000001</v>
      </c>
      <c r="O49">
        <v>1.2674000000000001</v>
      </c>
      <c r="P49">
        <v>3.7869000000000002</v>
      </c>
      <c r="Q49">
        <v>4.3780000000000001</v>
      </c>
    </row>
    <row r="50" spans="11:17">
      <c r="K50" t="s">
        <v>14</v>
      </c>
      <c r="L50">
        <v>3.5093000000000001</v>
      </c>
      <c r="M50">
        <v>0.63880000000000003</v>
      </c>
      <c r="N50">
        <v>1.0767</v>
      </c>
      <c r="O50">
        <v>1.1996</v>
      </c>
      <c r="P50">
        <v>3.4864000000000002</v>
      </c>
      <c r="Q50">
        <v>3.7530999999999999</v>
      </c>
    </row>
    <row r="51" spans="11:17">
      <c r="K51" t="s">
        <v>15</v>
      </c>
      <c r="L51">
        <v>6.9275000000000002</v>
      </c>
      <c r="M51">
        <v>13.223699999999999</v>
      </c>
      <c r="N51">
        <v>12.8613</v>
      </c>
      <c r="O51">
        <v>12.1593</v>
      </c>
      <c r="P51">
        <v>8.1181000000000001</v>
      </c>
      <c r="Q51">
        <v>9.9579000000000004</v>
      </c>
    </row>
    <row r="52" spans="11:17">
      <c r="K52" t="s">
        <v>2</v>
      </c>
      <c r="L52">
        <v>7.5986000000000002</v>
      </c>
      <c r="M52">
        <v>4.1731999999999996</v>
      </c>
      <c r="N52">
        <v>6.2702999999999998</v>
      </c>
      <c r="O52">
        <v>5.8453999999999997</v>
      </c>
      <c r="P52">
        <v>8.0411000000000001</v>
      </c>
      <c r="Q52">
        <v>9.0775000000000006</v>
      </c>
    </row>
    <row r="53" spans="11:17">
      <c r="K53" t="s">
        <v>12</v>
      </c>
      <c r="L53">
        <v>65</v>
      </c>
      <c r="M53">
        <v>16</v>
      </c>
      <c r="N53">
        <v>41</v>
      </c>
      <c r="O53">
        <v>42</v>
      </c>
      <c r="P53">
        <v>52</v>
      </c>
      <c r="Q53">
        <v>60</v>
      </c>
    </row>
    <row r="54" spans="11:17">
      <c r="K54" t="s">
        <v>13</v>
      </c>
      <c r="L54">
        <v>172</v>
      </c>
      <c r="M54">
        <v>177</v>
      </c>
      <c r="N54">
        <v>177</v>
      </c>
      <c r="O54">
        <v>177</v>
      </c>
      <c r="P54">
        <v>176</v>
      </c>
      <c r="Q54">
        <v>175</v>
      </c>
    </row>
    <row r="55" spans="11:17">
      <c r="M55">
        <v>193</v>
      </c>
      <c r="O55">
        <v>187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853A-4F30-0142-AB97-3D14C1A4C950}">
  <dimension ref="B2:Q54"/>
  <sheetViews>
    <sheetView workbookViewId="0">
      <selection activeCell="M21" sqref="M21"/>
    </sheetView>
  </sheetViews>
  <sheetFormatPr baseColWidth="10" defaultRowHeight="20"/>
  <sheetData>
    <row r="2" spans="2:17">
      <c r="B2" t="s">
        <v>0</v>
      </c>
      <c r="D2" t="s">
        <v>9</v>
      </c>
      <c r="K2" t="s">
        <v>10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5</v>
      </c>
      <c r="D4" t="s">
        <v>6</v>
      </c>
      <c r="E4" s="1">
        <v>0.2</v>
      </c>
      <c r="F4" s="1">
        <v>0.4</v>
      </c>
      <c r="G4" t="s">
        <v>3</v>
      </c>
      <c r="H4" t="s">
        <v>4</v>
      </c>
      <c r="L4" t="s">
        <v>5</v>
      </c>
      <c r="M4" t="s">
        <v>6</v>
      </c>
      <c r="N4" s="1">
        <v>0.2</v>
      </c>
      <c r="O4" s="1">
        <v>0.4</v>
      </c>
      <c r="P4" t="s">
        <v>3</v>
      </c>
      <c r="Q4" t="s">
        <v>4</v>
      </c>
    </row>
    <row r="5" spans="2:17">
      <c r="B5" t="s">
        <v>1</v>
      </c>
      <c r="C5">
        <v>5.4856999999999996</v>
      </c>
      <c r="D5">
        <v>4.8769999999999998</v>
      </c>
      <c r="E5">
        <v>5.8795999999999999</v>
      </c>
      <c r="F5">
        <v>5.5514999999999999</v>
      </c>
      <c r="G5">
        <v>5.9428000000000001</v>
      </c>
      <c r="H5">
        <v>6.3234000000000004</v>
      </c>
      <c r="K5" t="s">
        <v>1</v>
      </c>
      <c r="L5">
        <v>5.9340999999999999</v>
      </c>
      <c r="M5">
        <v>1.0238</v>
      </c>
      <c r="N5">
        <v>1.3036000000000001</v>
      </c>
      <c r="O5">
        <v>4.1784999999999997</v>
      </c>
      <c r="P5">
        <v>5.6029</v>
      </c>
      <c r="Q5">
        <v>5.2057000000000002</v>
      </c>
    </row>
    <row r="6" spans="2:17">
      <c r="B6" t="s">
        <v>14</v>
      </c>
      <c r="C6">
        <v>5.7359999999999998</v>
      </c>
      <c r="D6">
        <v>3.9786000000000001</v>
      </c>
      <c r="E6">
        <v>5.5389999999999997</v>
      </c>
      <c r="F6">
        <v>4.9973999999999998</v>
      </c>
      <c r="G6">
        <v>5.2655000000000003</v>
      </c>
      <c r="H6">
        <v>5.5819000000000001</v>
      </c>
      <c r="K6" t="s">
        <v>14</v>
      </c>
      <c r="L6">
        <v>4.9364999999999997</v>
      </c>
      <c r="M6">
        <v>0.94430000000000003</v>
      </c>
      <c r="N6">
        <v>1.2635000000000001</v>
      </c>
      <c r="O6">
        <v>3.2713999999999999</v>
      </c>
      <c r="P6">
        <v>4.3047000000000004</v>
      </c>
      <c r="Q6">
        <v>3.7923</v>
      </c>
    </row>
    <row r="7" spans="2:17">
      <c r="B7" t="s">
        <v>15</v>
      </c>
      <c r="C7">
        <v>5.2930999999999999</v>
      </c>
      <c r="D7">
        <v>8.1712000000000007</v>
      </c>
      <c r="E7">
        <v>8.7794000000000008</v>
      </c>
      <c r="F7">
        <v>8.5284999999999993</v>
      </c>
      <c r="G7">
        <v>6.6947999999999999</v>
      </c>
      <c r="H7">
        <v>7.5267999999999997</v>
      </c>
      <c r="K7" t="s">
        <v>15</v>
      </c>
      <c r="L7">
        <v>10.827199999999999</v>
      </c>
      <c r="M7">
        <v>13.223100000000001</v>
      </c>
      <c r="N7">
        <v>13.1203</v>
      </c>
      <c r="O7">
        <v>12.765700000000001</v>
      </c>
      <c r="P7">
        <v>10.844200000000001</v>
      </c>
      <c r="Q7">
        <v>11.879099999999999</v>
      </c>
    </row>
    <row r="8" spans="2:17">
      <c r="B8" t="s">
        <v>2</v>
      </c>
      <c r="C8">
        <v>7.4363999999999999</v>
      </c>
      <c r="D8">
        <v>7.1966000000000001</v>
      </c>
      <c r="E8">
        <v>8.3457000000000008</v>
      </c>
      <c r="F8">
        <v>7.9821999999999997</v>
      </c>
      <c r="G8">
        <v>7.8624000000000001</v>
      </c>
      <c r="H8">
        <v>8.2624999999999993</v>
      </c>
      <c r="K8" t="s">
        <v>2</v>
      </c>
      <c r="L8">
        <v>11.167999999999999</v>
      </c>
      <c r="M8">
        <v>8.3486999999999991</v>
      </c>
      <c r="N8">
        <v>8.8501999999999992</v>
      </c>
      <c r="O8">
        <v>11.346399999999999</v>
      </c>
      <c r="P8">
        <v>11.0672</v>
      </c>
      <c r="Q8">
        <v>11.293900000000001</v>
      </c>
    </row>
    <row r="9" spans="2:17">
      <c r="K9" t="s">
        <v>12</v>
      </c>
      <c r="L9">
        <v>29</v>
      </c>
      <c r="M9">
        <v>17</v>
      </c>
      <c r="N9">
        <v>20</v>
      </c>
      <c r="O9">
        <v>29</v>
      </c>
      <c r="P9">
        <v>29</v>
      </c>
      <c r="Q9">
        <v>29</v>
      </c>
    </row>
    <row r="10" spans="2:17">
      <c r="K10" t="s">
        <v>13</v>
      </c>
      <c r="L10">
        <v>213</v>
      </c>
      <c r="M10">
        <v>214</v>
      </c>
      <c r="N10">
        <v>214</v>
      </c>
      <c r="O10">
        <v>213</v>
      </c>
      <c r="P10">
        <v>213</v>
      </c>
      <c r="Q10">
        <v>213</v>
      </c>
    </row>
    <row r="13" spans="2:17">
      <c r="B13" t="s">
        <v>16</v>
      </c>
      <c r="K13" t="s">
        <v>19</v>
      </c>
    </row>
    <row r="14" spans="2:17"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  <c r="L14">
        <v>1</v>
      </c>
      <c r="M14">
        <v>2</v>
      </c>
      <c r="N14">
        <v>3</v>
      </c>
      <c r="O14">
        <v>4</v>
      </c>
      <c r="P14">
        <v>5</v>
      </c>
      <c r="Q14">
        <v>6</v>
      </c>
    </row>
    <row r="15" spans="2:17">
      <c r="C15" t="s">
        <v>5</v>
      </c>
      <c r="D15" t="s">
        <v>6</v>
      </c>
      <c r="E15" s="1">
        <v>0.2</v>
      </c>
      <c r="F15" s="1">
        <v>0.4</v>
      </c>
      <c r="G15" t="s">
        <v>3</v>
      </c>
      <c r="H15" t="s">
        <v>4</v>
      </c>
      <c r="L15" t="s">
        <v>5</v>
      </c>
      <c r="M15" t="s">
        <v>6</v>
      </c>
      <c r="N15" s="1">
        <v>0.2</v>
      </c>
      <c r="O15" s="1">
        <v>0.4</v>
      </c>
      <c r="P15" t="s">
        <v>3</v>
      </c>
      <c r="Q15" t="s">
        <v>4</v>
      </c>
    </row>
    <row r="16" spans="2:17">
      <c r="B16" t="s">
        <v>1</v>
      </c>
      <c r="C16">
        <v>1.7241</v>
      </c>
      <c r="D16">
        <v>3.4708999999999999</v>
      </c>
      <c r="E16">
        <v>4.2390999999999996</v>
      </c>
      <c r="F16">
        <v>4.7011000000000003</v>
      </c>
      <c r="G16">
        <v>3.2372999999999998</v>
      </c>
      <c r="H16">
        <v>5.0330000000000004</v>
      </c>
      <c r="K16" t="s">
        <v>1</v>
      </c>
      <c r="L16">
        <v>5.4217000000000004</v>
      </c>
      <c r="M16">
        <v>1.0206999999999999</v>
      </c>
      <c r="N16">
        <v>1.5415000000000001</v>
      </c>
      <c r="O16">
        <v>1.9427000000000001</v>
      </c>
      <c r="P16">
        <v>3.8654000000000002</v>
      </c>
      <c r="Q16">
        <v>4.6238000000000001</v>
      </c>
    </row>
    <row r="17" spans="2:17">
      <c r="B17" t="s">
        <v>14</v>
      </c>
      <c r="C17">
        <v>4.4759000000000002</v>
      </c>
      <c r="D17">
        <v>2.7746</v>
      </c>
      <c r="E17">
        <v>3.6556999999999999</v>
      </c>
      <c r="F17">
        <v>3.9441000000000002</v>
      </c>
      <c r="G17">
        <v>3.2681</v>
      </c>
      <c r="H17">
        <v>4.8642000000000003</v>
      </c>
      <c r="K17" t="s">
        <v>14</v>
      </c>
      <c r="L17">
        <v>5.6742999999999997</v>
      </c>
      <c r="M17">
        <v>1.1263000000000001</v>
      </c>
      <c r="N17">
        <v>1.8012999999999999</v>
      </c>
      <c r="O17">
        <v>1.8872</v>
      </c>
      <c r="P17">
        <v>4.3761999999999999</v>
      </c>
      <c r="Q17">
        <v>4.7446999999999999</v>
      </c>
    </row>
    <row r="18" spans="2:17">
      <c r="B18" t="s">
        <v>15</v>
      </c>
      <c r="C18">
        <v>1.5362</v>
      </c>
      <c r="D18">
        <v>4.4145000000000003</v>
      </c>
      <c r="E18">
        <v>6.6367000000000003</v>
      </c>
      <c r="F18">
        <v>5.3411999999999997</v>
      </c>
      <c r="G18">
        <v>4.1513</v>
      </c>
      <c r="H18">
        <v>5.89</v>
      </c>
      <c r="K18" t="s">
        <v>15</v>
      </c>
      <c r="L18">
        <v>9.2347000000000001</v>
      </c>
      <c r="M18">
        <v>13.1691</v>
      </c>
      <c r="N18">
        <v>12.8857</v>
      </c>
      <c r="O18">
        <v>12.705399999999999</v>
      </c>
      <c r="P18">
        <v>9.6052999999999997</v>
      </c>
      <c r="Q18">
        <v>11.863899999999999</v>
      </c>
    </row>
    <row r="19" spans="2:17">
      <c r="B19" t="s">
        <v>2</v>
      </c>
      <c r="C19">
        <v>3.4073000000000002</v>
      </c>
      <c r="D19">
        <v>5.2771999999999997</v>
      </c>
      <c r="E19">
        <v>6.5246000000000004</v>
      </c>
      <c r="F19">
        <v>6.5697999999999999</v>
      </c>
      <c r="G19">
        <v>5.2705000000000002</v>
      </c>
      <c r="H19">
        <v>7.2092000000000001</v>
      </c>
      <c r="K19" t="s">
        <v>2</v>
      </c>
      <c r="L19">
        <v>10.1487</v>
      </c>
      <c r="M19">
        <v>7.7843</v>
      </c>
      <c r="N19">
        <v>8.6396999999999995</v>
      </c>
      <c r="O19">
        <v>9.9031000000000002</v>
      </c>
      <c r="P19">
        <v>9.6087000000000007</v>
      </c>
      <c r="Q19">
        <v>11.073600000000001</v>
      </c>
    </row>
    <row r="20" spans="2:17">
      <c r="K20" t="s">
        <v>12</v>
      </c>
      <c r="L20">
        <v>38</v>
      </c>
      <c r="M20">
        <v>22</v>
      </c>
      <c r="N20">
        <v>30</v>
      </c>
      <c r="O20">
        <v>30</v>
      </c>
      <c r="P20">
        <v>37</v>
      </c>
      <c r="Q20">
        <v>36</v>
      </c>
    </row>
    <row r="21" spans="2:17">
      <c r="K21" t="s">
        <v>13</v>
      </c>
      <c r="L21">
        <v>105</v>
      </c>
      <c r="M21">
        <v>206</v>
      </c>
      <c r="N21">
        <v>206</v>
      </c>
      <c r="O21">
        <v>206</v>
      </c>
      <c r="P21">
        <v>202</v>
      </c>
      <c r="Q21">
        <v>206</v>
      </c>
    </row>
    <row r="24" spans="2:17">
      <c r="B24" t="s">
        <v>17</v>
      </c>
      <c r="K24" t="s">
        <v>7</v>
      </c>
    </row>
    <row r="25" spans="2:17">
      <c r="C25">
        <v>1</v>
      </c>
      <c r="D25">
        <v>2</v>
      </c>
      <c r="E25">
        <v>3</v>
      </c>
      <c r="F25">
        <v>4</v>
      </c>
      <c r="G25">
        <v>5</v>
      </c>
      <c r="H25">
        <v>6</v>
      </c>
      <c r="L25">
        <v>1</v>
      </c>
      <c r="M25">
        <v>2</v>
      </c>
      <c r="N25">
        <v>3</v>
      </c>
      <c r="O25">
        <v>4</v>
      </c>
      <c r="P25">
        <v>5</v>
      </c>
      <c r="Q25">
        <v>6</v>
      </c>
    </row>
    <row r="26" spans="2:17">
      <c r="C26" t="s">
        <v>5</v>
      </c>
      <c r="D26" t="s">
        <v>6</v>
      </c>
      <c r="E26" s="1">
        <v>0.2</v>
      </c>
      <c r="F26" s="1">
        <v>0.4</v>
      </c>
      <c r="G26" t="s">
        <v>3</v>
      </c>
      <c r="H26" t="s">
        <v>4</v>
      </c>
      <c r="L26" t="s">
        <v>5</v>
      </c>
      <c r="M26" t="s">
        <v>6</v>
      </c>
      <c r="N26" s="1">
        <v>0.2</v>
      </c>
      <c r="O26" s="1">
        <v>0.4</v>
      </c>
      <c r="P26" t="s">
        <v>3</v>
      </c>
      <c r="Q26" t="s">
        <v>4</v>
      </c>
    </row>
    <row r="27" spans="2:17">
      <c r="B27" t="s">
        <v>1</v>
      </c>
      <c r="C27">
        <v>1.5310999999999999</v>
      </c>
      <c r="D27">
        <v>2.1941999999999999</v>
      </c>
      <c r="E27">
        <v>2.4805000000000001</v>
      </c>
      <c r="F27">
        <v>2.1735000000000002</v>
      </c>
      <c r="G27">
        <v>2.1223999999999998</v>
      </c>
      <c r="H27">
        <v>2.1522000000000001</v>
      </c>
      <c r="K27" t="s">
        <v>1</v>
      </c>
      <c r="L27">
        <v>5.6119000000000003</v>
      </c>
      <c r="M27">
        <v>0.97119999999999995</v>
      </c>
      <c r="N27">
        <v>1.1998</v>
      </c>
      <c r="O27">
        <v>2.3420000000000001</v>
      </c>
      <c r="P27">
        <v>2.2105999999999999</v>
      </c>
      <c r="Q27">
        <v>3.5282</v>
      </c>
    </row>
    <row r="28" spans="2:17">
      <c r="B28" t="s">
        <v>14</v>
      </c>
      <c r="C28">
        <v>2.0327999999999999</v>
      </c>
      <c r="D28">
        <v>1.3595999999999999</v>
      </c>
      <c r="E28">
        <v>2.1722999999999999</v>
      </c>
      <c r="F28">
        <v>1.9701</v>
      </c>
      <c r="G28">
        <v>2.2237</v>
      </c>
      <c r="H28">
        <v>2.8228</v>
      </c>
      <c r="K28" t="s">
        <v>14</v>
      </c>
      <c r="L28">
        <v>5.1574</v>
      </c>
      <c r="M28">
        <v>0.91539999999999999</v>
      </c>
      <c r="N28">
        <v>1.0588</v>
      </c>
      <c r="O28">
        <v>2.1840999999999999</v>
      </c>
      <c r="P28">
        <v>2.0583999999999998</v>
      </c>
      <c r="Q28">
        <v>3.1177000000000001</v>
      </c>
    </row>
    <row r="29" spans="2:17">
      <c r="B29" t="s">
        <v>15</v>
      </c>
      <c r="C29">
        <v>1.7464999999999999</v>
      </c>
      <c r="D29">
        <v>2.6576</v>
      </c>
      <c r="E29">
        <v>3.0084</v>
      </c>
      <c r="F29">
        <v>2.6238000000000001</v>
      </c>
      <c r="G29">
        <v>2.2288000000000001</v>
      </c>
      <c r="H29">
        <v>2.4883000000000002</v>
      </c>
      <c r="K29" t="s">
        <v>15</v>
      </c>
      <c r="L29">
        <v>8.1744000000000003</v>
      </c>
      <c r="M29">
        <v>13.2258</v>
      </c>
      <c r="N29">
        <v>12.9308</v>
      </c>
      <c r="O29">
        <v>12.4994</v>
      </c>
      <c r="P29">
        <v>8.4859000000000009</v>
      </c>
      <c r="Q29">
        <v>9.4957999999999991</v>
      </c>
    </row>
    <row r="30" spans="2:17">
      <c r="B30" t="s">
        <v>2</v>
      </c>
      <c r="C30">
        <v>2.9508000000000001</v>
      </c>
      <c r="D30">
        <v>3.3351999999999999</v>
      </c>
      <c r="E30">
        <v>4.1093000000000002</v>
      </c>
      <c r="F30">
        <v>3.7414999999999998</v>
      </c>
      <c r="G30">
        <v>3.6067</v>
      </c>
      <c r="H30">
        <v>4.0000999999999998</v>
      </c>
      <c r="K30" t="s">
        <v>2</v>
      </c>
      <c r="L30">
        <v>9.3138000000000005</v>
      </c>
      <c r="M30">
        <v>7.1726999999999999</v>
      </c>
      <c r="N30">
        <v>7.4081999999999999</v>
      </c>
      <c r="O30">
        <v>8.8064999999999998</v>
      </c>
      <c r="P30">
        <v>7.3322000000000003</v>
      </c>
      <c r="Q30">
        <v>8.8734000000000002</v>
      </c>
    </row>
    <row r="31" spans="2:17">
      <c r="K31" t="s">
        <v>12</v>
      </c>
      <c r="L31">
        <v>46</v>
      </c>
      <c r="M31">
        <v>23</v>
      </c>
      <c r="N31">
        <v>27</v>
      </c>
      <c r="O31">
        <v>43</v>
      </c>
      <c r="P31">
        <v>43</v>
      </c>
      <c r="Q31">
        <v>44</v>
      </c>
    </row>
    <row r="32" spans="2:17">
      <c r="K32" t="s">
        <v>13</v>
      </c>
      <c r="L32">
        <v>195</v>
      </c>
      <c r="M32">
        <v>196</v>
      </c>
      <c r="N32">
        <v>196</v>
      </c>
      <c r="O32">
        <v>195</v>
      </c>
      <c r="P32">
        <v>194</v>
      </c>
      <c r="Q32">
        <v>195</v>
      </c>
    </row>
    <row r="35" spans="11:17">
      <c r="K35" t="s">
        <v>18</v>
      </c>
    </row>
    <row r="36" spans="11:17">
      <c r="L36">
        <v>1</v>
      </c>
      <c r="M36">
        <v>2</v>
      </c>
      <c r="N36">
        <v>3</v>
      </c>
      <c r="O36">
        <v>4</v>
      </c>
      <c r="P36">
        <v>5</v>
      </c>
      <c r="Q36">
        <v>6</v>
      </c>
    </row>
    <row r="37" spans="11:17">
      <c r="L37" t="s">
        <v>5</v>
      </c>
      <c r="M37" t="s">
        <v>6</v>
      </c>
      <c r="N37" s="1">
        <v>0.2</v>
      </c>
      <c r="O37" s="1">
        <v>0.4</v>
      </c>
      <c r="P37" t="s">
        <v>3</v>
      </c>
      <c r="Q37" t="s">
        <v>4</v>
      </c>
    </row>
    <row r="38" spans="11:17">
      <c r="K38" t="s">
        <v>1</v>
      </c>
      <c r="L38">
        <v>4.7610999999999999</v>
      </c>
      <c r="M38">
        <v>0.94830000000000003</v>
      </c>
      <c r="N38">
        <v>1.2916000000000001</v>
      </c>
      <c r="O38">
        <v>1.9124000000000001</v>
      </c>
      <c r="P38">
        <v>3.42</v>
      </c>
      <c r="Q38">
        <v>5.3806000000000003</v>
      </c>
    </row>
    <row r="39" spans="11:17">
      <c r="K39" t="s">
        <v>14</v>
      </c>
      <c r="L39">
        <v>4.4103000000000003</v>
      </c>
      <c r="M39">
        <v>0.82099999999999995</v>
      </c>
      <c r="N39">
        <v>1.1154999999999999</v>
      </c>
      <c r="O39">
        <v>1.6849000000000001</v>
      </c>
      <c r="P39">
        <v>3.2359</v>
      </c>
      <c r="Q39">
        <v>4.9158999999999997</v>
      </c>
    </row>
    <row r="40" spans="11:17">
      <c r="K40" t="s">
        <v>15</v>
      </c>
      <c r="L40">
        <v>7.3502000000000001</v>
      </c>
      <c r="M40">
        <v>13.2294</v>
      </c>
      <c r="N40">
        <v>12.9008</v>
      </c>
      <c r="O40">
        <v>12.3131</v>
      </c>
      <c r="P40">
        <v>8.1923999999999992</v>
      </c>
      <c r="Q40">
        <v>10.6313</v>
      </c>
    </row>
    <row r="41" spans="11:17">
      <c r="K41" t="s">
        <v>2</v>
      </c>
      <c r="L41">
        <v>8.4350000000000005</v>
      </c>
      <c r="M41">
        <v>6.5217999999999998</v>
      </c>
      <c r="N41">
        <v>6.8818999999999999</v>
      </c>
      <c r="O41">
        <v>7.6837</v>
      </c>
      <c r="P41">
        <v>8.0458999999999996</v>
      </c>
      <c r="Q41">
        <v>10.2834</v>
      </c>
    </row>
    <row r="42" spans="11:17">
      <c r="K42" t="s">
        <v>12</v>
      </c>
      <c r="L42">
        <v>58</v>
      </c>
      <c r="M42">
        <v>26</v>
      </c>
      <c r="N42">
        <v>35</v>
      </c>
      <c r="O42">
        <v>44</v>
      </c>
      <c r="P42">
        <v>54</v>
      </c>
      <c r="Q42">
        <v>55</v>
      </c>
    </row>
    <row r="43" spans="11:17">
      <c r="K43" t="s">
        <v>13</v>
      </c>
      <c r="L43">
        <v>183</v>
      </c>
      <c r="M43">
        <v>186</v>
      </c>
      <c r="N43">
        <v>186</v>
      </c>
      <c r="O43">
        <v>186</v>
      </c>
      <c r="P43">
        <v>179</v>
      </c>
      <c r="Q43">
        <v>186</v>
      </c>
    </row>
    <row r="46" spans="11:17">
      <c r="K46" t="s">
        <v>11</v>
      </c>
    </row>
    <row r="47" spans="11:17">
      <c r="L47">
        <v>1</v>
      </c>
      <c r="M47">
        <v>2</v>
      </c>
      <c r="N47">
        <v>3</v>
      </c>
      <c r="O47">
        <v>4</v>
      </c>
      <c r="P47">
        <v>5</v>
      </c>
      <c r="Q47">
        <v>6</v>
      </c>
    </row>
    <row r="48" spans="11:17">
      <c r="L48" t="s">
        <v>5</v>
      </c>
      <c r="M48" t="s">
        <v>6</v>
      </c>
      <c r="N48" s="1">
        <v>0.2</v>
      </c>
      <c r="O48" s="1">
        <v>0.4</v>
      </c>
      <c r="P48" t="s">
        <v>3</v>
      </c>
      <c r="Q48" t="s">
        <v>4</v>
      </c>
    </row>
    <row r="49" spans="11:17">
      <c r="K49" t="s">
        <v>1</v>
      </c>
      <c r="L49">
        <v>2.4293999999999998</v>
      </c>
      <c r="M49">
        <v>0.78990000000000005</v>
      </c>
      <c r="N49">
        <v>1.2796000000000001</v>
      </c>
      <c r="O49">
        <v>1.6845000000000001</v>
      </c>
      <c r="P49">
        <v>3.6448999999999998</v>
      </c>
      <c r="Q49">
        <v>4.6817000000000002</v>
      </c>
    </row>
    <row r="50" spans="11:17">
      <c r="K50" t="s">
        <v>14</v>
      </c>
      <c r="L50">
        <v>1.9418</v>
      </c>
      <c r="M50">
        <v>0.69320000000000004</v>
      </c>
      <c r="N50">
        <v>1.1845000000000001</v>
      </c>
      <c r="O50">
        <v>1.5462</v>
      </c>
      <c r="P50">
        <v>3.0827</v>
      </c>
      <c r="Q50">
        <v>4.1452</v>
      </c>
    </row>
    <row r="51" spans="11:17">
      <c r="K51" t="s">
        <v>15</v>
      </c>
      <c r="L51">
        <v>7.3007999999999997</v>
      </c>
      <c r="M51">
        <v>13.223800000000001</v>
      </c>
      <c r="N51">
        <v>12.6991</v>
      </c>
      <c r="O51">
        <v>11.644600000000001</v>
      </c>
      <c r="P51">
        <v>7.6928000000000001</v>
      </c>
      <c r="Q51">
        <v>9.2925000000000004</v>
      </c>
    </row>
    <row r="52" spans="11:17">
      <c r="K52" t="s">
        <v>2</v>
      </c>
      <c r="L52">
        <v>6.2981999999999996</v>
      </c>
      <c r="M52">
        <v>5.9288999999999996</v>
      </c>
      <c r="N52">
        <v>6.4051999999999998</v>
      </c>
      <c r="O52">
        <v>6.7119</v>
      </c>
      <c r="P52">
        <v>7.7179000000000002</v>
      </c>
      <c r="Q52">
        <v>9.0938999999999997</v>
      </c>
    </row>
    <row r="53" spans="11:17">
      <c r="K53" t="s">
        <v>12</v>
      </c>
      <c r="L53">
        <v>64</v>
      </c>
      <c r="M53">
        <v>24</v>
      </c>
      <c r="N53">
        <v>42</v>
      </c>
      <c r="O53">
        <v>53</v>
      </c>
      <c r="P53">
        <v>67</v>
      </c>
      <c r="Q53">
        <v>66</v>
      </c>
    </row>
    <row r="54" spans="11:17">
      <c r="K54" t="s">
        <v>13</v>
      </c>
      <c r="L54">
        <v>174</v>
      </c>
      <c r="M54">
        <v>178</v>
      </c>
      <c r="N54">
        <v>178</v>
      </c>
      <c r="O54">
        <v>177</v>
      </c>
      <c r="P54">
        <v>177</v>
      </c>
      <c r="Q54">
        <v>177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17C4-1E43-E849-AB0D-366E9D84A596}">
  <dimension ref="B2:Q54"/>
  <sheetViews>
    <sheetView workbookViewId="0">
      <selection activeCell="M33" sqref="M33"/>
    </sheetView>
  </sheetViews>
  <sheetFormatPr baseColWidth="10" defaultRowHeight="20"/>
  <sheetData>
    <row r="2" spans="2:17">
      <c r="B2" t="s">
        <v>0</v>
      </c>
      <c r="D2" t="s">
        <v>9</v>
      </c>
      <c r="K2" t="s">
        <v>10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5</v>
      </c>
      <c r="D4" t="s">
        <v>6</v>
      </c>
      <c r="E4" s="1">
        <v>0.2</v>
      </c>
      <c r="F4" s="1">
        <v>0.4</v>
      </c>
      <c r="G4" t="s">
        <v>3</v>
      </c>
      <c r="H4" t="s">
        <v>4</v>
      </c>
      <c r="L4" t="s">
        <v>5</v>
      </c>
      <c r="M4" t="s">
        <v>6</v>
      </c>
      <c r="N4" s="1">
        <v>0.2</v>
      </c>
      <c r="O4" s="1">
        <v>0.4</v>
      </c>
      <c r="P4" t="s">
        <v>3</v>
      </c>
      <c r="Q4" t="s">
        <v>4</v>
      </c>
    </row>
    <row r="5" spans="2:17">
      <c r="B5" t="s">
        <v>1</v>
      </c>
      <c r="K5" t="s">
        <v>1</v>
      </c>
      <c r="L5">
        <v>6.6177999999999999</v>
      </c>
      <c r="M5">
        <v>1.3552</v>
      </c>
      <c r="N5">
        <v>1.6898</v>
      </c>
      <c r="O5">
        <v>3.2151000000000001</v>
      </c>
      <c r="P5">
        <v>6.5346000000000002</v>
      </c>
      <c r="Q5">
        <v>5.6257000000000001</v>
      </c>
    </row>
    <row r="6" spans="2:17">
      <c r="B6" t="s">
        <v>14</v>
      </c>
      <c r="K6" t="s">
        <v>14</v>
      </c>
      <c r="L6">
        <v>5.3155000000000001</v>
      </c>
      <c r="M6">
        <v>1.5916999999999999</v>
      </c>
      <c r="N6">
        <v>1.8566</v>
      </c>
      <c r="O6">
        <v>2.8517000000000001</v>
      </c>
      <c r="P6">
        <v>4.9743000000000004</v>
      </c>
      <c r="Q6">
        <v>4.3471000000000002</v>
      </c>
    </row>
    <row r="7" spans="2:17">
      <c r="B7" t="s">
        <v>15</v>
      </c>
      <c r="K7" t="s">
        <v>15</v>
      </c>
      <c r="L7">
        <v>10.470599999999999</v>
      </c>
      <c r="M7">
        <v>13.230499999999999</v>
      </c>
      <c r="N7">
        <v>12.7758</v>
      </c>
      <c r="O7">
        <v>12.4665</v>
      </c>
      <c r="P7">
        <v>11.366099999999999</v>
      </c>
      <c r="Q7">
        <v>12.3116</v>
      </c>
    </row>
    <row r="8" spans="2:17">
      <c r="B8" t="s">
        <v>2</v>
      </c>
      <c r="K8" t="s">
        <v>2</v>
      </c>
      <c r="L8">
        <v>11.035500000000001</v>
      </c>
      <c r="M8">
        <v>9.3156999999999996</v>
      </c>
      <c r="N8">
        <v>9.5344999999999995</v>
      </c>
      <c r="O8">
        <v>10.863</v>
      </c>
      <c r="P8">
        <v>11.4337</v>
      </c>
      <c r="Q8">
        <v>11.769299999999999</v>
      </c>
    </row>
    <row r="9" spans="2:17">
      <c r="K9" t="s">
        <v>12</v>
      </c>
      <c r="L9">
        <v>28</v>
      </c>
      <c r="M9">
        <v>20</v>
      </c>
      <c r="N9">
        <v>25</v>
      </c>
      <c r="O9">
        <v>27</v>
      </c>
      <c r="P9">
        <v>28</v>
      </c>
      <c r="Q9">
        <v>27</v>
      </c>
    </row>
    <row r="10" spans="2:17">
      <c r="K10" t="s">
        <v>13</v>
      </c>
      <c r="L10">
        <v>212</v>
      </c>
      <c r="M10">
        <v>214</v>
      </c>
      <c r="N10">
        <v>213</v>
      </c>
      <c r="O10">
        <v>214</v>
      </c>
      <c r="P10">
        <v>213</v>
      </c>
      <c r="Q10">
        <v>214</v>
      </c>
    </row>
    <row r="13" spans="2:17">
      <c r="B13" t="s">
        <v>16</v>
      </c>
      <c r="K13" t="s">
        <v>19</v>
      </c>
    </row>
    <row r="14" spans="2:17"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  <c r="L14">
        <v>1</v>
      </c>
      <c r="M14">
        <v>2</v>
      </c>
      <c r="N14">
        <v>3</v>
      </c>
      <c r="O14">
        <v>4</v>
      </c>
      <c r="P14">
        <v>5</v>
      </c>
      <c r="Q14">
        <v>6</v>
      </c>
    </row>
    <row r="15" spans="2:17">
      <c r="C15" t="s">
        <v>5</v>
      </c>
      <c r="D15" t="s">
        <v>6</v>
      </c>
      <c r="E15" s="1">
        <v>0.2</v>
      </c>
      <c r="F15" s="1">
        <v>0.4</v>
      </c>
      <c r="G15" t="s">
        <v>3</v>
      </c>
      <c r="H15" t="s">
        <v>4</v>
      </c>
      <c r="L15" t="s">
        <v>5</v>
      </c>
      <c r="M15" t="s">
        <v>6</v>
      </c>
      <c r="N15" s="1">
        <v>0.2</v>
      </c>
      <c r="O15" s="1">
        <v>0.4</v>
      </c>
      <c r="P15" t="s">
        <v>3</v>
      </c>
      <c r="Q15" t="s">
        <v>4</v>
      </c>
    </row>
    <row r="16" spans="2:17">
      <c r="B16" t="s">
        <v>1</v>
      </c>
      <c r="K16" t="s">
        <v>1</v>
      </c>
      <c r="L16">
        <v>4.2964000000000002</v>
      </c>
      <c r="M16">
        <v>2.0739000000000001</v>
      </c>
      <c r="N16">
        <v>2.1345999999999998</v>
      </c>
      <c r="O16">
        <v>3.4859</v>
      </c>
      <c r="P16">
        <v>5.6375999999999999</v>
      </c>
      <c r="Q16">
        <v>5.6215999999999999</v>
      </c>
    </row>
    <row r="17" spans="2:17">
      <c r="B17" t="s">
        <v>14</v>
      </c>
      <c r="K17" t="s">
        <v>14</v>
      </c>
      <c r="L17">
        <v>4.4410999999999996</v>
      </c>
      <c r="M17">
        <v>2.1383999999999999</v>
      </c>
      <c r="N17">
        <v>2.1753</v>
      </c>
      <c r="O17">
        <v>3.3746</v>
      </c>
      <c r="P17">
        <v>5.2309000000000001</v>
      </c>
      <c r="Q17">
        <v>4.2496</v>
      </c>
    </row>
    <row r="18" spans="2:17">
      <c r="B18" t="s">
        <v>15</v>
      </c>
      <c r="K18" t="s">
        <v>15</v>
      </c>
      <c r="L18">
        <v>9.0195000000000007</v>
      </c>
      <c r="M18">
        <v>13.2155</v>
      </c>
      <c r="N18">
        <v>12.9184</v>
      </c>
      <c r="O18">
        <v>12.041499999999999</v>
      </c>
      <c r="P18">
        <v>10.7699</v>
      </c>
      <c r="Q18">
        <v>12.105600000000001</v>
      </c>
    </row>
    <row r="19" spans="2:17">
      <c r="B19" t="s">
        <v>2</v>
      </c>
      <c r="K19" t="s">
        <v>2</v>
      </c>
      <c r="L19">
        <v>9.4824999999999999</v>
      </c>
      <c r="M19">
        <v>9.3411000000000008</v>
      </c>
      <c r="N19">
        <v>9.2873000000000001</v>
      </c>
      <c r="O19">
        <v>10.4602</v>
      </c>
      <c r="P19">
        <v>10.814</v>
      </c>
      <c r="Q19">
        <v>11.358599999999999</v>
      </c>
    </row>
    <row r="20" spans="2:17">
      <c r="K20" t="s">
        <v>12</v>
      </c>
      <c r="L20">
        <v>38</v>
      </c>
      <c r="M20">
        <v>35</v>
      </c>
      <c r="N20">
        <v>36</v>
      </c>
      <c r="O20">
        <v>37</v>
      </c>
      <c r="P20">
        <v>38</v>
      </c>
      <c r="Q20">
        <v>37</v>
      </c>
    </row>
    <row r="21" spans="2:17">
      <c r="K21" t="s">
        <v>13</v>
      </c>
      <c r="L21">
        <v>200</v>
      </c>
      <c r="M21">
        <v>203</v>
      </c>
      <c r="N21">
        <v>203</v>
      </c>
      <c r="O21">
        <v>203</v>
      </c>
      <c r="P21">
        <v>201</v>
      </c>
      <c r="Q21">
        <v>203</v>
      </c>
    </row>
    <row r="24" spans="2:17">
      <c r="B24" t="s">
        <v>17</v>
      </c>
      <c r="K24" t="s">
        <v>7</v>
      </c>
    </row>
    <row r="25" spans="2:17">
      <c r="C25">
        <v>1</v>
      </c>
      <c r="D25">
        <v>2</v>
      </c>
      <c r="E25">
        <v>3</v>
      </c>
      <c r="F25">
        <v>4</v>
      </c>
      <c r="G25">
        <v>5</v>
      </c>
      <c r="H25">
        <v>6</v>
      </c>
      <c r="L25">
        <v>1</v>
      </c>
      <c r="M25">
        <v>2</v>
      </c>
      <c r="N25">
        <v>3</v>
      </c>
      <c r="O25">
        <v>4</v>
      </c>
      <c r="P25">
        <v>5</v>
      </c>
      <c r="Q25">
        <v>6</v>
      </c>
    </row>
    <row r="26" spans="2:17">
      <c r="C26" t="s">
        <v>5</v>
      </c>
      <c r="D26" t="s">
        <v>6</v>
      </c>
      <c r="E26" s="1">
        <v>0.2</v>
      </c>
      <c r="F26" s="1">
        <v>0.4</v>
      </c>
      <c r="G26" t="s">
        <v>3</v>
      </c>
      <c r="H26" t="s">
        <v>4</v>
      </c>
      <c r="L26" t="s">
        <v>5</v>
      </c>
      <c r="M26" t="s">
        <v>6</v>
      </c>
      <c r="N26" s="1">
        <v>0.2</v>
      </c>
      <c r="O26" s="1">
        <v>0.4</v>
      </c>
      <c r="P26" t="s">
        <v>3</v>
      </c>
      <c r="Q26" t="s">
        <v>4</v>
      </c>
    </row>
    <row r="27" spans="2:17">
      <c r="B27" t="s">
        <v>1</v>
      </c>
      <c r="K27" t="s">
        <v>1</v>
      </c>
      <c r="L27">
        <v>5.7817999999999996</v>
      </c>
      <c r="M27">
        <v>1.6013999999999999</v>
      </c>
      <c r="N27">
        <v>3.2456999999999998</v>
      </c>
      <c r="O27">
        <v>3.9712000000000001</v>
      </c>
      <c r="P27">
        <v>6.117</v>
      </c>
      <c r="Q27">
        <v>5.7979000000000003</v>
      </c>
    </row>
    <row r="28" spans="2:17">
      <c r="B28" t="s">
        <v>14</v>
      </c>
      <c r="K28" t="s">
        <v>14</v>
      </c>
      <c r="L28">
        <v>3.4325999999999999</v>
      </c>
      <c r="M28">
        <v>0.99099999999999999</v>
      </c>
      <c r="N28">
        <v>1.9719</v>
      </c>
      <c r="O28">
        <v>3.4001999999999999</v>
      </c>
      <c r="P28">
        <v>3.4878</v>
      </c>
      <c r="Q28">
        <v>4.7644000000000002</v>
      </c>
    </row>
    <row r="29" spans="2:17">
      <c r="B29" t="s">
        <v>15</v>
      </c>
      <c r="K29" t="s">
        <v>15</v>
      </c>
      <c r="L29">
        <v>9.3615999999999993</v>
      </c>
      <c r="M29">
        <v>13.1973</v>
      </c>
      <c r="N29">
        <v>12.8245</v>
      </c>
      <c r="O29">
        <v>12.2094</v>
      </c>
      <c r="P29">
        <v>9.3263999999999996</v>
      </c>
      <c r="Q29">
        <v>11.601100000000001</v>
      </c>
    </row>
    <row r="30" spans="2:17">
      <c r="B30" t="s">
        <v>2</v>
      </c>
      <c r="K30" t="s">
        <v>2</v>
      </c>
      <c r="L30">
        <v>9.5061999999999998</v>
      </c>
      <c r="M30">
        <v>7.3928000000000003</v>
      </c>
      <c r="N30">
        <v>9.2347999999999999</v>
      </c>
      <c r="O30">
        <v>10.1761</v>
      </c>
      <c r="P30">
        <v>9.5797000000000008</v>
      </c>
      <c r="Q30">
        <v>10.9473</v>
      </c>
    </row>
    <row r="31" spans="2:17">
      <c r="K31" t="s">
        <v>12</v>
      </c>
      <c r="L31">
        <v>45</v>
      </c>
      <c r="M31">
        <v>33</v>
      </c>
      <c r="N31">
        <v>41</v>
      </c>
      <c r="O31">
        <v>44</v>
      </c>
      <c r="P31">
        <v>45</v>
      </c>
      <c r="Q31">
        <v>46</v>
      </c>
    </row>
    <row r="32" spans="2:17">
      <c r="K32" t="s">
        <v>13</v>
      </c>
      <c r="L32">
        <v>190</v>
      </c>
      <c r="M32">
        <v>193</v>
      </c>
      <c r="N32">
        <v>193</v>
      </c>
      <c r="O32">
        <v>193</v>
      </c>
      <c r="P32">
        <v>190</v>
      </c>
      <c r="Q32">
        <v>193</v>
      </c>
    </row>
    <row r="35" spans="11:17">
      <c r="K35" t="s">
        <v>18</v>
      </c>
    </row>
    <row r="36" spans="11:17">
      <c r="L36">
        <v>1</v>
      </c>
      <c r="M36">
        <v>2</v>
      </c>
      <c r="N36">
        <v>3</v>
      </c>
      <c r="O36">
        <v>4</v>
      </c>
      <c r="P36">
        <v>5</v>
      </c>
      <c r="Q36">
        <v>6</v>
      </c>
    </row>
    <row r="37" spans="11:17">
      <c r="L37" t="s">
        <v>5</v>
      </c>
      <c r="M37" t="s">
        <v>6</v>
      </c>
      <c r="N37" s="1">
        <v>0.2</v>
      </c>
      <c r="O37" s="1">
        <v>0.4</v>
      </c>
      <c r="P37" t="s">
        <v>3</v>
      </c>
      <c r="Q37" t="s">
        <v>4</v>
      </c>
    </row>
    <row r="38" spans="11:17">
      <c r="K38" t="s">
        <v>1</v>
      </c>
      <c r="L38">
        <v>5.4204999999999997</v>
      </c>
      <c r="M38">
        <v>0.96630000000000005</v>
      </c>
      <c r="N38">
        <v>1.1948000000000001</v>
      </c>
      <c r="O38">
        <v>3.5427</v>
      </c>
      <c r="P38">
        <v>4.3666999999999998</v>
      </c>
      <c r="Q38">
        <v>4.6044</v>
      </c>
    </row>
    <row r="39" spans="11:17">
      <c r="K39" t="s">
        <v>14</v>
      </c>
      <c r="L39">
        <v>4.8651999999999997</v>
      </c>
      <c r="M39">
        <v>0.98280000000000001</v>
      </c>
      <c r="N39">
        <v>1.3232999999999999</v>
      </c>
      <c r="O39">
        <v>2.7292000000000001</v>
      </c>
      <c r="P39">
        <v>3.4702999999999999</v>
      </c>
      <c r="Q39">
        <v>3.2942999999999998</v>
      </c>
    </row>
    <row r="40" spans="11:17">
      <c r="K40" t="s">
        <v>15</v>
      </c>
      <c r="L40">
        <v>7.7209000000000003</v>
      </c>
      <c r="M40">
        <v>13.2288</v>
      </c>
      <c r="N40">
        <v>12.7157</v>
      </c>
      <c r="O40">
        <v>11.9771</v>
      </c>
      <c r="P40">
        <v>8.8501999999999992</v>
      </c>
      <c r="Q40">
        <v>10.4132</v>
      </c>
    </row>
    <row r="41" spans="11:17">
      <c r="K41" t="s">
        <v>2</v>
      </c>
      <c r="L41">
        <v>8.8497000000000003</v>
      </c>
      <c r="M41">
        <v>6.2230999999999996</v>
      </c>
      <c r="N41">
        <v>6.4756999999999998</v>
      </c>
      <c r="O41">
        <v>9.1527999999999992</v>
      </c>
      <c r="P41">
        <v>8.6409000000000002</v>
      </c>
      <c r="Q41">
        <v>9.2825000000000006</v>
      </c>
    </row>
    <row r="42" spans="11:17">
      <c r="K42" t="s">
        <v>12</v>
      </c>
      <c r="L42">
        <v>57</v>
      </c>
      <c r="M42">
        <v>33</v>
      </c>
      <c r="N42">
        <v>44</v>
      </c>
      <c r="O42">
        <v>57</v>
      </c>
      <c r="P42">
        <v>55</v>
      </c>
      <c r="Q42">
        <v>57</v>
      </c>
    </row>
    <row r="43" spans="11:17">
      <c r="K43" t="s">
        <v>13</v>
      </c>
      <c r="L43">
        <v>180</v>
      </c>
      <c r="M43">
        <v>185</v>
      </c>
      <c r="N43">
        <v>184</v>
      </c>
      <c r="O43">
        <v>184</v>
      </c>
      <c r="P43">
        <v>185</v>
      </c>
      <c r="Q43">
        <v>184</v>
      </c>
    </row>
    <row r="46" spans="11:17">
      <c r="K46" t="s">
        <v>11</v>
      </c>
    </row>
    <row r="47" spans="11:17">
      <c r="L47">
        <v>1</v>
      </c>
      <c r="M47">
        <v>2</v>
      </c>
      <c r="N47">
        <v>3</v>
      </c>
      <c r="O47">
        <v>4</v>
      </c>
      <c r="P47">
        <v>5</v>
      </c>
      <c r="Q47">
        <v>6</v>
      </c>
    </row>
    <row r="48" spans="11:17">
      <c r="L48" t="s">
        <v>5</v>
      </c>
      <c r="M48" t="s">
        <v>6</v>
      </c>
      <c r="N48" s="1">
        <v>0.2</v>
      </c>
      <c r="O48" s="1">
        <v>0.4</v>
      </c>
      <c r="P48" t="s">
        <v>3</v>
      </c>
      <c r="Q48" t="s">
        <v>4</v>
      </c>
    </row>
    <row r="49" spans="11:17">
      <c r="K49" t="s">
        <v>1</v>
      </c>
      <c r="L49">
        <v>5.9752999999999998</v>
      </c>
      <c r="M49">
        <v>1.083</v>
      </c>
      <c r="N49">
        <v>1.1623000000000001</v>
      </c>
      <c r="O49">
        <v>2.6225000000000001</v>
      </c>
      <c r="P49">
        <v>3.2290000000000001</v>
      </c>
      <c r="Q49">
        <v>4.6473000000000004</v>
      </c>
    </row>
    <row r="50" spans="11:17">
      <c r="K50" t="s">
        <v>14</v>
      </c>
      <c r="L50">
        <v>5.7526000000000002</v>
      </c>
      <c r="M50">
        <v>0.8569</v>
      </c>
      <c r="N50">
        <v>0.99829999999999997</v>
      </c>
      <c r="O50">
        <v>2.1616</v>
      </c>
      <c r="P50">
        <v>2.3304</v>
      </c>
      <c r="Q50">
        <v>4.0826000000000002</v>
      </c>
    </row>
    <row r="51" spans="11:17">
      <c r="K51" t="s">
        <v>15</v>
      </c>
      <c r="L51">
        <v>7.3109000000000002</v>
      </c>
      <c r="M51">
        <v>13.225899999999999</v>
      </c>
      <c r="N51">
        <v>12.8354</v>
      </c>
      <c r="O51">
        <v>11.848100000000001</v>
      </c>
      <c r="P51">
        <v>8.1080000000000005</v>
      </c>
      <c r="Q51">
        <v>10.219099999999999</v>
      </c>
    </row>
    <row r="52" spans="11:17">
      <c r="K52" t="s">
        <v>2</v>
      </c>
      <c r="L52">
        <v>8.7606000000000002</v>
      </c>
      <c r="M52">
        <v>6.0514999999999999</v>
      </c>
      <c r="N52">
        <v>6.1238000000000001</v>
      </c>
      <c r="O52">
        <v>7.8753000000000002</v>
      </c>
      <c r="P52">
        <v>7.2</v>
      </c>
      <c r="Q52">
        <v>9.3320000000000007</v>
      </c>
    </row>
    <row r="53" spans="11:17">
      <c r="K53" t="s">
        <v>12</v>
      </c>
      <c r="L53">
        <v>68</v>
      </c>
      <c r="M53">
        <v>34</v>
      </c>
      <c r="N53">
        <v>39</v>
      </c>
      <c r="O53">
        <v>60</v>
      </c>
      <c r="P53">
        <v>68</v>
      </c>
      <c r="Q53">
        <v>66</v>
      </c>
    </row>
    <row r="54" spans="11:17">
      <c r="K54" t="s">
        <v>13</v>
      </c>
      <c r="L54">
        <v>175</v>
      </c>
      <c r="M54">
        <v>177</v>
      </c>
      <c r="N54">
        <v>177</v>
      </c>
      <c r="O54">
        <v>177</v>
      </c>
      <c r="P54">
        <v>174</v>
      </c>
      <c r="Q54">
        <v>177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0E2A-87C7-4A40-AC74-2599F7C10E83}">
  <dimension ref="B2:Q54"/>
  <sheetViews>
    <sheetView topLeftCell="A3" workbookViewId="0">
      <selection activeCell="M33" sqref="M33"/>
    </sheetView>
  </sheetViews>
  <sheetFormatPr baseColWidth="10" defaultRowHeight="20"/>
  <sheetData>
    <row r="2" spans="2:17">
      <c r="B2" t="s">
        <v>0</v>
      </c>
      <c r="D2" t="s">
        <v>9</v>
      </c>
      <c r="K2" t="s">
        <v>10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5</v>
      </c>
      <c r="D4" t="s">
        <v>6</v>
      </c>
      <c r="E4" s="1">
        <v>0.2</v>
      </c>
      <c r="F4" s="1">
        <v>0.4</v>
      </c>
      <c r="G4" t="s">
        <v>3</v>
      </c>
      <c r="H4" t="s">
        <v>4</v>
      </c>
      <c r="L4" t="s">
        <v>5</v>
      </c>
      <c r="M4" t="s">
        <v>6</v>
      </c>
      <c r="N4" s="1">
        <v>0.2</v>
      </c>
      <c r="O4" s="1">
        <v>0.4</v>
      </c>
      <c r="P4" t="s">
        <v>3</v>
      </c>
      <c r="Q4" t="s">
        <v>4</v>
      </c>
    </row>
    <row r="5" spans="2:17">
      <c r="B5" t="s">
        <v>1</v>
      </c>
      <c r="K5" t="s">
        <v>1</v>
      </c>
      <c r="L5">
        <v>6.5975999999999999</v>
      </c>
      <c r="M5">
        <v>0.95189999999999997</v>
      </c>
      <c r="N5">
        <v>2.0390999999999999</v>
      </c>
      <c r="O5">
        <v>4.8122999999999996</v>
      </c>
      <c r="P5">
        <v>5.0510999999999999</v>
      </c>
      <c r="Q5">
        <v>5.4617000000000004</v>
      </c>
    </row>
    <row r="6" spans="2:17">
      <c r="B6" t="s">
        <v>14</v>
      </c>
      <c r="K6" t="s">
        <v>14</v>
      </c>
      <c r="L6">
        <v>5.3719000000000001</v>
      </c>
      <c r="M6">
        <v>1.0569</v>
      </c>
      <c r="N6">
        <v>1.6880999999999999</v>
      </c>
      <c r="O6">
        <v>3.7326999999999999</v>
      </c>
      <c r="P6">
        <v>5.4001000000000001</v>
      </c>
      <c r="Q6">
        <v>4.5566000000000004</v>
      </c>
    </row>
    <row r="7" spans="2:17">
      <c r="B7" t="s">
        <v>15</v>
      </c>
      <c r="K7" t="s">
        <v>15</v>
      </c>
      <c r="L7">
        <v>10.071300000000001</v>
      </c>
      <c r="M7">
        <v>13.2277</v>
      </c>
      <c r="N7">
        <v>13.071899999999999</v>
      </c>
      <c r="O7">
        <v>12.9246</v>
      </c>
      <c r="P7">
        <v>10.929399999999999</v>
      </c>
      <c r="Q7">
        <v>12.6198</v>
      </c>
    </row>
    <row r="8" spans="2:17">
      <c r="B8" t="s">
        <v>2</v>
      </c>
      <c r="K8" t="s">
        <v>2</v>
      </c>
      <c r="L8">
        <v>10.871499999999999</v>
      </c>
      <c r="M8">
        <v>8.4487000000000005</v>
      </c>
      <c r="N8">
        <v>9.7733000000000008</v>
      </c>
      <c r="O8">
        <v>11.697699999999999</v>
      </c>
      <c r="P8">
        <v>11.049300000000001</v>
      </c>
      <c r="Q8">
        <v>11.893599999999999</v>
      </c>
    </row>
    <row r="9" spans="2:17">
      <c r="K9" t="s">
        <v>12</v>
      </c>
      <c r="L9">
        <v>29</v>
      </c>
      <c r="M9">
        <v>16</v>
      </c>
      <c r="N9">
        <v>25</v>
      </c>
      <c r="O9">
        <v>29</v>
      </c>
      <c r="P9">
        <v>29</v>
      </c>
      <c r="Q9">
        <v>29</v>
      </c>
    </row>
    <row r="10" spans="2:17">
      <c r="K10" t="s">
        <v>13</v>
      </c>
      <c r="L10">
        <v>217</v>
      </c>
      <c r="M10">
        <v>217</v>
      </c>
      <c r="N10">
        <v>217</v>
      </c>
      <c r="O10">
        <v>216</v>
      </c>
      <c r="P10">
        <v>217</v>
      </c>
      <c r="Q10">
        <v>216</v>
      </c>
    </row>
    <row r="13" spans="2:17">
      <c r="B13" t="s">
        <v>16</v>
      </c>
      <c r="K13" t="s">
        <v>19</v>
      </c>
    </row>
    <row r="14" spans="2:17"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  <c r="L14">
        <v>1</v>
      </c>
      <c r="M14">
        <v>2</v>
      </c>
      <c r="N14">
        <v>3</v>
      </c>
      <c r="O14">
        <v>4</v>
      </c>
      <c r="P14">
        <v>5</v>
      </c>
      <c r="Q14">
        <v>6</v>
      </c>
    </row>
    <row r="15" spans="2:17">
      <c r="C15" t="s">
        <v>5</v>
      </c>
      <c r="D15" t="s">
        <v>6</v>
      </c>
      <c r="E15" s="1">
        <v>0.2</v>
      </c>
      <c r="F15" s="1">
        <v>0.4</v>
      </c>
      <c r="G15" t="s">
        <v>3</v>
      </c>
      <c r="H15" t="s">
        <v>4</v>
      </c>
      <c r="L15" t="s">
        <v>5</v>
      </c>
      <c r="M15" t="s">
        <v>6</v>
      </c>
      <c r="N15" s="1">
        <v>0.2</v>
      </c>
      <c r="O15" s="1">
        <v>0.4</v>
      </c>
      <c r="P15" t="s">
        <v>3</v>
      </c>
      <c r="Q15" t="s">
        <v>4</v>
      </c>
    </row>
    <row r="16" spans="2:17">
      <c r="B16" t="s">
        <v>1</v>
      </c>
      <c r="K16" t="s">
        <v>1</v>
      </c>
      <c r="L16">
        <v>3.0356999999999998</v>
      </c>
      <c r="M16">
        <v>0.63759999999999994</v>
      </c>
      <c r="N16">
        <v>1.2408999999999999</v>
      </c>
      <c r="O16">
        <v>2.3098999999999998</v>
      </c>
      <c r="P16">
        <v>4.0186000000000002</v>
      </c>
      <c r="Q16">
        <v>4.4858000000000002</v>
      </c>
    </row>
    <row r="17" spans="2:17">
      <c r="B17" t="s">
        <v>14</v>
      </c>
      <c r="K17" t="s">
        <v>14</v>
      </c>
      <c r="L17">
        <v>2.1032999999999999</v>
      </c>
      <c r="M17">
        <v>0.875</v>
      </c>
      <c r="N17">
        <v>1.1551</v>
      </c>
      <c r="O17">
        <v>1.9061999999999999</v>
      </c>
      <c r="P17">
        <v>3.0526</v>
      </c>
      <c r="Q17">
        <v>3.6901000000000002</v>
      </c>
    </row>
    <row r="18" spans="2:17">
      <c r="B18" t="s">
        <v>15</v>
      </c>
      <c r="K18" t="s">
        <v>15</v>
      </c>
      <c r="L18">
        <v>7.8432000000000004</v>
      </c>
      <c r="M18">
        <v>13.1915</v>
      </c>
      <c r="N18">
        <v>12.931800000000001</v>
      </c>
      <c r="O18">
        <v>12.641999999999999</v>
      </c>
      <c r="P18">
        <v>9.1125000000000007</v>
      </c>
      <c r="Q18">
        <v>11.1998</v>
      </c>
    </row>
    <row r="19" spans="2:17">
      <c r="B19" t="s">
        <v>2</v>
      </c>
      <c r="K19" t="s">
        <v>2</v>
      </c>
      <c r="L19">
        <v>8.0381</v>
      </c>
      <c r="M19">
        <v>6.8586</v>
      </c>
      <c r="N19">
        <v>7.7370000000000001</v>
      </c>
      <c r="O19">
        <v>9.3777000000000008</v>
      </c>
      <c r="P19">
        <v>9.2628000000000004</v>
      </c>
      <c r="Q19">
        <v>10.5296</v>
      </c>
    </row>
    <row r="20" spans="2:17">
      <c r="K20" t="s">
        <v>12</v>
      </c>
      <c r="L20">
        <v>28</v>
      </c>
      <c r="M20">
        <v>19</v>
      </c>
      <c r="N20">
        <v>27</v>
      </c>
      <c r="O20">
        <v>30</v>
      </c>
      <c r="P20">
        <v>36</v>
      </c>
      <c r="Q20">
        <v>39</v>
      </c>
    </row>
    <row r="21" spans="2:17">
      <c r="K21" t="s">
        <v>13</v>
      </c>
      <c r="L21">
        <v>206</v>
      </c>
      <c r="M21">
        <v>209</v>
      </c>
      <c r="N21">
        <v>209</v>
      </c>
      <c r="O21">
        <v>209</v>
      </c>
      <c r="P21">
        <v>206</v>
      </c>
      <c r="Q21">
        <v>208</v>
      </c>
    </row>
    <row r="24" spans="2:17">
      <c r="B24" t="s">
        <v>17</v>
      </c>
      <c r="K24" t="s">
        <v>7</v>
      </c>
    </row>
    <row r="25" spans="2:17">
      <c r="C25">
        <v>1</v>
      </c>
      <c r="D25">
        <v>2</v>
      </c>
      <c r="E25">
        <v>3</v>
      </c>
      <c r="F25">
        <v>4</v>
      </c>
      <c r="G25">
        <v>5</v>
      </c>
      <c r="H25">
        <v>6</v>
      </c>
      <c r="L25">
        <v>1</v>
      </c>
      <c r="M25">
        <v>2</v>
      </c>
      <c r="N25">
        <v>3</v>
      </c>
      <c r="O25">
        <v>4</v>
      </c>
      <c r="P25">
        <v>5</v>
      </c>
      <c r="Q25">
        <v>6</v>
      </c>
    </row>
    <row r="26" spans="2:17">
      <c r="C26" t="s">
        <v>5</v>
      </c>
      <c r="D26" t="s">
        <v>6</v>
      </c>
      <c r="E26" s="1">
        <v>0.2</v>
      </c>
      <c r="F26" s="1">
        <v>0.4</v>
      </c>
      <c r="G26" t="s">
        <v>3</v>
      </c>
      <c r="H26" t="s">
        <v>4</v>
      </c>
      <c r="L26" t="s">
        <v>5</v>
      </c>
      <c r="M26" t="s">
        <v>6</v>
      </c>
      <c r="N26" s="1">
        <v>0.2</v>
      </c>
      <c r="O26" s="1">
        <v>0.4</v>
      </c>
      <c r="P26" t="s">
        <v>3</v>
      </c>
      <c r="Q26" t="s">
        <v>4</v>
      </c>
    </row>
    <row r="27" spans="2:17">
      <c r="B27" t="s">
        <v>1</v>
      </c>
      <c r="K27" t="s">
        <v>1</v>
      </c>
      <c r="L27">
        <v>3.7682000000000002</v>
      </c>
      <c r="M27">
        <v>0.94320000000000004</v>
      </c>
      <c r="N27">
        <v>1.1648000000000001</v>
      </c>
      <c r="O27">
        <v>2.1059999999999999</v>
      </c>
      <c r="P27">
        <v>3.05</v>
      </c>
      <c r="Q27">
        <v>4.8791000000000002</v>
      </c>
    </row>
    <row r="28" spans="2:17">
      <c r="B28" t="s">
        <v>14</v>
      </c>
      <c r="K28" t="s">
        <v>14</v>
      </c>
      <c r="L28">
        <v>3.6789999999999998</v>
      </c>
      <c r="M28">
        <v>0.94230000000000003</v>
      </c>
      <c r="N28">
        <v>1.224</v>
      </c>
      <c r="O28">
        <v>2.5024000000000002</v>
      </c>
      <c r="P28">
        <v>2.8706</v>
      </c>
      <c r="Q28">
        <v>3.8792</v>
      </c>
    </row>
    <row r="29" spans="2:17">
      <c r="B29" t="s">
        <v>15</v>
      </c>
      <c r="K29" t="s">
        <v>15</v>
      </c>
      <c r="L29">
        <v>7.4480000000000004</v>
      </c>
      <c r="M29">
        <v>13.229100000000001</v>
      </c>
      <c r="N29">
        <v>13.058400000000001</v>
      </c>
      <c r="O29">
        <v>12.144399999999999</v>
      </c>
      <c r="P29">
        <v>8.2385000000000002</v>
      </c>
      <c r="Q29">
        <v>10.895200000000001</v>
      </c>
    </row>
    <row r="30" spans="2:17">
      <c r="B30" t="s">
        <v>2</v>
      </c>
      <c r="K30" t="s">
        <v>2</v>
      </c>
      <c r="L30">
        <v>8.1943000000000001</v>
      </c>
      <c r="M30">
        <v>7.0301999999999998</v>
      </c>
      <c r="N30">
        <v>7.3592000000000004</v>
      </c>
      <c r="O30">
        <v>8.8916000000000004</v>
      </c>
      <c r="P30">
        <v>8.0673999999999992</v>
      </c>
      <c r="Q30">
        <v>10.1851</v>
      </c>
    </row>
    <row r="31" spans="2:17">
      <c r="K31" t="s">
        <v>12</v>
      </c>
      <c r="L31">
        <v>45</v>
      </c>
      <c r="M31">
        <v>24</v>
      </c>
      <c r="N31">
        <v>30</v>
      </c>
      <c r="O31">
        <v>40</v>
      </c>
      <c r="P31">
        <v>45</v>
      </c>
      <c r="Q31">
        <v>48</v>
      </c>
    </row>
    <row r="32" spans="2:17">
      <c r="K32" t="s">
        <v>13</v>
      </c>
      <c r="L32">
        <v>192</v>
      </c>
      <c r="M32">
        <v>197</v>
      </c>
      <c r="N32">
        <v>197</v>
      </c>
      <c r="O32">
        <v>197</v>
      </c>
      <c r="P32">
        <v>195</v>
      </c>
      <c r="Q32">
        <v>195</v>
      </c>
    </row>
    <row r="35" spans="11:17">
      <c r="K35" t="s">
        <v>18</v>
      </c>
    </row>
    <row r="36" spans="11:17">
      <c r="L36">
        <v>1</v>
      </c>
      <c r="M36">
        <v>2</v>
      </c>
      <c r="N36">
        <v>3</v>
      </c>
      <c r="O36">
        <v>4</v>
      </c>
      <c r="P36">
        <v>5</v>
      </c>
      <c r="Q36">
        <v>6</v>
      </c>
    </row>
    <row r="37" spans="11:17">
      <c r="L37" t="s">
        <v>5</v>
      </c>
      <c r="M37" t="s">
        <v>6</v>
      </c>
      <c r="N37" s="1">
        <v>0.2</v>
      </c>
      <c r="O37" s="1">
        <v>0.4</v>
      </c>
      <c r="P37" t="s">
        <v>3</v>
      </c>
      <c r="Q37" t="s">
        <v>4</v>
      </c>
    </row>
    <row r="38" spans="11:17">
      <c r="K38" t="s">
        <v>1</v>
      </c>
      <c r="L38">
        <v>4.4711999999999996</v>
      </c>
      <c r="M38">
        <v>0.87729999999999997</v>
      </c>
      <c r="N38">
        <v>1.2952999999999999</v>
      </c>
      <c r="O38">
        <v>1.8045</v>
      </c>
      <c r="P38">
        <v>3.7507999999999999</v>
      </c>
      <c r="Q38">
        <v>2.9613999999999998</v>
      </c>
    </row>
    <row r="39" spans="11:17">
      <c r="K39" t="s">
        <v>14</v>
      </c>
      <c r="L39">
        <v>3.4599000000000002</v>
      </c>
      <c r="M39">
        <v>0.79200000000000004</v>
      </c>
      <c r="N39">
        <v>1.1100000000000001</v>
      </c>
      <c r="O39">
        <v>1.7544</v>
      </c>
      <c r="P39">
        <v>3.1560999999999999</v>
      </c>
      <c r="Q39">
        <v>2.8845999999999998</v>
      </c>
    </row>
    <row r="40" spans="11:17">
      <c r="K40" t="s">
        <v>15</v>
      </c>
      <c r="L40">
        <v>6.6719999999999997</v>
      </c>
      <c r="M40">
        <v>13.205299999999999</v>
      </c>
      <c r="N40">
        <v>12.8422</v>
      </c>
      <c r="O40">
        <v>12.4939</v>
      </c>
      <c r="P40">
        <v>7.4717000000000002</v>
      </c>
      <c r="Q40">
        <v>9.9787999999999997</v>
      </c>
    </row>
    <row r="41" spans="11:17">
      <c r="K41" t="s">
        <v>2</v>
      </c>
      <c r="L41">
        <v>7.6901000000000002</v>
      </c>
      <c r="M41">
        <v>6.2209000000000003</v>
      </c>
      <c r="N41">
        <v>6.8497000000000003</v>
      </c>
      <c r="O41">
        <v>7.5742000000000003</v>
      </c>
      <c r="P41">
        <v>7.8760000000000003</v>
      </c>
      <c r="Q41">
        <v>8.4780999999999995</v>
      </c>
    </row>
    <row r="42" spans="11:17">
      <c r="K42" t="s">
        <v>12</v>
      </c>
      <c r="L42">
        <v>58</v>
      </c>
      <c r="M42">
        <v>26</v>
      </c>
      <c r="N42">
        <v>35</v>
      </c>
      <c r="O42">
        <v>47</v>
      </c>
      <c r="P42">
        <v>55</v>
      </c>
      <c r="Q42">
        <v>49</v>
      </c>
    </row>
    <row r="43" spans="11:17">
      <c r="K43" t="s">
        <v>13</v>
      </c>
      <c r="L43">
        <v>181</v>
      </c>
      <c r="M43">
        <v>186</v>
      </c>
      <c r="N43">
        <v>186</v>
      </c>
      <c r="O43">
        <v>185</v>
      </c>
      <c r="P43">
        <v>183</v>
      </c>
      <c r="Q43">
        <v>184</v>
      </c>
    </row>
    <row r="46" spans="11:17">
      <c r="K46" t="s">
        <v>11</v>
      </c>
    </row>
    <row r="47" spans="11:17">
      <c r="L47">
        <v>1</v>
      </c>
      <c r="M47">
        <v>2</v>
      </c>
      <c r="N47">
        <v>3</v>
      </c>
      <c r="O47">
        <v>4</v>
      </c>
      <c r="P47">
        <v>5</v>
      </c>
      <c r="Q47">
        <v>6</v>
      </c>
    </row>
    <row r="48" spans="11:17">
      <c r="L48" t="s">
        <v>5</v>
      </c>
      <c r="M48" t="s">
        <v>6</v>
      </c>
      <c r="N48" s="1">
        <v>0.2</v>
      </c>
      <c r="O48" s="1">
        <v>0.4</v>
      </c>
      <c r="P48" t="s">
        <v>3</v>
      </c>
      <c r="Q48" t="s">
        <v>4</v>
      </c>
    </row>
    <row r="49" spans="11:17">
      <c r="K49" t="s">
        <v>1</v>
      </c>
      <c r="L49">
        <v>2.4049</v>
      </c>
      <c r="M49">
        <v>1.1405000000000001</v>
      </c>
      <c r="N49">
        <v>1.3714999999999999</v>
      </c>
      <c r="O49">
        <v>1.6524000000000001</v>
      </c>
      <c r="P49">
        <v>3.4342000000000001</v>
      </c>
      <c r="Q49">
        <v>3.8408000000000002</v>
      </c>
    </row>
    <row r="50" spans="11:17">
      <c r="K50" t="s">
        <v>14</v>
      </c>
      <c r="L50">
        <v>2.1456</v>
      </c>
      <c r="M50">
        <v>0.88349999999999995</v>
      </c>
      <c r="N50">
        <v>1.0903</v>
      </c>
      <c r="O50">
        <v>1.3915</v>
      </c>
      <c r="P50">
        <v>3.0716999999999999</v>
      </c>
      <c r="Q50">
        <v>3.4874000000000001</v>
      </c>
    </row>
    <row r="51" spans="11:17">
      <c r="K51" t="s">
        <v>15</v>
      </c>
      <c r="L51">
        <v>6.3201000000000001</v>
      </c>
      <c r="M51">
        <v>13.119899999999999</v>
      </c>
      <c r="N51">
        <v>12.858499999999999</v>
      </c>
      <c r="O51">
        <v>11.8409</v>
      </c>
      <c r="P51">
        <v>7.6398999999999999</v>
      </c>
      <c r="Q51">
        <v>9.0838999999999999</v>
      </c>
    </row>
    <row r="52" spans="11:17">
      <c r="K52" t="s">
        <v>2</v>
      </c>
      <c r="L52">
        <v>6.1851000000000003</v>
      </c>
      <c r="M52">
        <v>6.2606999999999999</v>
      </c>
      <c r="N52">
        <v>6.5106000000000002</v>
      </c>
      <c r="O52">
        <v>6.7618999999999998</v>
      </c>
      <c r="P52">
        <v>7.5353000000000003</v>
      </c>
      <c r="Q52">
        <v>8.5061999999999998</v>
      </c>
    </row>
    <row r="53" spans="11:17">
      <c r="K53" t="s">
        <v>12</v>
      </c>
      <c r="L53">
        <v>54</v>
      </c>
      <c r="M53">
        <v>32</v>
      </c>
      <c r="N53">
        <v>39</v>
      </c>
      <c r="O53">
        <v>47</v>
      </c>
      <c r="P53">
        <v>63</v>
      </c>
      <c r="Q53">
        <v>63</v>
      </c>
    </row>
    <row r="54" spans="11:17">
      <c r="K54" t="s">
        <v>13</v>
      </c>
      <c r="L54">
        <v>177</v>
      </c>
      <c r="M54">
        <v>178</v>
      </c>
      <c r="N54">
        <v>178</v>
      </c>
      <c r="O54">
        <v>178</v>
      </c>
      <c r="P54">
        <v>172</v>
      </c>
      <c r="Q54">
        <v>178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4BF1-0ED9-B647-A6CB-E84837A96431}">
  <dimension ref="B2:AB80"/>
  <sheetViews>
    <sheetView tabSelected="1" topLeftCell="Q58" zoomScale="82" workbookViewId="0">
      <selection activeCell="Y81" sqref="Y81"/>
    </sheetView>
  </sheetViews>
  <sheetFormatPr baseColWidth="10" defaultRowHeight="20"/>
  <cols>
    <col min="23" max="23" width="12.85546875" customWidth="1"/>
  </cols>
  <sheetData>
    <row r="2" spans="2:27">
      <c r="B2" t="s">
        <v>0</v>
      </c>
      <c r="K2" t="s">
        <v>10</v>
      </c>
    </row>
    <row r="3" spans="2:2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27">
      <c r="C4" t="s">
        <v>5</v>
      </c>
      <c r="D4" t="s">
        <v>6</v>
      </c>
      <c r="E4" s="1">
        <v>0.2</v>
      </c>
      <c r="F4" s="1">
        <v>0.4</v>
      </c>
      <c r="G4" t="s">
        <v>3</v>
      </c>
      <c r="H4" t="s">
        <v>4</v>
      </c>
      <c r="L4" t="s">
        <v>5</v>
      </c>
      <c r="M4" t="s">
        <v>6</v>
      </c>
      <c r="N4" s="1">
        <v>0.2</v>
      </c>
      <c r="O4" s="1">
        <v>0.4</v>
      </c>
      <c r="P4" t="s">
        <v>3</v>
      </c>
      <c r="Q4" t="s">
        <v>4</v>
      </c>
      <c r="X4">
        <v>180</v>
      </c>
      <c r="Y4">
        <v>300</v>
      </c>
      <c r="Z4">
        <v>360</v>
      </c>
      <c r="AA4">
        <v>420</v>
      </c>
    </row>
    <row r="5" spans="2:27">
      <c r="B5" t="s">
        <v>1</v>
      </c>
      <c r="C5">
        <f>ROUND(AVERAGE(seed1!C5,seed2!C5,seed3!C5,seed4!C5,seed5!C5),4)</f>
        <v>5.0141</v>
      </c>
      <c r="D5">
        <f>ROUND(AVERAGE(seed1!D5,seed2!D5,seed3!D5,seed4!D5,seed5!D5),4)</f>
        <v>5.1676000000000002</v>
      </c>
      <c r="E5">
        <f>ROUND(AVERAGE(seed1!E5,seed2!E5,seed3!E5,seed4!E5,seed5!E5),4)</f>
        <v>5.5869999999999997</v>
      </c>
      <c r="F5">
        <f>ROUND(AVERAGE(seed1!F5,seed2!F5,seed3!F5,seed4!F5,seed5!F5),4)</f>
        <v>4.5355999999999996</v>
      </c>
      <c r="G5">
        <f>ROUND(AVERAGE(seed1!G5,seed2!G5,seed3!G5,seed4!G5,seed5!G5),4)</f>
        <v>5.6414</v>
      </c>
      <c r="H5">
        <f>ROUND(AVERAGE(seed1!H5,seed2!H5,seed3!H5,seed4!H5,seed5!H5),4)</f>
        <v>5.7118000000000002</v>
      </c>
      <c r="K5" t="s">
        <v>1</v>
      </c>
      <c r="L5">
        <f>ROUND(AVERAGE(seed1!L5,seed2!L5,seed3!L5,seed4!L5,seed5!L5),4)</f>
        <v>6.3352000000000004</v>
      </c>
      <c r="M5">
        <f>ROUND(AVERAGE(seed1!M5,seed2!M5,seed3!M5,seed4!M5,seed5!M5),4)</f>
        <v>1.2465999999999999</v>
      </c>
      <c r="N5">
        <f>ROUND(AVERAGE(seed1!N5,seed2!N5,seed3!N5,seed4!N5,seed5!N5),4)</f>
        <v>2.1850999999999998</v>
      </c>
      <c r="O5">
        <f>ROUND(AVERAGE(seed1!O5,seed2!O5,seed3!O5,seed4!O5,seed5!O5),4)</f>
        <v>4.1662999999999997</v>
      </c>
      <c r="P5">
        <f>ROUND(AVERAGE(seed1!P5,seed2!P5,seed3!P5,seed4!P5,seed5!P5),4)</f>
        <v>5.5818000000000003</v>
      </c>
      <c r="Q5">
        <f>ROUND(AVERAGE(seed1!Q5,seed2!Q5,seed3!Q5,seed4!Q5,seed5!Q5),4)</f>
        <v>5.4078999999999997</v>
      </c>
      <c r="W5" t="s">
        <v>20</v>
      </c>
      <c r="X5">
        <v>11.307399999999999</v>
      </c>
      <c r="Y5">
        <v>9.2329000000000008</v>
      </c>
      <c r="Z5">
        <v>6.9718999999999998</v>
      </c>
      <c r="AA5">
        <v>6.8955000000000002</v>
      </c>
    </row>
    <row r="6" spans="2:27">
      <c r="B6" t="s">
        <v>14</v>
      </c>
      <c r="C6">
        <f>ROUND(AVERAGE(seed1!C6,seed2!C6,seed3!C6,seed4!C6,seed5!C6),4)</f>
        <v>5.5176999999999996</v>
      </c>
      <c r="D6">
        <f>ROUND(AVERAGE(seed1!D6,seed2!D6,seed3!D6,seed4!D6,seed5!D6),4)</f>
        <v>4.0210999999999997</v>
      </c>
      <c r="E6">
        <f>ROUND(AVERAGE(seed1!E6,seed2!E6,seed3!E6,seed4!E6,seed5!E6),4)</f>
        <v>4.9473000000000003</v>
      </c>
      <c r="F6">
        <f>ROUND(AVERAGE(seed1!F6,seed2!F6,seed3!F6,seed4!F6,seed5!F6),4)</f>
        <v>3.6069</v>
      </c>
      <c r="G6">
        <f>ROUND(AVERAGE(seed1!G6,seed2!G6,seed3!G6,seed4!G6,seed5!G6),4)</f>
        <v>5.0274999999999999</v>
      </c>
      <c r="H6">
        <f>ROUND(AVERAGE(seed1!H6,seed2!H6,seed3!H6,seed4!H6,seed5!H6),4)</f>
        <v>5.3460999999999999</v>
      </c>
      <c r="K6" t="s">
        <v>14</v>
      </c>
      <c r="L6">
        <f>ROUND(AVERAGE(seed1!L6,seed2!L6,seed3!L6,seed4!L6,seed5!L6),4)</f>
        <v>5.3634000000000004</v>
      </c>
      <c r="M6">
        <f>ROUND(AVERAGE(seed1!M6,seed2!M6,seed3!M6,seed4!M6,seed5!M6),4)</f>
        <v>1.2218</v>
      </c>
      <c r="N6">
        <f>ROUND(AVERAGE(seed1!N6,seed2!N6,seed3!N6,seed4!N6,seed5!N6),4)</f>
        <v>1.9349000000000001</v>
      </c>
      <c r="O6">
        <f>ROUND(AVERAGE(seed1!O6,seed2!O6,seed3!O6,seed4!O6,seed5!O6),4)</f>
        <v>3.1564999999999999</v>
      </c>
      <c r="P6">
        <f>ROUND(AVERAGE(seed1!P6,seed2!P6,seed3!P6,seed4!P6,seed5!P6),4)</f>
        <v>4.6466000000000003</v>
      </c>
      <c r="Q6">
        <f>ROUND(AVERAGE(seed1!Q6,seed2!Q6,seed3!Q6,seed4!Q6,seed5!Q6),4)</f>
        <v>4.3086000000000002</v>
      </c>
      <c r="W6" t="s">
        <v>21</v>
      </c>
      <c r="X6">
        <v>8.5501000000000005</v>
      </c>
      <c r="Y6">
        <v>7.3219000000000003</v>
      </c>
      <c r="Z6">
        <v>6.2888000000000002</v>
      </c>
      <c r="AA6">
        <v>5.3544</v>
      </c>
    </row>
    <row r="7" spans="2:27">
      <c r="B7" t="s">
        <v>15</v>
      </c>
      <c r="C7">
        <f>ROUND(AVERAGE(seed1!C7,seed2!C7,seed3!C7,seed4!C7,seed5!C7),4)</f>
        <v>5.3369</v>
      </c>
      <c r="D7">
        <f>ROUND(AVERAGE(seed1!D7,seed2!D7,seed3!D7,seed4!D7,seed5!D7),4)</f>
        <v>7.8710000000000004</v>
      </c>
      <c r="E7">
        <f>ROUND(AVERAGE(seed1!E7,seed2!E7,seed3!E7,seed4!E7,seed5!E7),4)</f>
        <v>8.3345000000000002</v>
      </c>
      <c r="F7">
        <f>ROUND(AVERAGE(seed1!F7,seed2!F7,seed3!F7,seed4!F7,seed5!F7),4)</f>
        <v>6.1604000000000001</v>
      </c>
      <c r="G7">
        <f>ROUND(AVERAGE(seed1!G7,seed2!G7,seed3!G7,seed4!G7,seed5!G7),4)</f>
        <v>6.5090000000000003</v>
      </c>
      <c r="H7">
        <f>ROUND(AVERAGE(seed1!H7,seed2!H7,seed3!H7,seed4!H7,seed5!H7),4)</f>
        <v>7.1756000000000002</v>
      </c>
      <c r="K7" t="s">
        <v>15</v>
      </c>
      <c r="L7">
        <f>ROUND(AVERAGE(seed1!L7,seed2!L7,seed3!L7,seed4!L7,seed5!L7),4)</f>
        <v>10.6152</v>
      </c>
      <c r="M7">
        <f>ROUND(AVERAGE(seed1!M7,seed2!M7,seed3!M7,seed4!M7,seed5!M7),4)</f>
        <v>13.163399999999999</v>
      </c>
      <c r="N7">
        <f>ROUND(AVERAGE(seed1!N7,seed2!N7,seed3!N7,seed4!N7,seed5!N7),4)</f>
        <v>12.971299999999999</v>
      </c>
      <c r="O7">
        <f>ROUND(AVERAGE(seed1!O7,seed2!O7,seed3!O7,seed4!O7,seed5!O7),4)</f>
        <v>12.627599999999999</v>
      </c>
      <c r="P7">
        <f>ROUND(AVERAGE(seed1!P7,seed2!P7,seed3!P7,seed4!P7,seed5!P7),4)</f>
        <v>11.064299999999999</v>
      </c>
      <c r="Q7">
        <f>ROUND(AVERAGE(seed1!Q7,seed2!Q7,seed3!Q7,seed4!Q7,seed5!Q7),4)</f>
        <v>12.335100000000001</v>
      </c>
      <c r="W7" t="s">
        <v>22</v>
      </c>
      <c r="X7">
        <v>10.105700000000001</v>
      </c>
      <c r="Y7">
        <v>7.7754000000000003</v>
      </c>
      <c r="Z7">
        <v>6.9744000000000002</v>
      </c>
      <c r="AA7">
        <v>6.2558999999999996</v>
      </c>
    </row>
    <row r="8" spans="2:27">
      <c r="B8" t="s">
        <v>2</v>
      </c>
      <c r="C8">
        <f>ROUND(AVERAGE(seed1!C8,seed2!C8,seed3!C8,seed4!C8,seed5!C8),4)</f>
        <v>7.1925999999999997</v>
      </c>
      <c r="D8">
        <f>ROUND(AVERAGE(seed1!D8,seed2!D8,seed3!D8,seed4!D8,seed5!D8),4)</f>
        <v>7.2161999999999997</v>
      </c>
      <c r="E8">
        <f>ROUND(AVERAGE(seed1!E8,seed2!E8,seed3!E8,seed4!E8,seed5!E8),4)</f>
        <v>7.8628999999999998</v>
      </c>
      <c r="F8">
        <f>ROUND(AVERAGE(seed1!F8,seed2!F8,seed3!F8,seed4!F8,seed5!F8),4)</f>
        <v>6.1673</v>
      </c>
      <c r="G8">
        <f>ROUND(AVERAGE(seed1!G8,seed2!G8,seed3!G8,seed4!G8,seed5!G8),4)</f>
        <v>7.5537999999999998</v>
      </c>
      <c r="H8">
        <f>ROUND(AVERAGE(seed1!H8,seed2!H8,seed3!H8,seed4!H8,seed5!H8),4)</f>
        <v>7.8221999999999996</v>
      </c>
      <c r="K8" t="s">
        <v>2</v>
      </c>
      <c r="L8">
        <f>ROUND(AVERAGE(seed1!L8,seed2!L8,seed3!L8,seed4!L8,seed5!L8),4)</f>
        <v>11.165800000000001</v>
      </c>
      <c r="M8">
        <f>ROUND(AVERAGE(seed1!M8,seed2!M8,seed3!M8,seed4!M8,seed5!M8),4)</f>
        <v>8.6829000000000001</v>
      </c>
      <c r="N8">
        <f>ROUND(AVERAGE(seed1!N8,seed2!N8,seed3!N8,seed4!N8,seed5!N8),4)</f>
        <v>9.9250000000000007</v>
      </c>
      <c r="O8">
        <f>ROUND(AVERAGE(seed1!O8,seed2!O8,seed3!O8,seed4!O8,seed5!O8),4)</f>
        <v>11.271699999999999</v>
      </c>
      <c r="P8">
        <f>ROUND(AVERAGE(seed1!P8,seed2!P8,seed3!P8,seed4!P8,seed5!P8),4)</f>
        <v>11.1541</v>
      </c>
      <c r="Q8">
        <f>ROUND(AVERAGE(seed1!Q8,seed2!Q8,seed3!Q8,seed4!Q8,seed5!Q8),4)</f>
        <v>11.716100000000001</v>
      </c>
      <c r="W8" t="s">
        <v>23</v>
      </c>
      <c r="X8">
        <v>11.095800000000001</v>
      </c>
      <c r="Y8">
        <v>8.7157999999999998</v>
      </c>
      <c r="Z8">
        <v>8.0670000000000002</v>
      </c>
      <c r="AA8">
        <v>7.6181000000000001</v>
      </c>
    </row>
    <row r="9" spans="2:27">
      <c r="K9" t="s">
        <v>12</v>
      </c>
      <c r="L9">
        <f>ROUND(AVERAGE(seed1!L9,seed2!L9,seed3!L9,seed4!L9,seed5!L9),1)</f>
        <v>28</v>
      </c>
      <c r="M9">
        <f>ROUND(AVERAGE(seed1!M9,seed2!M9,seed3!M9,seed4!M9,seed5!M9),1)</f>
        <v>19.2</v>
      </c>
      <c r="N9">
        <f>ROUND(AVERAGE(seed1!N9,seed2!N9,seed3!N9,seed4!N9,seed5!N9),1)</f>
        <v>24.6</v>
      </c>
      <c r="O9">
        <f>ROUND(AVERAGE(seed1!O9,seed2!O9,seed3!O9,seed4!O9,seed5!O9),1)</f>
        <v>27.8</v>
      </c>
      <c r="P9">
        <f>ROUND(AVERAGE(seed1!P9,seed2!P9,seed3!P9,seed4!P9,seed5!P9),1)</f>
        <v>28.2</v>
      </c>
      <c r="Q9">
        <f>ROUND(AVERAGE(seed1!Q9,seed2!Q9,seed3!Q9,seed4!Q9,seed5!Q9),1)</f>
        <v>27.8</v>
      </c>
      <c r="S9">
        <v>30</v>
      </c>
      <c r="W9" t="s">
        <v>24</v>
      </c>
      <c r="X9">
        <v>11.639099999999999</v>
      </c>
      <c r="Y9">
        <v>9.9254999999999995</v>
      </c>
      <c r="Z9">
        <v>9.5124999999999993</v>
      </c>
      <c r="AA9">
        <v>8.8747000000000007</v>
      </c>
    </row>
    <row r="10" spans="2:27">
      <c r="B10" t="s">
        <v>8</v>
      </c>
      <c r="C10">
        <f>ROUND(AVERAGE(C5:C7),4)</f>
        <v>5.2896000000000001</v>
      </c>
      <c r="D10">
        <f t="shared" ref="D10:H10" si="0">ROUND(AVERAGE(D5:D7),4)</f>
        <v>5.6866000000000003</v>
      </c>
      <c r="E10">
        <f t="shared" si="0"/>
        <v>6.2896000000000001</v>
      </c>
      <c r="F10">
        <f t="shared" si="0"/>
        <v>4.7675999999999998</v>
      </c>
      <c r="G10">
        <f t="shared" si="0"/>
        <v>5.726</v>
      </c>
      <c r="H10">
        <f t="shared" si="0"/>
        <v>6.0777999999999999</v>
      </c>
      <c r="K10" t="s">
        <v>13</v>
      </c>
      <c r="L10">
        <f>ROUND(AVERAGE(seed1!L10,seed2!L10,seed3!L10,seed4!L10,seed5!L10),1)</f>
        <v>214</v>
      </c>
      <c r="M10">
        <f>ROUND(AVERAGE(seed1!M10,seed2!M10,seed3!M10,seed4!M10,seed5!M10),1)</f>
        <v>214.8</v>
      </c>
      <c r="N10">
        <f>ROUND(AVERAGE(seed1!N10,seed2!N10,seed3!N10,seed4!N10,seed5!N10),1)</f>
        <v>214.6</v>
      </c>
      <c r="O10">
        <f>ROUND(AVERAGE(seed1!O10,seed2!O10,seed3!O10,seed4!O10,seed5!O10),1)</f>
        <v>214.4</v>
      </c>
      <c r="P10">
        <f>ROUND(AVERAGE(seed1!P10,seed2!P10,seed3!P10,seed4!P10,seed5!P10),1)</f>
        <v>214</v>
      </c>
      <c r="Q10">
        <f>ROUND(AVERAGE(seed1!Q10,seed2!Q10,seed3!Q10,seed4!Q10,seed5!Q10),1)</f>
        <v>214.4</v>
      </c>
      <c r="S10">
        <v>220</v>
      </c>
      <c r="W10" t="s">
        <v>20</v>
      </c>
      <c r="X10">
        <v>27.7</v>
      </c>
      <c r="Y10">
        <v>46.3</v>
      </c>
      <c r="Z10">
        <v>49.3</v>
      </c>
      <c r="AA10">
        <v>65.7</v>
      </c>
    </row>
    <row r="11" spans="2:27">
      <c r="K11" t="s">
        <v>8</v>
      </c>
      <c r="L11">
        <f>ROUND(AVERAGE(L5:L7),4)</f>
        <v>7.4379</v>
      </c>
      <c r="M11">
        <f t="shared" ref="M11:Q11" si="1">ROUND(AVERAGE(M5:M7),4)</f>
        <v>5.2106000000000003</v>
      </c>
      <c r="N11">
        <f t="shared" si="1"/>
        <v>5.6970999999999998</v>
      </c>
      <c r="O11">
        <f t="shared" si="1"/>
        <v>6.6501000000000001</v>
      </c>
      <c r="P11">
        <f t="shared" si="1"/>
        <v>7.0975999999999999</v>
      </c>
      <c r="Q11">
        <f t="shared" si="1"/>
        <v>7.3505000000000003</v>
      </c>
      <c r="W11" t="s">
        <v>21</v>
      </c>
      <c r="X11">
        <v>20</v>
      </c>
      <c r="Y11">
        <v>28.7</v>
      </c>
      <c r="Z11">
        <v>27</v>
      </c>
      <c r="AA11">
        <v>23.7</v>
      </c>
    </row>
    <row r="12" spans="2:27">
      <c r="W12" t="s">
        <v>22</v>
      </c>
      <c r="X12">
        <v>24.3</v>
      </c>
      <c r="Y12">
        <v>33.700000000000003</v>
      </c>
      <c r="Z12">
        <v>38.700000000000003</v>
      </c>
      <c r="AA12">
        <v>39.700000000000003</v>
      </c>
    </row>
    <row r="13" spans="2:27">
      <c r="B13" t="s">
        <v>16</v>
      </c>
      <c r="K13" t="s">
        <v>19</v>
      </c>
      <c r="W13" t="s">
        <v>23</v>
      </c>
      <c r="X13">
        <v>28</v>
      </c>
      <c r="Y13">
        <v>45.7</v>
      </c>
      <c r="Z13">
        <v>54.3</v>
      </c>
      <c r="AA13">
        <v>62</v>
      </c>
    </row>
    <row r="14" spans="2:27"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  <c r="L14">
        <v>1</v>
      </c>
      <c r="M14">
        <v>2</v>
      </c>
      <c r="N14">
        <v>3</v>
      </c>
      <c r="O14">
        <v>4</v>
      </c>
      <c r="P14">
        <v>5</v>
      </c>
      <c r="Q14">
        <v>6</v>
      </c>
      <c r="W14" t="s">
        <v>24</v>
      </c>
      <c r="X14">
        <v>27.7</v>
      </c>
      <c r="Y14">
        <v>46.3</v>
      </c>
      <c r="Z14">
        <v>56</v>
      </c>
      <c r="AA14">
        <v>64.3</v>
      </c>
    </row>
    <row r="15" spans="2:27">
      <c r="C15" t="s">
        <v>5</v>
      </c>
      <c r="D15" t="s">
        <v>6</v>
      </c>
      <c r="E15" s="1">
        <v>0.2</v>
      </c>
      <c r="F15" s="1">
        <v>0.4</v>
      </c>
      <c r="G15" t="s">
        <v>3</v>
      </c>
      <c r="H15" t="s">
        <v>4</v>
      </c>
      <c r="L15" t="s">
        <v>5</v>
      </c>
      <c r="M15" t="s">
        <v>6</v>
      </c>
      <c r="N15" s="1">
        <v>0.2</v>
      </c>
      <c r="O15" s="1">
        <v>0.4</v>
      </c>
      <c r="P15" t="s">
        <v>3</v>
      </c>
      <c r="Q15" t="s">
        <v>4</v>
      </c>
    </row>
    <row r="16" spans="2:27">
      <c r="B16" t="s">
        <v>1</v>
      </c>
      <c r="C16">
        <f>ROUND(AVERAGE(seed1!C16,seed2!C16,seed3!C16,seed4!C16,seed5!C16),4)</f>
        <v>2.3552</v>
      </c>
      <c r="D16">
        <f>ROUND(AVERAGE(seed1!D16,seed2!D16,seed3!D16,seed4!D16,seed5!D16),4)</f>
        <v>3.6726000000000001</v>
      </c>
      <c r="E16">
        <f>ROUND(AVERAGE(seed1!E16,seed2!E16,seed3!E16,seed4!E16,seed5!E16),4)</f>
        <v>4.5023</v>
      </c>
      <c r="F16">
        <f>ROUND(AVERAGE(seed1!F16,seed2!F16,seed3!F16,seed4!F16,seed5!F16),4)</f>
        <v>4.4153000000000002</v>
      </c>
      <c r="G16">
        <f>ROUND(AVERAGE(seed1!G16,seed2!G16,seed3!G16,seed4!G16,seed5!G16),4)</f>
        <v>3.6724999999999999</v>
      </c>
      <c r="H16">
        <f>ROUND(AVERAGE(seed1!H16,seed2!H16,seed3!H16,seed4!H16,seed5!H16),4)</f>
        <v>4.1683000000000003</v>
      </c>
      <c r="K16" t="s">
        <v>1</v>
      </c>
      <c r="L16">
        <f>ROUND(AVERAGE(seed1!L16,seed2!L16,seed3!L16,seed4!L16,seed5!L16),4)</f>
        <v>4.6296999999999997</v>
      </c>
      <c r="M16">
        <f>ROUND(AVERAGE(seed1!M16,seed2!M16,seed3!M16,seed4!M16,seed5!M16),4)</f>
        <v>1.1748000000000001</v>
      </c>
      <c r="N16">
        <f>ROUND(AVERAGE(seed1!N16,seed2!N16,seed3!N16,seed4!N16,seed5!N16),4)</f>
        <v>1.9327000000000001</v>
      </c>
      <c r="O16">
        <f>ROUND(AVERAGE(seed1!O16,seed2!O16,seed3!O16,seed4!O16,seed5!O16),4)</f>
        <v>2.9881000000000002</v>
      </c>
      <c r="P16">
        <f>ROUND(AVERAGE(seed1!P16,seed2!P16,seed3!P16,seed4!P16,seed5!P16),4)</f>
        <v>4.6924000000000001</v>
      </c>
      <c r="Q16">
        <f>ROUND(AVERAGE(seed1!Q16,seed2!Q16,seed3!Q16,seed4!Q16,seed5!Q16),4)</f>
        <v>5.0788000000000002</v>
      </c>
    </row>
    <row r="17" spans="2:27">
      <c r="B17" t="s">
        <v>14</v>
      </c>
      <c r="C17">
        <f>ROUND(AVERAGE(seed1!C17,seed2!C17,seed3!C17,seed4!C17,seed5!C17),4)</f>
        <v>3.5169999999999999</v>
      </c>
      <c r="D17">
        <f>ROUND(AVERAGE(seed1!D17,seed2!D17,seed3!D17,seed4!D17,seed5!D17),4)</f>
        <v>2.7263000000000002</v>
      </c>
      <c r="E17">
        <f>ROUND(AVERAGE(seed1!E17,seed2!E17,seed3!E17,seed4!E17,seed5!E17),4)</f>
        <v>3.4626999999999999</v>
      </c>
      <c r="F17">
        <f>ROUND(AVERAGE(seed1!F17,seed2!F17,seed3!F17,seed4!F17,seed5!F17),4)</f>
        <v>3.8485</v>
      </c>
      <c r="G17">
        <f>ROUND(AVERAGE(seed1!G17,seed2!G17,seed3!G17,seed4!G17,seed5!G17),4)</f>
        <v>3.4043999999999999</v>
      </c>
      <c r="H17">
        <f>ROUND(AVERAGE(seed1!H17,seed2!H17,seed3!H17,seed4!H17,seed5!H17),4)</f>
        <v>4.2432999999999996</v>
      </c>
      <c r="K17" t="s">
        <v>14</v>
      </c>
      <c r="L17">
        <f>ROUND(AVERAGE(seed1!L17,seed2!L17,seed3!L17,seed4!L17,seed5!L17),4)</f>
        <v>3.8698000000000001</v>
      </c>
      <c r="M17">
        <f>ROUND(AVERAGE(seed1!M17,seed2!M17,seed3!M17,seed4!M17,seed5!M17),4)</f>
        <v>1.2632000000000001</v>
      </c>
      <c r="N17">
        <f>ROUND(AVERAGE(seed1!N17,seed2!N17,seed3!N17,seed4!N17,seed5!N17),4)</f>
        <v>1.8717999999999999</v>
      </c>
      <c r="O17">
        <f>ROUND(AVERAGE(seed1!O17,seed2!O17,seed3!O17,seed4!O17,seed5!O17),4)</f>
        <v>2.8163999999999998</v>
      </c>
      <c r="P17">
        <f>ROUND(AVERAGE(seed1!P17,seed2!P17,seed3!P17,seed4!P17,seed5!P17),4)</f>
        <v>4.4436</v>
      </c>
      <c r="Q17">
        <f>ROUND(AVERAGE(seed1!Q17,seed2!Q17,seed3!Q17,seed4!Q17,seed5!Q17),4)</f>
        <v>4.5117000000000003</v>
      </c>
    </row>
    <row r="18" spans="2:27">
      <c r="B18" t="s">
        <v>15</v>
      </c>
      <c r="C18">
        <f>ROUND(AVERAGE(seed1!C18,seed2!C18,seed3!C18,seed4!C18,seed5!C18),4)</f>
        <v>2.1511</v>
      </c>
      <c r="D18">
        <f>ROUND(AVERAGE(seed1!D18,seed2!D18,seed3!D18,seed4!D18,seed5!D18),4)</f>
        <v>4.8586</v>
      </c>
      <c r="E18">
        <f>ROUND(AVERAGE(seed1!E18,seed2!E18,seed3!E18,seed4!E18,seed5!E18),4)</f>
        <v>5.7111999999999998</v>
      </c>
      <c r="F18">
        <f>ROUND(AVERAGE(seed1!F18,seed2!F18,seed3!F18,seed4!F18,seed5!F18),4)</f>
        <v>5.4158999999999997</v>
      </c>
      <c r="G18">
        <f>ROUND(AVERAGE(seed1!G18,seed2!G18,seed3!G18,seed4!G18,seed5!G18),4)</f>
        <v>4.3411999999999997</v>
      </c>
      <c r="H18">
        <f>ROUND(AVERAGE(seed1!H18,seed2!H18,seed3!H18,seed4!H18,seed5!H18),4)</f>
        <v>4.8141999999999996</v>
      </c>
      <c r="K18" t="s">
        <v>15</v>
      </c>
      <c r="L18">
        <f>ROUND(AVERAGE(seed1!L18,seed2!L18,seed3!L18,seed4!L18,seed5!L18),4)</f>
        <v>9.1079000000000008</v>
      </c>
      <c r="M18">
        <f>ROUND(AVERAGE(seed1!M18,seed2!M18,seed3!M18,seed4!M18,seed5!M18),4)</f>
        <v>13.1877</v>
      </c>
      <c r="N18">
        <f>ROUND(AVERAGE(seed1!N18,seed2!N18,seed3!N18,seed4!N18,seed5!N18),4)</f>
        <v>12.916399999999999</v>
      </c>
      <c r="O18">
        <f>ROUND(AVERAGE(seed1!O18,seed2!O18,seed3!O18,seed4!O18,seed5!O18),4)</f>
        <v>12.4976</v>
      </c>
      <c r="P18">
        <f>ROUND(AVERAGE(seed1!P18,seed2!P18,seed3!P18,seed4!P18,seed5!P18),4)</f>
        <v>10.140599999999999</v>
      </c>
      <c r="Q18">
        <f>ROUND(AVERAGE(seed1!Q18,seed2!Q18,seed3!Q18,seed4!Q18,seed5!Q18),4)</f>
        <v>11.7357</v>
      </c>
      <c r="Y18">
        <f t="shared" ref="Y18:Z18" si="2">(Y9-Y8)/((Y9+Y8)/2)</f>
        <v>0.12978708566462635</v>
      </c>
      <c r="Z18">
        <f t="shared" si="2"/>
        <v>0.16445291390540109</v>
      </c>
      <c r="AA18">
        <f>(AA9-AA8)/((AA9+AA8)/2)</f>
        <v>0.15238164532402024</v>
      </c>
    </row>
    <row r="19" spans="2:27">
      <c r="B19" t="s">
        <v>2</v>
      </c>
      <c r="C19">
        <f>ROUND(AVERAGE(seed1!C19,seed2!C19,seed3!C19,seed4!C19,seed5!C19),4)</f>
        <v>4.0510000000000002</v>
      </c>
      <c r="D19">
        <f>ROUND(AVERAGE(seed1!D19,seed2!D19,seed3!D19,seed4!D19,seed5!D19),4)</f>
        <v>5.6944999999999997</v>
      </c>
      <c r="E19">
        <f>ROUND(AVERAGE(seed1!E19,seed2!E19,seed3!E19,seed4!E19,seed5!E19),4)</f>
        <v>6.5407999999999999</v>
      </c>
      <c r="F19">
        <f>ROUND(AVERAGE(seed1!F19,seed2!F19,seed3!F19,seed4!F19,seed5!F19),4)</f>
        <v>6.4123999999999999</v>
      </c>
      <c r="G19">
        <f>ROUND(AVERAGE(seed1!G19,seed2!G19,seed3!G19,seed4!G19,seed5!G19),4)</f>
        <v>5.6555</v>
      </c>
      <c r="H19" s="2">
        <f>ROUND(AVERAGE(seed1!H19,seed2!H19,seed3!H19,seed4!H19,seed5!H19),4)</f>
        <v>7.2766000000000002</v>
      </c>
      <c r="I19" t="s">
        <v>25</v>
      </c>
      <c r="K19" t="s">
        <v>2</v>
      </c>
      <c r="L19">
        <f>ROUND(AVERAGE(seed1!L19,seed2!L19,seed3!L19,seed4!L19,seed5!L19),4)</f>
        <v>9.5198</v>
      </c>
      <c r="M19">
        <f>ROUND(AVERAGE(seed1!M19,seed2!M19,seed3!M19,seed4!M19,seed5!M19),4)</f>
        <v>7.7904999999999998</v>
      </c>
      <c r="N19">
        <f>ROUND(AVERAGE(seed1!N19,seed2!N19,seed3!N19,seed4!N19,seed5!N19),4)</f>
        <v>8.9149999999999991</v>
      </c>
      <c r="O19">
        <f>ROUND(AVERAGE(seed1!O19,seed2!O19,seed3!O19,seed4!O19,seed5!O19),4)</f>
        <v>10.239699999999999</v>
      </c>
      <c r="P19">
        <f>ROUND(AVERAGE(seed1!P19,seed2!P19,seed3!P19,seed4!P19,seed5!P19),4)</f>
        <v>10.1473</v>
      </c>
      <c r="Q19">
        <f>ROUND(AVERAGE(seed1!Q19,seed2!Q19,seed3!Q19,seed4!Q19,seed5!Q19),4)</f>
        <v>11.079499999999999</v>
      </c>
    </row>
    <row r="20" spans="2:27">
      <c r="K20" t="s">
        <v>12</v>
      </c>
      <c r="L20">
        <f>ROUND(AVERAGE(seed1!L20,seed2!L20,seed3!L20,seed4!L20,seed5!L20),1)</f>
        <v>34.6</v>
      </c>
      <c r="M20">
        <f>ROUND(AVERAGE(seed1!M20,seed2!M20,seed3!M20,seed4!M20,seed5!M20),1)</f>
        <v>24.8</v>
      </c>
      <c r="N20">
        <f>ROUND(AVERAGE(seed1!N20,seed2!N20,seed3!N20,seed4!N20,seed5!N20),1)</f>
        <v>31.8</v>
      </c>
      <c r="O20">
        <f>ROUND(AVERAGE(seed1!O20,seed2!O20,seed3!O20,seed4!O20,seed5!O20),1)</f>
        <v>33.200000000000003</v>
      </c>
      <c r="P20">
        <f>ROUND(AVERAGE(seed1!P20,seed2!P20,seed3!P20,seed4!P20,seed5!P20),1)</f>
        <v>36.200000000000003</v>
      </c>
      <c r="Q20">
        <f>ROUND(AVERAGE(seed1!Q20,seed2!Q20,seed3!Q20,seed4!Q20,seed5!Q20),1)</f>
        <v>37</v>
      </c>
      <c r="S20">
        <v>40</v>
      </c>
    </row>
    <row r="21" spans="2:27">
      <c r="B21" t="s">
        <v>8</v>
      </c>
      <c r="C21">
        <f>ROUND(AVERAGE(C16:C18),4)</f>
        <v>2.6743999999999999</v>
      </c>
      <c r="D21">
        <f t="shared" ref="D21:H21" si="3">ROUND(AVERAGE(D16:D18),4)</f>
        <v>3.7524999999999999</v>
      </c>
      <c r="E21">
        <f t="shared" si="3"/>
        <v>4.5587</v>
      </c>
      <c r="F21">
        <f t="shared" si="3"/>
        <v>4.5598999999999998</v>
      </c>
      <c r="G21">
        <f t="shared" si="3"/>
        <v>3.806</v>
      </c>
      <c r="H21">
        <f t="shared" si="3"/>
        <v>4.4085999999999999</v>
      </c>
      <c r="K21" t="s">
        <v>13</v>
      </c>
      <c r="L21">
        <f>ROUND(AVERAGE(seed1!L21,seed2!L21,seed3!L21,seed4!L21,seed5!L21),1)</f>
        <v>183.8</v>
      </c>
      <c r="M21">
        <f>ROUND(AVERAGE(seed1!M21,seed2!M21,seed3!M21,seed4!M21,seed5!M21),1)</f>
        <v>205.8</v>
      </c>
      <c r="N21">
        <f>ROUND(AVERAGE(seed1!N21,seed2!N21,seed3!N21,seed4!N21,seed5!N21),1)</f>
        <v>205.8</v>
      </c>
      <c r="O21">
        <f>ROUND(AVERAGE(seed1!O21,seed2!O21,seed3!O21,seed4!O21,seed5!O21),1)</f>
        <v>205.8</v>
      </c>
      <c r="P21">
        <f>ROUND(AVERAGE(seed1!P21,seed2!P21,seed3!P21,seed4!P21,seed5!P21),1)</f>
        <v>203</v>
      </c>
      <c r="Q21">
        <f>ROUND(AVERAGE(seed1!Q21,seed2!Q21,seed3!Q21,seed4!Q21,seed5!Q21),1)</f>
        <v>205.6</v>
      </c>
      <c r="S21">
        <v>210</v>
      </c>
    </row>
    <row r="22" spans="2:27">
      <c r="K22" t="s">
        <v>8</v>
      </c>
      <c r="L22">
        <f>ROUND(AVERAGE(L16:L18),4)</f>
        <v>5.8691000000000004</v>
      </c>
      <c r="M22">
        <f t="shared" ref="M22:Q22" si="4">ROUND(AVERAGE(M16:M18),4)</f>
        <v>5.2085999999999997</v>
      </c>
      <c r="N22">
        <f t="shared" si="4"/>
        <v>5.5735999999999999</v>
      </c>
      <c r="O22">
        <f t="shared" si="4"/>
        <v>6.1006999999999998</v>
      </c>
      <c r="P22">
        <f t="shared" si="4"/>
        <v>6.4255000000000004</v>
      </c>
      <c r="Q22">
        <f t="shared" si="4"/>
        <v>7.1086999999999998</v>
      </c>
      <c r="X22">
        <v>400</v>
      </c>
      <c r="Y22">
        <v>500</v>
      </c>
      <c r="Z22">
        <v>600</v>
      </c>
    </row>
    <row r="23" spans="2:27">
      <c r="W23" t="s">
        <v>20</v>
      </c>
      <c r="X23">
        <v>7.1925999999999997</v>
      </c>
      <c r="Y23">
        <v>4.0510000000000002</v>
      </c>
      <c r="Z23">
        <v>2.6919</v>
      </c>
    </row>
    <row r="24" spans="2:27">
      <c r="B24" t="s">
        <v>17</v>
      </c>
      <c r="K24" t="s">
        <v>7</v>
      </c>
      <c r="W24" t="s">
        <v>21</v>
      </c>
      <c r="X24">
        <v>7.2161999999999997</v>
      </c>
      <c r="Y24">
        <v>5.6944999999999997</v>
      </c>
      <c r="Z24">
        <v>3.4965000000000002</v>
      </c>
    </row>
    <row r="25" spans="2:27">
      <c r="C25">
        <v>1</v>
      </c>
      <c r="D25">
        <v>2</v>
      </c>
      <c r="E25">
        <v>3</v>
      </c>
      <c r="F25">
        <v>4</v>
      </c>
      <c r="G25">
        <v>5</v>
      </c>
      <c r="H25">
        <v>6</v>
      </c>
      <c r="L25">
        <v>1</v>
      </c>
      <c r="M25">
        <v>2</v>
      </c>
      <c r="N25">
        <v>3</v>
      </c>
      <c r="O25">
        <v>4</v>
      </c>
      <c r="P25">
        <v>5</v>
      </c>
      <c r="Q25">
        <v>6</v>
      </c>
      <c r="W25" t="s">
        <v>22</v>
      </c>
      <c r="X25">
        <v>7.8628999999999998</v>
      </c>
      <c r="Y25">
        <v>6.5407999999999999</v>
      </c>
      <c r="Z25">
        <v>3.7923</v>
      </c>
    </row>
    <row r="26" spans="2:27">
      <c r="C26" t="s">
        <v>5</v>
      </c>
      <c r="D26" t="s">
        <v>6</v>
      </c>
      <c r="E26" s="1">
        <v>0.2</v>
      </c>
      <c r="F26" s="1">
        <v>0.4</v>
      </c>
      <c r="G26" t="s">
        <v>3</v>
      </c>
      <c r="H26" t="s">
        <v>4</v>
      </c>
      <c r="L26" t="s">
        <v>5</v>
      </c>
      <c r="M26" t="s">
        <v>6</v>
      </c>
      <c r="N26" s="1">
        <v>0.2</v>
      </c>
      <c r="O26" s="1">
        <v>0.4</v>
      </c>
      <c r="P26" t="s">
        <v>3</v>
      </c>
      <c r="Q26" t="s">
        <v>4</v>
      </c>
      <c r="W26" t="s">
        <v>23</v>
      </c>
      <c r="X26">
        <v>7.5537999999999998</v>
      </c>
      <c r="Y26">
        <v>5.6555</v>
      </c>
      <c r="Z26">
        <v>3.3530000000000002</v>
      </c>
    </row>
    <row r="27" spans="2:27">
      <c r="B27" t="s">
        <v>1</v>
      </c>
      <c r="C27">
        <f>ROUND(AVERAGE(seed1!C27,seed2!C27,seed3!C27,seed4!C27,seed5!C27),4)</f>
        <v>1.1961999999999999</v>
      </c>
      <c r="D27">
        <f>ROUND(AVERAGE(seed1!D27,seed2!D27,seed3!D27,seed4!D27,seed5!D27),4)</f>
        <v>2.3067000000000002</v>
      </c>
      <c r="E27">
        <f>ROUND(AVERAGE(seed1!E27,seed2!E27,seed3!E27,seed4!E27,seed5!E27),4)</f>
        <v>2.4276</v>
      </c>
      <c r="F27">
        <f>ROUND(AVERAGE(seed1!F27,seed2!F27,seed3!F27,seed4!F27,seed5!F27),4)</f>
        <v>2.3687999999999998</v>
      </c>
      <c r="G27">
        <f>ROUND(AVERAGE(seed1!G27,seed2!G27,seed3!G27,seed4!G27,seed5!G27),4)</f>
        <v>2.0055999999999998</v>
      </c>
      <c r="H27">
        <f>ROUND(AVERAGE(seed1!H27,seed2!H27,seed3!H27,seed4!H27,seed5!H27),4)</f>
        <v>2.0859000000000001</v>
      </c>
      <c r="K27" t="s">
        <v>1</v>
      </c>
      <c r="L27">
        <f>ROUND(AVERAGE(seed1!L27,seed2!L27,seed3!L27,seed4!L27,seed5!L27),4)</f>
        <v>5.3018000000000001</v>
      </c>
      <c r="M27">
        <f>ROUND(AVERAGE(seed1!M27,seed2!M27,seed3!M27,seed4!M27,seed5!M27),4)</f>
        <v>1.2564</v>
      </c>
      <c r="N27">
        <f>ROUND(AVERAGE(seed1!N27,seed2!N27,seed3!N27,seed4!N27,seed5!N27),4)</f>
        <v>1.8027</v>
      </c>
      <c r="O27">
        <f>ROUND(AVERAGE(seed1!O27,seed2!O27,seed3!O27,seed4!O27,seed5!O27),4)</f>
        <v>2.903</v>
      </c>
      <c r="P27">
        <f>ROUND(AVERAGE(seed1!P27,seed2!P27,seed3!P27,seed4!P27,seed5!P27),4)</f>
        <v>4.0705</v>
      </c>
      <c r="Q27">
        <f>ROUND(AVERAGE(seed1!Q27,seed2!Q27,seed3!Q27,seed4!Q27,seed5!Q27),4)</f>
        <v>4.8528000000000002</v>
      </c>
      <c r="W27" t="s">
        <v>24</v>
      </c>
      <c r="X27">
        <v>7.8221999999999996</v>
      </c>
      <c r="Y27">
        <v>7.2766000000000002</v>
      </c>
      <c r="Z27">
        <v>3.7233000000000001</v>
      </c>
    </row>
    <row r="28" spans="2:27">
      <c r="B28" t="s">
        <v>14</v>
      </c>
      <c r="C28">
        <f>ROUND(AVERAGE(seed1!C28,seed2!C28,seed3!C28,seed4!C28,seed5!C28),4)</f>
        <v>1.9327000000000001</v>
      </c>
      <c r="D28">
        <f>ROUND(AVERAGE(seed1!D28,seed2!D28,seed3!D28,seed4!D28,seed5!D28),4)</f>
        <v>1.4152</v>
      </c>
      <c r="E28">
        <f>ROUND(AVERAGE(seed1!E28,seed2!E28,seed3!E28,seed4!E28,seed5!E28),4)</f>
        <v>1.8567</v>
      </c>
      <c r="F28">
        <f>ROUND(AVERAGE(seed1!F28,seed2!F28,seed3!F28,seed4!F28,seed5!F28),4)</f>
        <v>2.0287999999999999</v>
      </c>
      <c r="G28">
        <f>ROUND(AVERAGE(seed1!G28,seed2!G28,seed3!G28,seed4!G28,seed5!G28),4)</f>
        <v>1.9131</v>
      </c>
      <c r="H28">
        <f>ROUND(AVERAGE(seed1!H28,seed2!H28,seed3!H28,seed4!H28,seed5!H28),4)</f>
        <v>2.335</v>
      </c>
      <c r="K28" t="s">
        <v>14</v>
      </c>
      <c r="L28">
        <f>ROUND(AVERAGE(seed1!L28,seed2!L28,seed3!L28,seed4!L28,seed5!L28),4)</f>
        <v>4.4503000000000004</v>
      </c>
      <c r="M28">
        <f>ROUND(AVERAGE(seed1!M28,seed2!M28,seed3!M28,seed4!M28,seed5!M28),4)</f>
        <v>1.0161</v>
      </c>
      <c r="N28">
        <f>ROUND(AVERAGE(seed1!N28,seed2!N28,seed3!N28,seed4!N28,seed5!N28),4)</f>
        <v>1.4420999999999999</v>
      </c>
      <c r="O28">
        <f>ROUND(AVERAGE(seed1!O28,seed2!O28,seed3!O28,seed4!O28,seed5!O28),4)</f>
        <v>2.6663999999999999</v>
      </c>
      <c r="P28">
        <f>ROUND(AVERAGE(seed1!P28,seed2!P28,seed3!P28,seed4!P28,seed5!P28),4)</f>
        <v>3.3115000000000001</v>
      </c>
      <c r="Q28">
        <f>ROUND(AVERAGE(seed1!Q28,seed2!Q28,seed3!Q28,seed4!Q28,seed5!Q28),4)</f>
        <v>4.1772999999999998</v>
      </c>
    </row>
    <row r="29" spans="2:27">
      <c r="B29" t="s">
        <v>15</v>
      </c>
      <c r="C29">
        <f>ROUND(AVERAGE(seed1!C29,seed2!C29,seed3!C29,seed4!C29,seed5!C29),4)</f>
        <v>1.8983000000000001</v>
      </c>
      <c r="D29">
        <f>ROUND(AVERAGE(seed1!D29,seed2!D29,seed3!D29,seed4!D29,seed5!D29),4)</f>
        <v>2.9228000000000001</v>
      </c>
      <c r="E29">
        <f>ROUND(AVERAGE(seed1!E29,seed2!E29,seed3!E29,seed4!E29,seed5!E29),4)</f>
        <v>2.7614000000000001</v>
      </c>
      <c r="F29">
        <f>ROUND(AVERAGE(seed1!F29,seed2!F29,seed3!F29,seed4!F29,seed5!F29),4)</f>
        <v>3.0223</v>
      </c>
      <c r="G29">
        <f>ROUND(AVERAGE(seed1!G29,seed2!G29,seed3!G29,seed4!G29,seed5!G29),4)</f>
        <v>2.1221999999999999</v>
      </c>
      <c r="H29">
        <f>ROUND(AVERAGE(seed1!H29,seed2!H29,seed3!H29,seed4!H29,seed5!H29),4)</f>
        <v>2.4382000000000001</v>
      </c>
      <c r="K29" t="s">
        <v>15</v>
      </c>
      <c r="L29">
        <f>ROUND(AVERAGE(seed1!L29,seed2!L29,seed3!L29,seed4!L29,seed5!L29),4)</f>
        <v>8.2312999999999992</v>
      </c>
      <c r="M29">
        <f>ROUND(AVERAGE(seed1!M29,seed2!M29,seed3!M29,seed4!M29,seed5!M29),4)</f>
        <v>13.214700000000001</v>
      </c>
      <c r="N29">
        <f>ROUND(AVERAGE(seed1!N29,seed2!N29,seed3!N29,seed4!N29,seed5!N29),4)</f>
        <v>12.9572</v>
      </c>
      <c r="O29">
        <f>ROUND(AVERAGE(seed1!O29,seed2!O29,seed3!O29,seed4!O29,seed5!O29),4)</f>
        <v>12.3209</v>
      </c>
      <c r="P29">
        <f>ROUND(AVERAGE(seed1!P29,seed2!P29,seed3!P29,seed4!P29,seed5!P29),4)</f>
        <v>9.0097000000000005</v>
      </c>
      <c r="Q29">
        <f>ROUND(AVERAGE(seed1!Q29,seed2!Q29,seed3!Q29,seed4!Q29,seed5!Q29),4)</f>
        <v>10.846</v>
      </c>
      <c r="Y29">
        <f>(7.2766-6.5408)/((7.2766+6.5408)/2)</f>
        <v>0.10650339427099169</v>
      </c>
    </row>
    <row r="30" spans="2:27">
      <c r="B30" t="s">
        <v>2</v>
      </c>
      <c r="C30">
        <f>ROUND(AVERAGE(seed1!C30,seed2!C30,seed3!C30,seed4!C30,seed5!C30),4)</f>
        <v>2.6919</v>
      </c>
      <c r="D30">
        <f>ROUND(AVERAGE(seed1!D30,seed2!D30,seed3!D30,seed4!D30,seed5!D30),4)</f>
        <v>3.4965000000000002</v>
      </c>
      <c r="E30">
        <f>ROUND(AVERAGE(seed1!E30,seed2!E30,seed3!E30,seed4!E30,seed5!E30),4)</f>
        <v>3.7923</v>
      </c>
      <c r="F30">
        <f>ROUND(AVERAGE(seed1!F30,seed2!F30,seed3!F30,seed4!F30,seed5!F30),4)</f>
        <v>3.9699</v>
      </c>
      <c r="G30">
        <f>ROUND(AVERAGE(seed1!G30,seed2!G30,seed3!G30,seed4!G30,seed5!G30),4)</f>
        <v>3.3530000000000002</v>
      </c>
      <c r="H30">
        <f>ROUND(AVERAGE(seed1!H30,seed2!H30,seed3!H30,seed4!H30,seed5!H30),4)</f>
        <v>3.7233000000000001</v>
      </c>
      <c r="K30" t="s">
        <v>2</v>
      </c>
      <c r="L30">
        <f>ROUND(AVERAGE(seed1!L30,seed2!L30,seed3!L30,seed4!L30,seed5!L30),4)</f>
        <v>9.0798000000000005</v>
      </c>
      <c r="M30">
        <f>ROUND(AVERAGE(seed1!M30,seed2!M30,seed3!M30,seed4!M30,seed5!M30),4)</f>
        <v>7.2777000000000003</v>
      </c>
      <c r="N30">
        <f>ROUND(AVERAGE(seed1!N30,seed2!N30,seed3!N30,seed4!N30,seed5!N30),4)</f>
        <v>7.984</v>
      </c>
      <c r="O30">
        <f>ROUND(AVERAGE(seed1!O30,seed2!O30,seed3!O30,seed4!O30,seed5!O30),4)</f>
        <v>9.3689</v>
      </c>
      <c r="P30">
        <f>ROUND(AVERAGE(seed1!P30,seed2!P30,seed3!P30,seed4!P30,seed5!P30),4)</f>
        <v>8.7589000000000006</v>
      </c>
      <c r="Q30">
        <f>ROUND(AVERAGE(seed1!Q30,seed2!Q30,seed3!Q30,seed4!Q30,seed5!Q30),4)</f>
        <v>10.181800000000001</v>
      </c>
    </row>
    <row r="31" spans="2:27">
      <c r="K31" t="s">
        <v>12</v>
      </c>
      <c r="L31">
        <f>ROUND(AVERAGE(seed1!L31,seed2!L31,seed3!L31,seed4!L31,seed5!L31),1)</f>
        <v>45.8</v>
      </c>
      <c r="M31">
        <f>ROUND(AVERAGE(seed1!M31,seed2!M31,seed3!M31,seed4!M31,seed5!M31),1)</f>
        <v>28.6</v>
      </c>
      <c r="N31">
        <f>ROUND(AVERAGE(seed1!N31,seed2!N31,seed3!N31,seed4!N31,seed5!N31),1)</f>
        <v>34.4</v>
      </c>
      <c r="O31">
        <f>ROUND(AVERAGE(seed1!O31,seed2!O31,seed3!O31,seed4!O31,seed5!O31),1)</f>
        <v>42.6</v>
      </c>
      <c r="P31">
        <f>ROUND(AVERAGE(seed1!P31,seed2!P31,seed3!P31,seed4!P31,seed5!P31),1)</f>
        <v>45.4</v>
      </c>
      <c r="Q31">
        <f>ROUND(AVERAGE(seed1!Q31,seed2!Q31,seed3!Q31,seed4!Q31,seed5!Q31),1)</f>
        <v>46.6</v>
      </c>
      <c r="S31">
        <v>50</v>
      </c>
    </row>
    <row r="32" spans="2:27">
      <c r="B32" t="s">
        <v>8</v>
      </c>
      <c r="C32">
        <f>ROUND(AVERAGE(C27:C29),4)</f>
        <v>1.6757</v>
      </c>
      <c r="D32">
        <f t="shared" ref="D32:H32" si="5">ROUND(AVERAGE(D27:D29),4)</f>
        <v>2.2149000000000001</v>
      </c>
      <c r="E32">
        <f t="shared" si="5"/>
        <v>2.3485999999999998</v>
      </c>
      <c r="F32">
        <f t="shared" si="5"/>
        <v>2.4733000000000001</v>
      </c>
      <c r="G32">
        <f t="shared" si="5"/>
        <v>2.0135999999999998</v>
      </c>
      <c r="H32">
        <f t="shared" si="5"/>
        <v>2.2864</v>
      </c>
      <c r="K32" t="s">
        <v>13</v>
      </c>
      <c r="L32">
        <f>ROUND(AVERAGE(seed1!L32,seed2!L32,seed3!L32,seed4!L32,seed5!L32),1)</f>
        <v>193.2</v>
      </c>
      <c r="M32">
        <f>ROUND(AVERAGE(seed1!M32,seed2!M32,seed3!M32,seed4!M32,seed5!M32),1)</f>
        <v>195.8</v>
      </c>
      <c r="N32">
        <f>ROUND(AVERAGE(seed1!N32,seed2!N32,seed3!N32,seed4!N32,seed5!N32),1)</f>
        <v>195.8</v>
      </c>
      <c r="O32">
        <f>ROUND(AVERAGE(seed1!O32,seed2!O32,seed3!O32,seed4!O32,seed5!O32),1)</f>
        <v>195.6</v>
      </c>
      <c r="P32">
        <f>ROUND(AVERAGE(seed1!P32,seed2!P32,seed3!P32,seed4!P32,seed5!P32),1)</f>
        <v>193.2</v>
      </c>
      <c r="Q32">
        <f>ROUND(AVERAGE(seed1!Q32,seed2!Q32,seed3!Q32,seed4!Q32,seed5!Q32),1)</f>
        <v>194.2</v>
      </c>
      <c r="S32">
        <v>200</v>
      </c>
      <c r="X32">
        <v>180</v>
      </c>
      <c r="Y32">
        <v>300</v>
      </c>
      <c r="Z32">
        <v>360</v>
      </c>
      <c r="AA32">
        <v>420</v>
      </c>
    </row>
    <row r="33" spans="11:28">
      <c r="K33" t="s">
        <v>8</v>
      </c>
      <c r="L33">
        <f>ROUND(AVERAGE(L27:L29),4)</f>
        <v>5.9945000000000004</v>
      </c>
      <c r="M33">
        <f t="shared" ref="M33:Q33" si="6">ROUND(AVERAGE(M27:M29),4)</f>
        <v>5.1623999999999999</v>
      </c>
      <c r="N33">
        <f t="shared" si="6"/>
        <v>5.4006999999999996</v>
      </c>
      <c r="O33">
        <f t="shared" si="6"/>
        <v>5.9634</v>
      </c>
      <c r="P33">
        <f t="shared" si="6"/>
        <v>5.4638999999999998</v>
      </c>
      <c r="Q33">
        <f t="shared" si="6"/>
        <v>6.6254</v>
      </c>
      <c r="W33" t="s">
        <v>20</v>
      </c>
      <c r="X33">
        <v>11.307399999999999</v>
      </c>
      <c r="Y33">
        <v>9.2329000000000008</v>
      </c>
      <c r="Z33">
        <v>6.9718999999999998</v>
      </c>
      <c r="AA33">
        <v>6.8955000000000002</v>
      </c>
    </row>
    <row r="34" spans="11:28">
      <c r="W34" t="s">
        <v>21</v>
      </c>
      <c r="X34">
        <v>8.5501000000000005</v>
      </c>
      <c r="Y34">
        <v>7.3219000000000003</v>
      </c>
      <c r="Z34">
        <v>6.2888000000000002</v>
      </c>
      <c r="AA34">
        <v>5.3544</v>
      </c>
    </row>
    <row r="35" spans="11:28">
      <c r="K35" t="s">
        <v>18</v>
      </c>
      <c r="W35" t="s">
        <v>22</v>
      </c>
      <c r="X35">
        <v>10.105700000000001</v>
      </c>
      <c r="Y35">
        <v>7.7754000000000003</v>
      </c>
      <c r="Z35">
        <v>6.9744000000000002</v>
      </c>
      <c r="AA35">
        <v>6.2558999999999996</v>
      </c>
    </row>
    <row r="36" spans="11:28">
      <c r="L36">
        <v>1</v>
      </c>
      <c r="M36">
        <v>2</v>
      </c>
      <c r="N36">
        <v>3</v>
      </c>
      <c r="O36">
        <v>4</v>
      </c>
      <c r="P36">
        <v>5</v>
      </c>
      <c r="Q36">
        <v>6</v>
      </c>
      <c r="W36" t="s">
        <v>23</v>
      </c>
      <c r="X36">
        <v>11.095800000000001</v>
      </c>
      <c r="Y36">
        <v>8.7157999999999998</v>
      </c>
      <c r="Z36">
        <v>8.0670000000000002</v>
      </c>
      <c r="AA36">
        <v>7.6181000000000001</v>
      </c>
    </row>
    <row r="37" spans="11:28">
      <c r="L37" t="s">
        <v>5</v>
      </c>
      <c r="M37" t="s">
        <v>6</v>
      </c>
      <c r="N37" s="1">
        <v>0.2</v>
      </c>
      <c r="O37" s="1">
        <v>0.4</v>
      </c>
      <c r="P37" t="s">
        <v>3</v>
      </c>
      <c r="Q37" t="s">
        <v>4</v>
      </c>
      <c r="W37" t="s">
        <v>24</v>
      </c>
      <c r="X37">
        <v>11.639099999999999</v>
      </c>
      <c r="Y37">
        <v>9.9254999999999995</v>
      </c>
      <c r="Z37">
        <v>9.5124999999999993</v>
      </c>
      <c r="AA37">
        <v>8.8747000000000007</v>
      </c>
    </row>
    <row r="38" spans="11:28">
      <c r="K38" t="s">
        <v>1</v>
      </c>
      <c r="L38">
        <f>ROUND(AVERAGE(seed1!L38,seed2!L38,seed3!L38,seed4!L38,seed5!L38),4)</f>
        <v>4.0349000000000004</v>
      </c>
      <c r="M38">
        <f>ROUND(AVERAGE(seed1!M38,seed2!M38,seed3!M38,seed4!M38,seed5!M38),4)</f>
        <v>0.96230000000000004</v>
      </c>
      <c r="N38">
        <f>ROUND(AVERAGE(seed1!N38,seed2!N38,seed3!N38,seed4!N38,seed5!N38),4)</f>
        <v>1.3067</v>
      </c>
      <c r="O38">
        <f>ROUND(AVERAGE(seed1!O38,seed2!O38,seed3!O38,seed4!O38,seed5!O38),4)</f>
        <v>2.3347000000000002</v>
      </c>
      <c r="P38">
        <f>ROUND(AVERAGE(seed1!P38,seed2!P38,seed3!P38,seed4!P38,seed5!P38),4)</f>
        <v>3.6871999999999998</v>
      </c>
      <c r="Q38">
        <f>ROUND(AVERAGE(seed1!Q38,seed2!Q38,seed3!Q38,seed4!Q38,seed5!Q38),4)</f>
        <v>4.2384000000000004</v>
      </c>
    </row>
    <row r="39" spans="11:28">
      <c r="K39" t="s">
        <v>14</v>
      </c>
      <c r="L39">
        <f>ROUND(AVERAGE(seed1!L39,seed2!L39,seed3!L39,seed4!L39,seed5!L39),4)</f>
        <v>3.6002999999999998</v>
      </c>
      <c r="M39">
        <f>ROUND(AVERAGE(seed1!M39,seed2!M39,seed3!M39,seed4!M39,seed5!M39),4)</f>
        <v>0.80300000000000005</v>
      </c>
      <c r="N39">
        <f>ROUND(AVERAGE(seed1!N39,seed2!N39,seed3!N39,seed4!N39,seed5!N39),4)</f>
        <v>1.2702</v>
      </c>
      <c r="O39">
        <f>ROUND(AVERAGE(seed1!O39,seed2!O39,seed3!O39,seed4!O39,seed5!O39),4)</f>
        <v>2.0055999999999998</v>
      </c>
      <c r="P39">
        <f>ROUND(AVERAGE(seed1!P39,seed2!P39,seed3!P39,seed4!P39,seed5!P39),4)</f>
        <v>3.2919</v>
      </c>
      <c r="Q39">
        <f>ROUND(AVERAGE(seed1!Q39,seed2!Q39,seed3!Q39,seed4!Q39,seed5!Q39),4)</f>
        <v>3.8635000000000002</v>
      </c>
    </row>
    <row r="40" spans="11:28">
      <c r="K40" t="s">
        <v>15</v>
      </c>
      <c r="L40">
        <f>ROUND(AVERAGE(seed1!L40,seed2!L40,seed3!L40,seed4!L40,seed5!L40),4)</f>
        <v>6.6414999999999997</v>
      </c>
      <c r="M40">
        <f>ROUND(AVERAGE(seed1!M40,seed2!M40,seed3!M40,seed4!M40,seed5!M40),4)</f>
        <v>13.224</v>
      </c>
      <c r="N40">
        <f>ROUND(AVERAGE(seed1!N40,seed2!N40,seed3!N40,seed4!N40,seed5!N40),4)</f>
        <v>12.8223</v>
      </c>
      <c r="O40">
        <f>ROUND(AVERAGE(seed1!O40,seed2!O40,seed3!O40,seed4!O40,seed5!O40),4)</f>
        <v>12.291499999999999</v>
      </c>
      <c r="P40">
        <f>ROUND(AVERAGE(seed1!P40,seed2!P40,seed3!P40,seed4!P40,seed5!P40),4)</f>
        <v>8.1724999999999994</v>
      </c>
      <c r="Q40">
        <f>ROUND(AVERAGE(seed1!Q40,seed2!Q40,seed3!Q40,seed4!Q40,seed5!Q40),4)</f>
        <v>9.9962</v>
      </c>
    </row>
    <row r="41" spans="11:28">
      <c r="K41" t="s">
        <v>2</v>
      </c>
      <c r="L41">
        <f>ROUND(AVERAGE(seed1!L41,seed2!L41,seed3!L41,seed4!L41,seed5!L41),4)</f>
        <v>7.4911000000000003</v>
      </c>
      <c r="M41">
        <f>ROUND(AVERAGE(seed1!M41,seed2!M41,seed3!M41,seed4!M41,seed5!M41),4)</f>
        <v>6.2621000000000002</v>
      </c>
      <c r="N41">
        <f>ROUND(AVERAGE(seed1!N41,seed2!N41,seed3!N41,seed4!N41,seed5!N41),4)</f>
        <v>6.8497000000000003</v>
      </c>
      <c r="O41">
        <f>ROUND(AVERAGE(seed1!O41,seed2!O41,seed3!O41,seed4!O41,seed5!O41),4)</f>
        <v>8.0754999999999999</v>
      </c>
      <c r="P41">
        <f>ROUND(AVERAGE(seed1!P41,seed2!P41,seed3!P41,seed4!P41,seed5!P41),4)</f>
        <v>8.1435999999999993</v>
      </c>
      <c r="Q41">
        <f>ROUND(AVERAGE(seed1!Q41,seed2!Q41,seed3!Q41,seed4!Q41,seed5!Q41),4)</f>
        <v>9.2596000000000007</v>
      </c>
    </row>
    <row r="42" spans="11:28">
      <c r="K42" t="s">
        <v>12</v>
      </c>
      <c r="L42">
        <f>ROUND(AVERAGE(seed1!L42,seed2!L42,seed3!L42,seed4!L42,seed5!L42),1)</f>
        <v>52.6</v>
      </c>
      <c r="M42">
        <f>ROUND(AVERAGE(seed1!M42,seed2!M42,seed3!M42,seed4!M42,seed5!M42),1)</f>
        <v>28</v>
      </c>
      <c r="N42">
        <f>ROUND(AVERAGE(seed1!N42,seed2!N42,seed3!N42,seed4!N42,seed5!N42),1)</f>
        <v>39</v>
      </c>
      <c r="O42">
        <f>ROUND(AVERAGE(seed1!O42,seed2!O42,seed3!O42,seed4!O42,seed5!O42),1)</f>
        <v>48.8</v>
      </c>
      <c r="P42">
        <f>ROUND(AVERAGE(seed1!P42,seed2!P42,seed3!P42,seed4!P42,seed5!P42),1)</f>
        <v>54.6</v>
      </c>
      <c r="Q42">
        <f>ROUND(AVERAGE(seed1!Q42,seed2!Q42,seed3!Q42,seed4!Q42,seed5!Q42),1)</f>
        <v>54.8</v>
      </c>
      <c r="S42">
        <v>60</v>
      </c>
    </row>
    <row r="43" spans="11:28">
      <c r="K43" t="s">
        <v>13</v>
      </c>
      <c r="L43">
        <f>ROUND(AVERAGE(seed1!L43,seed2!L43,seed3!L43,seed4!L43,seed5!L43),1)</f>
        <v>175</v>
      </c>
      <c r="M43">
        <f>ROUND(AVERAGE(seed1!M43,seed2!M43,seed3!M43,seed4!M43,seed5!M43),1)</f>
        <v>186.2</v>
      </c>
      <c r="N43">
        <f>ROUND(AVERAGE(seed1!N43,seed2!N43,seed3!N43,seed4!N43,seed5!N43),1)</f>
        <v>186</v>
      </c>
      <c r="O43">
        <f>ROUND(AVERAGE(seed1!O43,seed2!O43,seed3!O43,seed4!O43,seed5!O43),1)</f>
        <v>185.8</v>
      </c>
      <c r="P43">
        <f>ROUND(AVERAGE(seed1!P43,seed2!P43,seed3!P43,seed4!P43,seed5!P43),1)</f>
        <v>183.4</v>
      </c>
      <c r="Q43">
        <f>ROUND(AVERAGE(seed1!Q43,seed2!Q43,seed3!Q43,seed4!Q43,seed5!Q43),1)</f>
        <v>184.6</v>
      </c>
      <c r="S43">
        <v>190</v>
      </c>
    </row>
    <row r="44" spans="11:28">
      <c r="K44" t="s">
        <v>8</v>
      </c>
      <c r="L44">
        <f>ROUND(AVERAGE(L38:L40),4)</f>
        <v>4.7588999999999997</v>
      </c>
      <c r="M44">
        <f t="shared" ref="M44:Q44" si="7">ROUND(AVERAGE(M38:M40),4)</f>
        <v>4.9964000000000004</v>
      </c>
      <c r="N44">
        <f t="shared" si="7"/>
        <v>5.1330999999999998</v>
      </c>
      <c r="O44">
        <f t="shared" si="7"/>
        <v>5.5438999999999998</v>
      </c>
      <c r="P44">
        <f t="shared" si="7"/>
        <v>5.0505000000000004</v>
      </c>
      <c r="Q44">
        <f t="shared" si="7"/>
        <v>6.0327000000000002</v>
      </c>
    </row>
    <row r="46" spans="11:28">
      <c r="K46" t="s">
        <v>11</v>
      </c>
      <c r="X46">
        <v>180</v>
      </c>
      <c r="Y46">
        <v>240</v>
      </c>
      <c r="Z46">
        <v>300</v>
      </c>
      <c r="AA46">
        <v>360</v>
      </c>
      <c r="AB46">
        <v>420</v>
      </c>
    </row>
    <row r="47" spans="11:28">
      <c r="L47">
        <v>1</v>
      </c>
      <c r="M47">
        <v>2</v>
      </c>
      <c r="N47">
        <v>3</v>
      </c>
      <c r="O47">
        <v>4</v>
      </c>
      <c r="P47">
        <v>5</v>
      </c>
      <c r="Q47">
        <v>6</v>
      </c>
      <c r="W47" t="s">
        <v>20</v>
      </c>
      <c r="X47">
        <v>11.307399999999999</v>
      </c>
      <c r="Y47">
        <v>10.0261</v>
      </c>
      <c r="Z47">
        <v>9.2329000000000008</v>
      </c>
      <c r="AA47">
        <v>6.9718999999999998</v>
      </c>
      <c r="AB47">
        <v>6.8955000000000002</v>
      </c>
    </row>
    <row r="48" spans="11:28">
      <c r="L48" t="s">
        <v>5</v>
      </c>
      <c r="M48" t="s">
        <v>6</v>
      </c>
      <c r="N48" s="1">
        <v>0.2</v>
      </c>
      <c r="O48" s="1">
        <v>0.4</v>
      </c>
      <c r="P48" t="s">
        <v>3</v>
      </c>
      <c r="Q48" t="s">
        <v>4</v>
      </c>
      <c r="W48" t="s">
        <v>21</v>
      </c>
      <c r="X48">
        <v>8.5501000000000005</v>
      </c>
      <c r="Y48">
        <v>7.5842999999999998</v>
      </c>
      <c r="Z48">
        <v>7.3219000000000003</v>
      </c>
      <c r="AA48">
        <v>6.2888000000000002</v>
      </c>
      <c r="AB48">
        <v>5.3544</v>
      </c>
    </row>
    <row r="49" spans="11:28">
      <c r="K49" t="s">
        <v>1</v>
      </c>
      <c r="L49">
        <f>ROUND(AVERAGE(seed1!L49,seed2!L49,seed3!L49,seed4!L49,seed5!L49),4)</f>
        <v>3.5135999999999998</v>
      </c>
      <c r="M49">
        <f>ROUND(AVERAGE(seed1!M49,seed2!M49,seed3!M49,seed4!M49,seed5!M49),4)</f>
        <v>0.91720000000000002</v>
      </c>
      <c r="N49">
        <f>ROUND(AVERAGE(seed1!N49,seed2!N49,seed3!N49,seed4!N49,seed5!N49),4)</f>
        <v>1.2181</v>
      </c>
      <c r="O49">
        <f>ROUND(AVERAGE(seed1!O49,seed2!O49,seed3!O49,seed4!O49,seed5!O49),4)</f>
        <v>1.6888000000000001</v>
      </c>
      <c r="P49">
        <f>ROUND(AVERAGE(seed1!P49,seed2!P49,seed3!P49,seed4!P49,seed5!P49),4)</f>
        <v>3.4085999999999999</v>
      </c>
      <c r="Q49">
        <f>ROUND(AVERAGE(seed1!Q49,seed2!Q49,seed3!Q49,seed4!Q49,seed5!Q49),4)</f>
        <v>4.2496</v>
      </c>
      <c r="W49" t="s">
        <v>22</v>
      </c>
      <c r="X49">
        <v>10.105700000000001</v>
      </c>
      <c r="Y49">
        <v>9.1835000000000004</v>
      </c>
      <c r="Z49">
        <v>7.7754000000000003</v>
      </c>
      <c r="AA49">
        <v>6.9744000000000002</v>
      </c>
      <c r="AB49">
        <v>6.2558999999999996</v>
      </c>
    </row>
    <row r="50" spans="11:28">
      <c r="K50" t="s">
        <v>14</v>
      </c>
      <c r="L50">
        <f>ROUND(AVERAGE(seed1!L50,seed2!L50,seed3!L50,seed4!L50,seed5!L50),4)</f>
        <v>3.2338</v>
      </c>
      <c r="M50">
        <f>ROUND(AVERAGE(seed1!M50,seed2!M50,seed3!M50,seed4!M50,seed5!M50),4)</f>
        <v>0.78659999999999997</v>
      </c>
      <c r="N50">
        <f>ROUND(AVERAGE(seed1!N50,seed2!N50,seed3!N50,seed4!N50,seed5!N50),4)</f>
        <v>1.0704</v>
      </c>
      <c r="O50">
        <f>ROUND(AVERAGE(seed1!O50,seed2!O50,seed3!O50,seed4!O50,seed5!O50),4)</f>
        <v>1.5207999999999999</v>
      </c>
      <c r="P50">
        <f>ROUND(AVERAGE(seed1!P50,seed2!P50,seed3!P50,seed4!P50,seed5!P50),4)</f>
        <v>2.9592999999999998</v>
      </c>
      <c r="Q50">
        <f>ROUND(AVERAGE(seed1!Q50,seed2!Q50,seed3!Q50,seed4!Q50,seed5!Q50),4)</f>
        <v>3.7837999999999998</v>
      </c>
      <c r="W50" t="s">
        <v>23</v>
      </c>
      <c r="X50">
        <v>11.095800000000001</v>
      </c>
      <c r="Y50">
        <v>10.220000000000001</v>
      </c>
      <c r="Z50">
        <v>8.7157999999999998</v>
      </c>
      <c r="AA50">
        <v>8.0670000000000002</v>
      </c>
      <c r="AB50">
        <v>7.6181000000000001</v>
      </c>
    </row>
    <row r="51" spans="11:28">
      <c r="K51" t="s">
        <v>15</v>
      </c>
      <c r="L51">
        <f>ROUND(AVERAGE(seed1!L51,seed2!L51,seed3!L51,seed4!L51,seed5!L51),4)</f>
        <v>6.8731</v>
      </c>
      <c r="M51">
        <f>ROUND(AVERAGE(seed1!M51,seed2!M51,seed3!M51,seed4!M51,seed5!M51),4)</f>
        <v>13.2051</v>
      </c>
      <c r="N51">
        <f>ROUND(AVERAGE(seed1!N51,seed2!N51,seed3!N51,seed4!N51,seed5!N51),4)</f>
        <v>12.8437</v>
      </c>
      <c r="O51">
        <f>ROUND(AVERAGE(seed1!O51,seed2!O51,seed3!O51,seed4!O51,seed5!O51),4)</f>
        <v>11.859299999999999</v>
      </c>
      <c r="P51">
        <f>ROUND(AVERAGE(seed1!P51,seed2!P51,seed3!P51,seed4!P51,seed5!P51),4)</f>
        <v>7.7489999999999997</v>
      </c>
      <c r="Q51">
        <f>ROUND(AVERAGE(seed1!Q51,seed2!Q51,seed3!Q51,seed4!Q51,seed5!Q51),4)</f>
        <v>9.5318000000000005</v>
      </c>
      <c r="W51" t="s">
        <v>24</v>
      </c>
      <c r="X51">
        <v>11.639099999999999</v>
      </c>
      <c r="Y51">
        <v>11.1698</v>
      </c>
      <c r="Z51">
        <v>9.9254999999999995</v>
      </c>
      <c r="AA51">
        <v>9.5124999999999993</v>
      </c>
      <c r="AB51">
        <v>8.8747000000000007</v>
      </c>
    </row>
    <row r="52" spans="11:28">
      <c r="K52" t="s">
        <v>2</v>
      </c>
      <c r="L52">
        <f>ROUND(AVERAGE(seed1!L52,seed2!L52,seed3!L52,seed4!L52,seed5!L52),4)</f>
        <v>7.1264000000000003</v>
      </c>
      <c r="M52">
        <f>ROUND(AVERAGE(seed1!M52,seed2!M52,seed3!M52,seed4!M52,seed5!M52),4)</f>
        <v>5.6750999999999996</v>
      </c>
      <c r="N52">
        <f>ROUND(AVERAGE(seed1!N52,seed2!N52,seed3!N52,seed4!N52,seed5!N52),4)</f>
        <v>6.2804000000000002</v>
      </c>
      <c r="O52">
        <f>ROUND(AVERAGE(seed1!O52,seed2!O52,seed3!O52,seed4!O52,seed5!O52),4)</f>
        <v>6.5736999999999997</v>
      </c>
      <c r="P52">
        <f>ROUND(AVERAGE(seed1!P52,seed2!P52,seed3!P52,seed4!P52,seed5!P52),4)</f>
        <v>7.5179</v>
      </c>
      <c r="Q52">
        <f>ROUND(AVERAGE(seed1!Q52,seed2!Q52,seed3!Q52,seed4!Q52,seed5!Q52),4)</f>
        <v>8.8924000000000003</v>
      </c>
    </row>
    <row r="53" spans="11:28">
      <c r="K53" t="s">
        <v>12</v>
      </c>
      <c r="L53">
        <f>ROUND(AVERAGE(seed1!L53,seed2!L53,seed3!L53,seed4!L53,seed5!L53),1)</f>
        <v>63.8</v>
      </c>
      <c r="M53">
        <f>ROUND(AVERAGE(seed1!M53,seed2!M53,seed3!M53,seed4!M53,seed5!M53),1)</f>
        <v>27.4</v>
      </c>
      <c r="N53">
        <f>ROUND(AVERAGE(seed1!N53,seed2!N53,seed3!N53,seed4!N53,seed5!N53),1)</f>
        <v>39.4</v>
      </c>
      <c r="O53">
        <f>ROUND(AVERAGE(seed1!O53,seed2!O53,seed3!O53,seed4!O53,seed5!O53),1)</f>
        <v>49.8</v>
      </c>
      <c r="P53">
        <f>ROUND(AVERAGE(seed1!P53,seed2!P53,seed3!P53,seed4!P53,seed5!P53),1)</f>
        <v>63.4</v>
      </c>
      <c r="Q53">
        <f>ROUND(AVERAGE(seed1!Q53,seed2!Q53,seed3!Q53,seed4!Q53,seed5!Q53),1)</f>
        <v>64.400000000000006</v>
      </c>
      <c r="S53">
        <v>70</v>
      </c>
    </row>
    <row r="54" spans="11:28">
      <c r="K54" t="s">
        <v>13</v>
      </c>
      <c r="L54">
        <f>ROUND(AVERAGE(seed1!L54,seed2!L54,seed3!L54,seed4!L54,seed5!L54),1)</f>
        <v>175</v>
      </c>
      <c r="M54">
        <f>ROUND(AVERAGE(seed1!M54,seed2!M54,seed3!M54,seed4!M54,seed5!M54),1)</f>
        <v>177.4</v>
      </c>
      <c r="N54">
        <f>ROUND(AVERAGE(seed1!N54,seed2!N54,seed3!N54,seed4!N54,seed5!N54),1)</f>
        <v>177.4</v>
      </c>
      <c r="O54">
        <f>ROUND(AVERAGE(seed1!O54,seed2!O54,seed3!O54,seed4!O54,seed5!O54),1)</f>
        <v>177.2</v>
      </c>
      <c r="P54">
        <f>ROUND(AVERAGE(seed1!P54,seed2!P54,seed3!P54,seed4!P54,seed5!P54),1)</f>
        <v>175</v>
      </c>
      <c r="Q54">
        <f>ROUND(AVERAGE(seed1!Q54,seed2!Q54,seed3!Q54,seed4!Q54,seed5!Q54),1)</f>
        <v>176.8</v>
      </c>
      <c r="S54">
        <v>180</v>
      </c>
    </row>
    <row r="55" spans="11:28">
      <c r="K55" t="s">
        <v>8</v>
      </c>
      <c r="L55">
        <f>ROUND(AVERAGE(L49:L51),4)</f>
        <v>4.5401999999999996</v>
      </c>
      <c r="M55">
        <f t="shared" ref="M55:Q55" si="8">ROUND(AVERAGE(M49:M51),4)</f>
        <v>4.9695999999999998</v>
      </c>
      <c r="N55">
        <f t="shared" si="8"/>
        <v>5.0441000000000003</v>
      </c>
      <c r="O55">
        <f t="shared" si="8"/>
        <v>5.0229999999999997</v>
      </c>
      <c r="P55">
        <f t="shared" si="8"/>
        <v>4.7055999999999996</v>
      </c>
      <c r="Q55">
        <f t="shared" si="8"/>
        <v>5.8551000000000002</v>
      </c>
    </row>
    <row r="57" spans="11:28">
      <c r="W57" t="s">
        <v>26</v>
      </c>
    </row>
    <row r="58" spans="11:28">
      <c r="X58">
        <v>180</v>
      </c>
      <c r="Y58">
        <v>240</v>
      </c>
      <c r="Z58">
        <v>300</v>
      </c>
      <c r="AA58">
        <v>360</v>
      </c>
      <c r="AB58">
        <v>420</v>
      </c>
    </row>
    <row r="59" spans="11:28">
      <c r="W59" t="s">
        <v>27</v>
      </c>
      <c r="X59">
        <v>11.165800000000001</v>
      </c>
      <c r="Y59">
        <v>9.5198</v>
      </c>
      <c r="Z59">
        <v>9.0798000000000005</v>
      </c>
      <c r="AA59">
        <v>7.4911000000000003</v>
      </c>
      <c r="AB59">
        <v>7.1264000000000003</v>
      </c>
    </row>
    <row r="60" spans="11:28">
      <c r="W60" t="s">
        <v>28</v>
      </c>
      <c r="X60">
        <v>8.6829000000000001</v>
      </c>
      <c r="Y60">
        <v>7.7904999999999998</v>
      </c>
      <c r="Z60">
        <v>7.2777000000000003</v>
      </c>
      <c r="AA60">
        <v>6.2621000000000002</v>
      </c>
      <c r="AB60">
        <v>5.6750999999999996</v>
      </c>
    </row>
    <row r="61" spans="11:28">
      <c r="W61" t="s">
        <v>29</v>
      </c>
      <c r="X61">
        <v>11.271699999999999</v>
      </c>
      <c r="Y61">
        <v>10.239699999999999</v>
      </c>
      <c r="Z61">
        <v>9.3689</v>
      </c>
      <c r="AA61">
        <v>8.0754999999999999</v>
      </c>
      <c r="AB61">
        <v>6.5736999999999997</v>
      </c>
    </row>
    <row r="62" spans="11:28">
      <c r="W62" t="s">
        <v>30</v>
      </c>
      <c r="X62">
        <v>11.1541</v>
      </c>
      <c r="Y62">
        <v>10.1473</v>
      </c>
      <c r="Z62">
        <v>8.7589000000000006</v>
      </c>
      <c r="AA62">
        <v>8.1435999999999993</v>
      </c>
      <c r="AB62">
        <v>7.5179</v>
      </c>
    </row>
    <row r="63" spans="11:28">
      <c r="W63" t="s">
        <v>31</v>
      </c>
      <c r="X63">
        <v>11.716100000000001</v>
      </c>
      <c r="Y63">
        <v>11.079499999999999</v>
      </c>
      <c r="Z63">
        <v>10.181800000000001</v>
      </c>
      <c r="AA63">
        <v>9.2596000000000007</v>
      </c>
      <c r="AB63">
        <v>8.8924000000000003</v>
      </c>
    </row>
    <row r="67" spans="23:28">
      <c r="AB67">
        <f>(AB63-AB62)*2/(AB62+AB63)</f>
        <v>0.16751674253365267</v>
      </c>
    </row>
    <row r="69" spans="23:28">
      <c r="W69" t="s">
        <v>32</v>
      </c>
    </row>
    <row r="70" spans="23:28">
      <c r="X70">
        <v>400</v>
      </c>
      <c r="Y70">
        <v>500</v>
      </c>
      <c r="Z70">
        <v>600</v>
      </c>
    </row>
    <row r="71" spans="23:28">
      <c r="W71" t="s">
        <v>27</v>
      </c>
      <c r="X71">
        <v>7.1925999999999997</v>
      </c>
      <c r="Y71">
        <v>4.0510000000000002</v>
      </c>
      <c r="Z71">
        <v>2.6919</v>
      </c>
    </row>
    <row r="72" spans="23:28">
      <c r="W72" t="s">
        <v>28</v>
      </c>
      <c r="X72">
        <v>7.2161999999999997</v>
      </c>
      <c r="Y72">
        <v>5.6944999999999997</v>
      </c>
      <c r="Z72">
        <v>3.4965000000000002</v>
      </c>
    </row>
    <row r="73" spans="23:28">
      <c r="W73" t="s">
        <v>29</v>
      </c>
      <c r="X73">
        <v>7.8628999999999998</v>
      </c>
      <c r="Y73">
        <v>6.5407999999999999</v>
      </c>
      <c r="Z73">
        <v>3.7923</v>
      </c>
    </row>
    <row r="74" spans="23:28">
      <c r="W74" t="s">
        <v>30</v>
      </c>
      <c r="X74">
        <v>7.5537999999999998</v>
      </c>
      <c r="Y74">
        <v>5.6555</v>
      </c>
      <c r="Z74">
        <v>3.3530000000000002</v>
      </c>
    </row>
    <row r="75" spans="23:28">
      <c r="W75" t="s">
        <v>31</v>
      </c>
      <c r="X75">
        <v>7.8221999999999996</v>
      </c>
      <c r="Y75">
        <v>7.2766000000000002</v>
      </c>
      <c r="Z75">
        <v>3.7233000000000001</v>
      </c>
    </row>
    <row r="80" spans="23:28">
      <c r="X80">
        <f>(X73-X75)*2/(X73+X75)</f>
        <v>5.1896385741882663E-3</v>
      </c>
      <c r="Y80">
        <f t="shared" ref="Y80:Z80" si="9">(Y73-Y75)*2/(Y73+Y75)</f>
        <v>-0.10650339427099169</v>
      </c>
      <c r="Z80">
        <f t="shared" si="9"/>
        <v>1.8361807440523698E-2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seed1</vt:lpstr>
      <vt:lpstr>seed2</vt:lpstr>
      <vt:lpstr>seed3</vt:lpstr>
      <vt:lpstr>seed4</vt:lpstr>
      <vt:lpstr>seed5</vt:lpstr>
      <vt:lpstr>平均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yamashi.y@keio.jp</dc:creator>
  <cp:lastModifiedBy>yamashi.y@keio.jp</cp:lastModifiedBy>
  <dcterms:created xsi:type="dcterms:W3CDTF">2025-11-29T15:02:01Z</dcterms:created>
  <dcterms:modified xsi:type="dcterms:W3CDTF">2026-02-05T06:01:52Z</dcterms:modified>
</cp:coreProperties>
</file>