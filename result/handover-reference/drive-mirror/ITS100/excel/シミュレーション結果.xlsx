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ITS_202503/"/>
    </mc:Choice>
  </mc:AlternateContent>
  <xr:revisionPtr revIDLastSave="0" documentId="13_ncr:1_{9913CFDB-A6B9-7248-961C-6964B1699C74}" xr6:coauthVersionLast="47" xr6:coauthVersionMax="47" xr10:uidLastSave="{00000000-0000-0000-0000-000000000000}"/>
  <bookViews>
    <workbookView xWindow="0" yWindow="0" windowWidth="28800" windowHeight="18000" activeTab="8" xr2:uid="{0508ADDC-366E-7E41-A873-C540CEB9C176}"/>
  </bookViews>
  <sheets>
    <sheet name="seed1" sheetId="2" r:id="rId1"/>
    <sheet name="seed2" sheetId="3" r:id="rId2"/>
    <sheet name="seed3" sheetId="5" r:id="rId3"/>
    <sheet name="seed4" sheetId="6" r:id="rId4"/>
    <sheet name="seed5" sheetId="7" r:id="rId5"/>
    <sheet name="average" sheetId="8" r:id="rId6"/>
    <sheet name="Sheet1" sheetId="1" r:id="rId7"/>
    <sheet name="後続係数のグラフ" sheetId="9" r:id="rId8"/>
    <sheet name="加速度分布" sheetId="10" r:id="rId9"/>
    <sheet name="【参考】加速度分布_high" sheetId="1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8" l="1"/>
  <c r="W27" i="8"/>
  <c r="W18" i="8"/>
  <c r="D51" i="10"/>
  <c r="E51" i="10"/>
  <c r="F51" i="10"/>
  <c r="G51" i="10"/>
  <c r="Y51" i="10" s="1"/>
  <c r="H51" i="10"/>
  <c r="H56" i="10" s="1"/>
  <c r="I51" i="10"/>
  <c r="J51" i="10"/>
  <c r="J56" i="10" s="1"/>
  <c r="K51" i="10"/>
  <c r="K61" i="10" s="1"/>
  <c r="L51" i="10"/>
  <c r="M51" i="10"/>
  <c r="N51" i="10"/>
  <c r="O51" i="10"/>
  <c r="P51" i="10"/>
  <c r="P61" i="10" s="1"/>
  <c r="Q51" i="10"/>
  <c r="R51" i="10"/>
  <c r="R56" i="10" s="1"/>
  <c r="S51" i="10"/>
  <c r="S61" i="10" s="1"/>
  <c r="T51" i="10"/>
  <c r="U51" i="10"/>
  <c r="V51" i="10"/>
  <c r="W51" i="10"/>
  <c r="D52" i="10"/>
  <c r="D57" i="10" s="1"/>
  <c r="E52" i="10"/>
  <c r="F52" i="10"/>
  <c r="F62" i="10" s="1"/>
  <c r="G52" i="10"/>
  <c r="G57" i="10" s="1"/>
  <c r="H52" i="10"/>
  <c r="I52" i="10"/>
  <c r="J52" i="10"/>
  <c r="K52" i="10"/>
  <c r="K57" i="10" s="1"/>
  <c r="L52" i="10"/>
  <c r="L57" i="10" s="1"/>
  <c r="M52" i="10"/>
  <c r="N52" i="10"/>
  <c r="N62" i="10" s="1"/>
  <c r="O52" i="10"/>
  <c r="O57" i="10" s="1"/>
  <c r="P52" i="10"/>
  <c r="Q52" i="10"/>
  <c r="R52" i="10"/>
  <c r="S52" i="10"/>
  <c r="S57" i="10" s="1"/>
  <c r="T52" i="10"/>
  <c r="T57" i="10" s="1"/>
  <c r="U52" i="10"/>
  <c r="V52" i="10"/>
  <c r="V62" i="10" s="1"/>
  <c r="W52" i="10"/>
  <c r="W57" i="10" s="1"/>
  <c r="D53" i="10"/>
  <c r="E53" i="10"/>
  <c r="F53" i="10"/>
  <c r="G53" i="10"/>
  <c r="Y53" i="10" s="1"/>
  <c r="U48" i="10" s="1"/>
  <c r="H53" i="10"/>
  <c r="H58" i="10" s="1"/>
  <c r="I53" i="10"/>
  <c r="J53" i="10"/>
  <c r="J48" i="10" s="1"/>
  <c r="K53" i="10"/>
  <c r="K58" i="10" s="1"/>
  <c r="L53" i="10"/>
  <c r="M53" i="10"/>
  <c r="N53" i="10"/>
  <c r="O53" i="10"/>
  <c r="O58" i="10" s="1"/>
  <c r="P53" i="10"/>
  <c r="P58" i="10" s="1"/>
  <c r="Q53" i="10"/>
  <c r="R53" i="10"/>
  <c r="S53" i="10"/>
  <c r="S58" i="10" s="1"/>
  <c r="T53" i="10"/>
  <c r="U53" i="10"/>
  <c r="V53" i="10"/>
  <c r="W53" i="10"/>
  <c r="W58" i="10" s="1"/>
  <c r="C52" i="10"/>
  <c r="C53" i="10"/>
  <c r="C51" i="10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N11" i="11"/>
  <c r="Z6" i="11" s="1"/>
  <c r="AN12" i="11"/>
  <c r="AA7" i="11" s="1"/>
  <c r="AN10" i="11"/>
  <c r="AC5" i="11" s="1"/>
  <c r="X5" i="11"/>
  <c r="Y5" i="11"/>
  <c r="X6" i="11"/>
  <c r="AB6" i="11"/>
  <c r="AD6" i="11"/>
  <c r="AF7" i="11"/>
  <c r="AG7" i="11"/>
  <c r="AH7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V63" i="10"/>
  <c r="U63" i="10"/>
  <c r="T63" i="10"/>
  <c r="R63" i="10"/>
  <c r="Q63" i="10"/>
  <c r="N63" i="10"/>
  <c r="M63" i="10"/>
  <c r="L63" i="10"/>
  <c r="J63" i="10"/>
  <c r="I63" i="10"/>
  <c r="F63" i="10"/>
  <c r="E63" i="10"/>
  <c r="D63" i="10"/>
  <c r="C63" i="10"/>
  <c r="W62" i="10"/>
  <c r="U62" i="10"/>
  <c r="S62" i="10"/>
  <c r="R62" i="10"/>
  <c r="Q62" i="10"/>
  <c r="P62" i="10"/>
  <c r="O62" i="10"/>
  <c r="M62" i="10"/>
  <c r="K62" i="10"/>
  <c r="J62" i="10"/>
  <c r="I62" i="10"/>
  <c r="H62" i="10"/>
  <c r="G62" i="10"/>
  <c r="E62" i="10"/>
  <c r="C62" i="10"/>
  <c r="W61" i="10"/>
  <c r="V61" i="10"/>
  <c r="U61" i="10"/>
  <c r="T61" i="10"/>
  <c r="Q61" i="10"/>
  <c r="O61" i="10"/>
  <c r="N61" i="10"/>
  <c r="M61" i="10"/>
  <c r="L61" i="10"/>
  <c r="I61" i="10"/>
  <c r="G61" i="10"/>
  <c r="F61" i="10"/>
  <c r="E61" i="10"/>
  <c r="D61" i="10"/>
  <c r="C61" i="10"/>
  <c r="V58" i="10"/>
  <c r="U58" i="10"/>
  <c r="T58" i="10"/>
  <c r="R58" i="10"/>
  <c r="Q58" i="10"/>
  <c r="N58" i="10"/>
  <c r="M58" i="10"/>
  <c r="L58" i="10"/>
  <c r="J58" i="10"/>
  <c r="I58" i="10"/>
  <c r="F58" i="10"/>
  <c r="E58" i="10"/>
  <c r="D58" i="10"/>
  <c r="C58" i="10"/>
  <c r="V57" i="10"/>
  <c r="U57" i="10"/>
  <c r="R57" i="10"/>
  <c r="Q57" i="10"/>
  <c r="P57" i="10"/>
  <c r="N57" i="10"/>
  <c r="M57" i="10"/>
  <c r="J57" i="10"/>
  <c r="I57" i="10"/>
  <c r="H57" i="10"/>
  <c r="F57" i="10"/>
  <c r="E57" i="10"/>
  <c r="C57" i="10"/>
  <c r="W56" i="10"/>
  <c r="V56" i="10"/>
  <c r="U56" i="10"/>
  <c r="T56" i="10"/>
  <c r="S56" i="10"/>
  <c r="Q56" i="10"/>
  <c r="O56" i="10"/>
  <c r="N56" i="10"/>
  <c r="M56" i="10"/>
  <c r="L56" i="10"/>
  <c r="K56" i="10"/>
  <c r="I56" i="10"/>
  <c r="G56" i="10"/>
  <c r="F56" i="10"/>
  <c r="E56" i="10"/>
  <c r="D56" i="10"/>
  <c r="C56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Y32" i="10"/>
  <c r="U27" i="10" s="1"/>
  <c r="Y31" i="10"/>
  <c r="V26" i="10" s="1"/>
  <c r="Y30" i="10"/>
  <c r="Q25" i="10" s="1"/>
  <c r="L26" i="10"/>
  <c r="AA16" i="10"/>
  <c r="AA17" i="10"/>
  <c r="AA15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C21" i="10"/>
  <c r="Z21" i="10" s="1"/>
  <c r="AA21" i="10" s="1"/>
  <c r="C22" i="10"/>
  <c r="C20" i="10"/>
  <c r="D15" i="10"/>
  <c r="Y15" i="10" s="1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D16" i="10"/>
  <c r="E16" i="10"/>
  <c r="F16" i="10"/>
  <c r="Y16" i="10" s="1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D17" i="10"/>
  <c r="Y17" i="10" s="1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C17" i="10"/>
  <c r="C16" i="10"/>
  <c r="C15" i="10"/>
  <c r="U28" i="8"/>
  <c r="T28" i="8"/>
  <c r="S28" i="8"/>
  <c r="U27" i="8"/>
  <c r="T27" i="8"/>
  <c r="S27" i="8"/>
  <c r="U26" i="8"/>
  <c r="T26" i="8"/>
  <c r="S26" i="8"/>
  <c r="U25" i="8"/>
  <c r="T25" i="8"/>
  <c r="S25" i="8"/>
  <c r="U17" i="8"/>
  <c r="T17" i="8"/>
  <c r="S17" i="8"/>
  <c r="U16" i="8"/>
  <c r="T16" i="8"/>
  <c r="S16" i="8"/>
  <c r="U15" i="8"/>
  <c r="T15" i="8"/>
  <c r="S15" i="8"/>
  <c r="U6" i="8"/>
  <c r="U7" i="8"/>
  <c r="U8" i="8"/>
  <c r="T6" i="8"/>
  <c r="T7" i="8"/>
  <c r="T8" i="8"/>
  <c r="S6" i="8"/>
  <c r="S7" i="8"/>
  <c r="S8" i="8"/>
  <c r="U5" i="8"/>
  <c r="T5" i="8"/>
  <c r="S5" i="8"/>
  <c r="D6" i="10"/>
  <c r="Y11" i="10"/>
  <c r="G6" i="10" s="1"/>
  <c r="Y12" i="10"/>
  <c r="J7" i="10" s="1"/>
  <c r="Y10" i="10"/>
  <c r="F5" i="10" s="1"/>
  <c r="J26" i="8"/>
  <c r="K26" i="8"/>
  <c r="L26" i="8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4" i="9"/>
  <c r="Z20" i="10" l="1"/>
  <c r="AA20" i="10" s="1"/>
  <c r="AJ6" i="11"/>
  <c r="AC6" i="11"/>
  <c r="AK7" i="11"/>
  <c r="X7" i="11"/>
  <c r="AH5" i="11"/>
  <c r="U7" i="11"/>
  <c r="AJ7" i="11"/>
  <c r="AL6" i="11"/>
  <c r="AA5" i="11"/>
  <c r="AB7" i="11"/>
  <c r="AE7" i="11"/>
  <c r="Z7" i="11"/>
  <c r="AI5" i="11"/>
  <c r="Y7" i="11"/>
  <c r="AF6" i="11"/>
  <c r="AE6" i="11"/>
  <c r="AO21" i="11"/>
  <c r="AP21" i="11" s="1"/>
  <c r="AN16" i="11"/>
  <c r="AP16" i="11" s="1"/>
  <c r="AK6" i="11"/>
  <c r="AA6" i="11"/>
  <c r="AG6" i="11"/>
  <c r="AN15" i="11"/>
  <c r="AJ5" i="11"/>
  <c r="Z5" i="11"/>
  <c r="AF5" i="11"/>
  <c r="Q5" i="11"/>
  <c r="AG5" i="11"/>
  <c r="AE5" i="11"/>
  <c r="AO20" i="11"/>
  <c r="AP20" i="11" s="1"/>
  <c r="AB5" i="11"/>
  <c r="AO22" i="11"/>
  <c r="AP22" i="11" s="1"/>
  <c r="AN17" i="11"/>
  <c r="AD7" i="11"/>
  <c r="O6" i="11"/>
  <c r="AL7" i="11"/>
  <c r="AC7" i="11"/>
  <c r="AI6" i="11"/>
  <c r="Y6" i="11"/>
  <c r="Q46" i="10"/>
  <c r="E46" i="10"/>
  <c r="K63" i="10"/>
  <c r="S63" i="10"/>
  <c r="H61" i="10"/>
  <c r="P56" i="10"/>
  <c r="Y56" i="10" s="1"/>
  <c r="AA56" i="10" s="1"/>
  <c r="D62" i="10"/>
  <c r="L62" i="10"/>
  <c r="T62" i="10"/>
  <c r="G63" i="10"/>
  <c r="O63" i="10"/>
  <c r="W63" i="10"/>
  <c r="Y52" i="10"/>
  <c r="W47" i="10" s="1"/>
  <c r="G58" i="10"/>
  <c r="J61" i="10"/>
  <c r="R61" i="10"/>
  <c r="H63" i="10"/>
  <c r="Z63" i="10" s="1"/>
  <c r="AA63" i="10" s="1"/>
  <c r="P63" i="10"/>
  <c r="C48" i="10"/>
  <c r="V48" i="10"/>
  <c r="L47" i="10"/>
  <c r="H48" i="10"/>
  <c r="L48" i="10"/>
  <c r="K48" i="10"/>
  <c r="T47" i="10"/>
  <c r="Q48" i="10"/>
  <c r="N47" i="10"/>
  <c r="F47" i="10"/>
  <c r="S48" i="10"/>
  <c r="T48" i="10"/>
  <c r="D46" i="10"/>
  <c r="M46" i="10"/>
  <c r="T46" i="10"/>
  <c r="U46" i="10"/>
  <c r="L46" i="10"/>
  <c r="Y57" i="10"/>
  <c r="O48" i="10"/>
  <c r="Y58" i="10"/>
  <c r="AA58" i="10" s="1"/>
  <c r="D48" i="10"/>
  <c r="N48" i="10"/>
  <c r="W48" i="10"/>
  <c r="F48" i="10"/>
  <c r="G48" i="10"/>
  <c r="P48" i="10"/>
  <c r="I48" i="10"/>
  <c r="R48" i="10"/>
  <c r="G27" i="10"/>
  <c r="N26" i="10"/>
  <c r="F27" i="10"/>
  <c r="O27" i="10"/>
  <c r="P27" i="10"/>
  <c r="Q27" i="10"/>
  <c r="T25" i="10"/>
  <c r="U25" i="10"/>
  <c r="J27" i="10"/>
  <c r="S27" i="10"/>
  <c r="E25" i="10"/>
  <c r="Z41" i="10"/>
  <c r="AA41" i="10" s="1"/>
  <c r="T26" i="10"/>
  <c r="D26" i="10"/>
  <c r="W26" i="10"/>
  <c r="K27" i="10"/>
  <c r="T27" i="10"/>
  <c r="Y36" i="10"/>
  <c r="AA36" i="10" s="1"/>
  <c r="Y37" i="10"/>
  <c r="AA37" i="10" s="1"/>
  <c r="H27" i="10"/>
  <c r="R27" i="10"/>
  <c r="F26" i="10"/>
  <c r="C27" i="10"/>
  <c r="L27" i="10"/>
  <c r="V27" i="10"/>
  <c r="L25" i="10"/>
  <c r="M25" i="10"/>
  <c r="O26" i="10"/>
  <c r="I27" i="10"/>
  <c r="D25" i="10"/>
  <c r="G26" i="10"/>
  <c r="D27" i="10"/>
  <c r="N27" i="10"/>
  <c r="W27" i="10"/>
  <c r="Y35" i="10"/>
  <c r="AA35" i="10" s="1"/>
  <c r="AI7" i="11"/>
  <c r="AH6" i="11"/>
  <c r="AL5" i="11"/>
  <c r="AD5" i="11"/>
  <c r="AK5" i="11"/>
  <c r="D5" i="11"/>
  <c r="E5" i="11"/>
  <c r="M5" i="11"/>
  <c r="AP17" i="11"/>
  <c r="S5" i="11"/>
  <c r="T5" i="11"/>
  <c r="F6" i="11"/>
  <c r="G6" i="11"/>
  <c r="M6" i="11"/>
  <c r="K5" i="11"/>
  <c r="N6" i="11"/>
  <c r="L5" i="11"/>
  <c r="F7" i="11"/>
  <c r="H7" i="11"/>
  <c r="R7" i="11"/>
  <c r="C7" i="11"/>
  <c r="O7" i="11"/>
  <c r="I7" i="11"/>
  <c r="U6" i="11"/>
  <c r="J7" i="11"/>
  <c r="V7" i="11"/>
  <c r="AP15" i="11"/>
  <c r="Q7" i="11"/>
  <c r="S7" i="11"/>
  <c r="C5" i="11"/>
  <c r="U5" i="11"/>
  <c r="V6" i="11"/>
  <c r="K7" i="11"/>
  <c r="W7" i="11"/>
  <c r="P7" i="11"/>
  <c r="G7" i="11"/>
  <c r="E6" i="11"/>
  <c r="W6" i="11"/>
  <c r="N7" i="11"/>
  <c r="J5" i="11"/>
  <c r="R5" i="11"/>
  <c r="D6" i="11"/>
  <c r="L6" i="11"/>
  <c r="T6" i="11"/>
  <c r="N5" i="11"/>
  <c r="P6" i="11"/>
  <c r="G5" i="11"/>
  <c r="O5" i="11"/>
  <c r="W5" i="11"/>
  <c r="I6" i="11"/>
  <c r="Q6" i="11"/>
  <c r="F5" i="11"/>
  <c r="V5" i="11"/>
  <c r="H6" i="11"/>
  <c r="H5" i="11"/>
  <c r="P5" i="11"/>
  <c r="J6" i="11"/>
  <c r="R6" i="11"/>
  <c r="D7" i="11"/>
  <c r="L7" i="11"/>
  <c r="T7" i="11"/>
  <c r="I5" i="11"/>
  <c r="C6" i="11"/>
  <c r="K6" i="11"/>
  <c r="S6" i="11"/>
  <c r="E7" i="11"/>
  <c r="M7" i="11"/>
  <c r="J46" i="10"/>
  <c r="R46" i="10"/>
  <c r="C46" i="10"/>
  <c r="K46" i="10"/>
  <c r="S46" i="10"/>
  <c r="E47" i="10"/>
  <c r="M47" i="10"/>
  <c r="F46" i="10"/>
  <c r="V46" i="10"/>
  <c r="G46" i="10"/>
  <c r="O46" i="10"/>
  <c r="W46" i="10"/>
  <c r="I47" i="10"/>
  <c r="Q47" i="10"/>
  <c r="H46" i="10"/>
  <c r="P46" i="10"/>
  <c r="N46" i="10"/>
  <c r="J47" i="10"/>
  <c r="I46" i="10"/>
  <c r="C47" i="10"/>
  <c r="E48" i="10"/>
  <c r="M48" i="10"/>
  <c r="J25" i="10"/>
  <c r="R25" i="10"/>
  <c r="Z40" i="10"/>
  <c r="AA40" i="10" s="1"/>
  <c r="C25" i="10"/>
  <c r="K25" i="10"/>
  <c r="S25" i="10"/>
  <c r="E26" i="10"/>
  <c r="M26" i="10"/>
  <c r="U26" i="10"/>
  <c r="Q26" i="10"/>
  <c r="G25" i="10"/>
  <c r="P25" i="10"/>
  <c r="Z42" i="10"/>
  <c r="AA42" i="10" s="1"/>
  <c r="F25" i="10"/>
  <c r="N25" i="10"/>
  <c r="V25" i="10"/>
  <c r="H26" i="10"/>
  <c r="P26" i="10"/>
  <c r="O25" i="10"/>
  <c r="W25" i="10"/>
  <c r="I26" i="10"/>
  <c r="H25" i="10"/>
  <c r="J26" i="10"/>
  <c r="R26" i="10"/>
  <c r="I25" i="10"/>
  <c r="C26" i="10"/>
  <c r="K26" i="10"/>
  <c r="S26" i="10"/>
  <c r="E27" i="10"/>
  <c r="M27" i="10"/>
  <c r="Z22" i="10"/>
  <c r="AA22" i="10" s="1"/>
  <c r="N6" i="10"/>
  <c r="W7" i="10"/>
  <c r="P7" i="10"/>
  <c r="Q7" i="10"/>
  <c r="U6" i="10"/>
  <c r="T6" i="10"/>
  <c r="O7" i="10"/>
  <c r="M6" i="10"/>
  <c r="E6" i="10"/>
  <c r="I7" i="10"/>
  <c r="L6" i="10"/>
  <c r="T5" i="10"/>
  <c r="H7" i="10"/>
  <c r="L5" i="10"/>
  <c r="G7" i="10"/>
  <c r="D5" i="10"/>
  <c r="V6" i="10"/>
  <c r="S5" i="10"/>
  <c r="U5" i="10"/>
  <c r="M5" i="10"/>
  <c r="E5" i="10"/>
  <c r="F6" i="10"/>
  <c r="J5" i="10"/>
  <c r="N7" i="10"/>
  <c r="S6" i="10"/>
  <c r="C6" i="10"/>
  <c r="Q5" i="10"/>
  <c r="U7" i="10"/>
  <c r="E7" i="10"/>
  <c r="J6" i="10"/>
  <c r="C5" i="10"/>
  <c r="P5" i="10"/>
  <c r="H5" i="10"/>
  <c r="T7" i="10"/>
  <c r="L7" i="10"/>
  <c r="D7" i="10"/>
  <c r="Q6" i="10"/>
  <c r="I6" i="10"/>
  <c r="V7" i="10"/>
  <c r="F7" i="10"/>
  <c r="K6" i="10"/>
  <c r="I5" i="10"/>
  <c r="M7" i="10"/>
  <c r="R6" i="10"/>
  <c r="W5" i="10"/>
  <c r="O5" i="10"/>
  <c r="G5" i="10"/>
  <c r="S7" i="10"/>
  <c r="K7" i="10"/>
  <c r="C7" i="10"/>
  <c r="P6" i="10"/>
  <c r="H6" i="10"/>
  <c r="K5" i="10"/>
  <c r="R5" i="10"/>
  <c r="V5" i="10"/>
  <c r="N5" i="10"/>
  <c r="R7" i="10"/>
  <c r="W6" i="10"/>
  <c r="O6" i="10"/>
  <c r="P28" i="8"/>
  <c r="O28" i="8"/>
  <c r="N28" i="8"/>
  <c r="P27" i="8"/>
  <c r="O27" i="8"/>
  <c r="N27" i="8"/>
  <c r="P26" i="8"/>
  <c r="O26" i="8"/>
  <c r="N26" i="8"/>
  <c r="P25" i="8"/>
  <c r="O25" i="8"/>
  <c r="N25" i="8"/>
  <c r="P18" i="8"/>
  <c r="U18" i="8" s="1"/>
  <c r="O18" i="8"/>
  <c r="N18" i="8"/>
  <c r="P17" i="8"/>
  <c r="O17" i="8"/>
  <c r="N17" i="8"/>
  <c r="P16" i="8"/>
  <c r="O16" i="8"/>
  <c r="N16" i="8"/>
  <c r="P15" i="8"/>
  <c r="O15" i="8"/>
  <c r="N15" i="8"/>
  <c r="P13" i="8"/>
  <c r="O13" i="8"/>
  <c r="N13" i="8"/>
  <c r="P12" i="8"/>
  <c r="O12" i="8"/>
  <c r="N12" i="8"/>
  <c r="P11" i="8"/>
  <c r="O11" i="8"/>
  <c r="N11" i="8"/>
  <c r="P10" i="8"/>
  <c r="O10" i="8"/>
  <c r="N10" i="8"/>
  <c r="P8" i="8"/>
  <c r="O8" i="8"/>
  <c r="N8" i="8"/>
  <c r="P7" i="8"/>
  <c r="O7" i="8"/>
  <c r="N7" i="8"/>
  <c r="P6" i="8"/>
  <c r="O6" i="8"/>
  <c r="N6" i="8"/>
  <c r="P5" i="8"/>
  <c r="O5" i="8"/>
  <c r="N5" i="8"/>
  <c r="L28" i="8"/>
  <c r="K28" i="8"/>
  <c r="J28" i="8"/>
  <c r="L27" i="8"/>
  <c r="K27" i="8"/>
  <c r="J27" i="8"/>
  <c r="L25" i="8"/>
  <c r="K25" i="8"/>
  <c r="J25" i="8"/>
  <c r="L18" i="8"/>
  <c r="T18" i="8" s="1"/>
  <c r="K18" i="8"/>
  <c r="J18" i="8"/>
  <c r="L17" i="8"/>
  <c r="K17" i="8"/>
  <c r="J17" i="8"/>
  <c r="L16" i="8"/>
  <c r="K16" i="8"/>
  <c r="J16" i="8"/>
  <c r="L15" i="8"/>
  <c r="K15" i="8"/>
  <c r="J15" i="8"/>
  <c r="L13" i="8"/>
  <c r="K13" i="8"/>
  <c r="J13" i="8"/>
  <c r="L12" i="8"/>
  <c r="K12" i="8"/>
  <c r="J12" i="8"/>
  <c r="L11" i="8"/>
  <c r="K11" i="8"/>
  <c r="J11" i="8"/>
  <c r="L10" i="8"/>
  <c r="K10" i="8"/>
  <c r="J10" i="8"/>
  <c r="L8" i="8"/>
  <c r="K8" i="8"/>
  <c r="J8" i="8"/>
  <c r="L7" i="8"/>
  <c r="K7" i="8"/>
  <c r="J7" i="8"/>
  <c r="L6" i="8"/>
  <c r="K6" i="8"/>
  <c r="J6" i="8"/>
  <c r="L5" i="8"/>
  <c r="K5" i="8"/>
  <c r="J5" i="8"/>
  <c r="H28" i="8"/>
  <c r="G28" i="8"/>
  <c r="F28" i="8"/>
  <c r="H27" i="8"/>
  <c r="G27" i="8"/>
  <c r="F27" i="8"/>
  <c r="H26" i="8"/>
  <c r="G26" i="8"/>
  <c r="F26" i="8"/>
  <c r="H25" i="8"/>
  <c r="G25" i="8"/>
  <c r="F25" i="8"/>
  <c r="H18" i="8"/>
  <c r="S18" i="8" s="1"/>
  <c r="G18" i="8"/>
  <c r="F18" i="8"/>
  <c r="H17" i="8"/>
  <c r="G17" i="8"/>
  <c r="F17" i="8"/>
  <c r="H16" i="8"/>
  <c r="G16" i="8"/>
  <c r="F16" i="8"/>
  <c r="H15" i="8"/>
  <c r="G15" i="8"/>
  <c r="F15" i="8"/>
  <c r="H13" i="8"/>
  <c r="G13" i="8"/>
  <c r="F13" i="8"/>
  <c r="H12" i="8"/>
  <c r="G12" i="8"/>
  <c r="F12" i="8"/>
  <c r="H11" i="8"/>
  <c r="G11" i="8"/>
  <c r="F11" i="8"/>
  <c r="H10" i="8"/>
  <c r="G10" i="8"/>
  <c r="F10" i="8"/>
  <c r="F6" i="8"/>
  <c r="G6" i="8"/>
  <c r="H6" i="8"/>
  <c r="F7" i="8"/>
  <c r="G7" i="8"/>
  <c r="H7" i="8"/>
  <c r="F8" i="8"/>
  <c r="G8" i="8"/>
  <c r="H8" i="8"/>
  <c r="G5" i="8"/>
  <c r="H5" i="8"/>
  <c r="F5" i="8"/>
  <c r="Z62" i="10" l="1"/>
  <c r="AA62" i="10" s="1"/>
  <c r="Z61" i="10"/>
  <c r="AA61" i="10" s="1"/>
  <c r="AN6" i="11"/>
  <c r="AN5" i="11"/>
  <c r="AN7" i="11"/>
  <c r="D47" i="10"/>
  <c r="R47" i="10"/>
  <c r="G47" i="10"/>
  <c r="P47" i="10"/>
  <c r="H47" i="10"/>
  <c r="Y47" i="10" s="1"/>
  <c r="AA57" i="10"/>
  <c r="S47" i="10"/>
  <c r="K47" i="10"/>
  <c r="U47" i="10"/>
  <c r="V47" i="10"/>
  <c r="O47" i="10"/>
  <c r="Y46" i="10"/>
  <c r="Y48" i="10"/>
  <c r="Y25" i="10"/>
  <c r="Y27" i="10"/>
  <c r="Y26" i="10"/>
  <c r="Y7" i="10"/>
  <c r="Y5" i="10"/>
  <c r="Y6" i="10"/>
</calcChain>
</file>

<file path=xl/sharedStrings.xml><?xml version="1.0" encoding="utf-8"?>
<sst xmlns="http://schemas.openxmlformats.org/spreadsheetml/2006/main" count="204" uniqueCount="41">
  <si>
    <t>全て受け入れ</t>
    <rPh sb="0" eb="1">
      <t>スベテ</t>
    </rPh>
    <rPh sb="2" eb="3">
      <t>ウケイレ</t>
    </rPh>
    <phoneticPr fontId="2"/>
  </si>
  <si>
    <t>cav0=cav_low</t>
    <phoneticPr fontId="2"/>
  </si>
  <si>
    <t>cav1=cav_high</t>
    <phoneticPr fontId="2"/>
  </si>
  <si>
    <t>all</t>
    <phoneticPr fontId="2"/>
  </si>
  <si>
    <t>大型割合</t>
    <rPh sb="0" eb="2">
      <t>オオガタ</t>
    </rPh>
    <rPh sb="2" eb="4">
      <t>ワリアイ</t>
    </rPh>
    <phoneticPr fontId="2"/>
  </si>
  <si>
    <t>合流</t>
    <rPh sb="0" eb="2">
      <t>ゴウリュウ</t>
    </rPh>
    <phoneticPr fontId="2"/>
  </si>
  <si>
    <t>既存</t>
    <rPh sb="0" eb="2">
      <t>キゾn</t>
    </rPh>
    <phoneticPr fontId="2"/>
  </si>
  <si>
    <t>提案</t>
    <rPh sb="0" eb="2">
      <t>テイアn</t>
    </rPh>
    <phoneticPr fontId="2"/>
  </si>
  <si>
    <t>提案（遅い車両が上に凸）</t>
    <rPh sb="0" eb="2">
      <t>テイアn</t>
    </rPh>
    <rPh sb="3" eb="4">
      <t>オソイ</t>
    </rPh>
    <rPh sb="8" eb="9">
      <t>ウエ</t>
    </rPh>
    <phoneticPr fontId="2"/>
  </si>
  <si>
    <t>seed2</t>
    <phoneticPr fontId="2"/>
  </si>
  <si>
    <t>試しに</t>
    <rPh sb="0" eb="1">
      <t>タメセィ</t>
    </rPh>
    <phoneticPr fontId="2"/>
  </si>
  <si>
    <t>120秒平均</t>
    <rPh sb="3" eb="4">
      <t>ビョウ</t>
    </rPh>
    <rPh sb="4" eb="6">
      <t>ヘイキn</t>
    </rPh>
    <phoneticPr fontId="2"/>
  </si>
  <si>
    <t>提案,受け入れ：distなし</t>
    <rPh sb="0" eb="2">
      <t>テイアn</t>
    </rPh>
    <rPh sb="3" eb="4">
      <t>ウケイレ</t>
    </rPh>
    <phoneticPr fontId="2"/>
  </si>
  <si>
    <t>受け入れ:seed7で代用</t>
    <rPh sb="0" eb="1">
      <t>ウケイレ</t>
    </rPh>
    <phoneticPr fontId="2"/>
  </si>
  <si>
    <t>受け入れ:</t>
    <rPh sb="0" eb="1">
      <t>ウケイレ</t>
    </rPh>
    <phoneticPr fontId="2"/>
  </si>
  <si>
    <t>ケース1</t>
    <phoneticPr fontId="2"/>
  </si>
  <si>
    <t>ケース2</t>
    <phoneticPr fontId="2"/>
  </si>
  <si>
    <t>ケース3</t>
    <phoneticPr fontId="2"/>
  </si>
  <si>
    <t>提案:distなし</t>
    <rPh sb="0" eb="2">
      <t>テイアn</t>
    </rPh>
    <phoneticPr fontId="2"/>
  </si>
  <si>
    <t>既存:distなし</t>
    <rPh sb="0" eb="2">
      <t>キゾn</t>
    </rPh>
    <phoneticPr fontId="2"/>
  </si>
  <si>
    <t>受け入れ:seed7で代用,既存:seed9 distなし</t>
    <rPh sb="0" eb="1">
      <t>ウケイレ</t>
    </rPh>
    <rPh sb="11" eb="13">
      <t xml:space="preserve">ダイヨウ </t>
    </rPh>
    <rPh sb="14" eb="16">
      <t>キゾn</t>
    </rPh>
    <phoneticPr fontId="2"/>
  </si>
  <si>
    <t>既存:seed5で代用</t>
    <rPh sb="0" eb="2">
      <t>キゾn</t>
    </rPh>
    <rPh sb="9" eb="11">
      <t>ダイヨウ</t>
    </rPh>
    <phoneticPr fontId="2"/>
  </si>
  <si>
    <t>既存:distなし110s</t>
    <rPh sb="0" eb="2">
      <t>キゾn</t>
    </rPh>
    <phoneticPr fontId="2"/>
  </si>
  <si>
    <t>seed3</t>
    <phoneticPr fontId="2"/>
  </si>
  <si>
    <t>既存:seed9で代用→全てseed9で合わせる</t>
    <rPh sb="0" eb="2">
      <t>キゾn</t>
    </rPh>
    <rPh sb="9" eb="11">
      <t>ダイヨウ</t>
    </rPh>
    <rPh sb="12" eb="13">
      <t>スベテ</t>
    </rPh>
    <rPh sb="20" eb="21">
      <t>アワセ</t>
    </rPh>
    <phoneticPr fontId="2"/>
  </si>
  <si>
    <t>?</t>
    <phoneticPr fontId="2"/>
  </si>
  <si>
    <t>既存:データなし</t>
    <rPh sb="0" eb="2">
      <t>キゾn</t>
    </rPh>
    <phoneticPr fontId="2"/>
  </si>
  <si>
    <t>CAV_lowに限定</t>
    <rPh sb="8" eb="10">
      <t>ゲンテイ</t>
    </rPh>
    <phoneticPr fontId="2"/>
  </si>
  <si>
    <t>全て受け入れ</t>
    <rPh sb="0" eb="1">
      <t>スベテ</t>
    </rPh>
    <rPh sb="2" eb="3">
      <t>ウケイレ</t>
    </rPh>
    <rPh sb="4" eb="5">
      <t xml:space="preserve">イレ </t>
    </rPh>
    <phoneticPr fontId="2"/>
  </si>
  <si>
    <t>既存手法</t>
    <rPh sb="0" eb="4">
      <t>キゾn</t>
    </rPh>
    <phoneticPr fontId="2"/>
  </si>
  <si>
    <t>提案手法</t>
    <rPh sb="0" eb="4">
      <t>テイアn</t>
    </rPh>
    <phoneticPr fontId="2"/>
  </si>
  <si>
    <t>800/800/1/40</t>
    <phoneticPr fontId="2"/>
  </si>
  <si>
    <t>元の値</t>
    <rPh sb="0" eb="1">
      <t>モトノ</t>
    </rPh>
    <phoneticPr fontId="2"/>
  </si>
  <si>
    <t>全て</t>
    <rPh sb="0" eb="1">
      <t>スベテ</t>
    </rPh>
    <phoneticPr fontId="2"/>
  </si>
  <si>
    <t>分散</t>
    <rPh sb="0" eb="2">
      <t>ブンサn</t>
    </rPh>
    <phoneticPr fontId="2"/>
  </si>
  <si>
    <t>平均</t>
    <rPh sb="0" eb="2">
      <t>ヘイキn</t>
    </rPh>
    <phoneticPr fontId="2"/>
  </si>
  <si>
    <t>偏差合計</t>
    <rPh sb="0" eb="4">
      <t>ヘンサ</t>
    </rPh>
    <phoneticPr fontId="2"/>
  </si>
  <si>
    <t>値の総和</t>
    <rPh sb="0" eb="1">
      <t>アタイ</t>
    </rPh>
    <rPh sb="2" eb="4">
      <t>ソウワ</t>
    </rPh>
    <phoneticPr fontId="2"/>
  </si>
  <si>
    <t>標準偏差</t>
    <rPh sb="0" eb="4">
      <t>ヒョウジュンヘンサ</t>
    </rPh>
    <phoneticPr fontId="2"/>
  </si>
  <si>
    <t>600/800/3/25</t>
    <phoneticPr fontId="2"/>
  </si>
  <si>
    <t>600/800/1~4合計/25</t>
    <rPh sb="11" eb="13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</si>
</sst>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B050"/>
      <name val="游ゴシック"/>
      <family val="2"/>
      <charset val="128"/>
      <scheme val="minor"/>
    </font>
    <font>
      <sz val="12"/>
      <name val="游ゴシック"/>
      <family val="2"/>
      <charset val="128"/>
      <scheme val="minor"/>
    </font>
    <font>
      <sz val="10"/>
      <color rgb="FF000000"/>
      <name val="Hiragino Kaku Gothic ProN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 applyFill="1">
      <alignment vertical="center"/>
    </xf>
    <xf numFmtId="0" fontId="0" fillId="3" borderId="0" xfId="0" applyFill="1">
      <alignment vertical="center"/>
    </xf>
    <xf numFmtId="0" fontId="4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300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average!$S$4</c:f>
              <c:strCache>
                <c:ptCount val="1"/>
                <c:pt idx="0">
                  <c:v>全て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average!$R$5:$R$8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average!$S$5:$S$8</c:f>
              <c:numCache>
                <c:formatCode>General</c:formatCode>
                <c:ptCount val="4"/>
                <c:pt idx="0">
                  <c:v>44.630549999999999</c:v>
                </c:pt>
                <c:pt idx="1">
                  <c:v>41.554259999999999</c:v>
                </c:pt>
                <c:pt idx="2">
                  <c:v>36.864359999999998</c:v>
                </c:pt>
                <c:pt idx="3">
                  <c:v>35.503470000000007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9E-BE44-9F35-09C4957B5F7B}"/>
            </c:ext>
          </c:extLst>
        </c:ser>
        <c:ser>
          <c:idx val="1"/>
          <c:order val="1"/>
          <c:tx>
            <c:strRef>
              <c:f>average!$T$4</c:f>
              <c:strCache>
                <c:ptCount val="1"/>
                <c:pt idx="0">
                  <c:v>既存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average!$R$5:$R$8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average!$T$5:$T$8</c:f>
              <c:numCache>
                <c:formatCode>General</c:formatCode>
                <c:ptCount val="4"/>
                <c:pt idx="0">
                  <c:v>44.239770000000007</c:v>
                </c:pt>
                <c:pt idx="1">
                  <c:v>38.668410000000002</c:v>
                </c:pt>
                <c:pt idx="2">
                  <c:v>36.890459999999997</c:v>
                </c:pt>
                <c:pt idx="3">
                  <c:v>35.860050000000001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9E-BE44-9F35-09C4957B5F7B}"/>
            </c:ext>
          </c:extLst>
        </c:ser>
        <c:ser>
          <c:idx val="2"/>
          <c:order val="2"/>
          <c:tx>
            <c:strRef>
              <c:f>average!$U$4</c:f>
              <c:strCache>
                <c:ptCount val="1"/>
                <c:pt idx="0">
                  <c:v>提案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average!$R$5:$R$8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average!$U$5:$U$8</c:f>
              <c:numCache>
                <c:formatCode>General</c:formatCode>
                <c:ptCount val="4"/>
                <c:pt idx="0">
                  <c:v>44.314019999999999</c:v>
                </c:pt>
                <c:pt idx="1">
                  <c:v>39.743099999999991</c:v>
                </c:pt>
                <c:pt idx="2">
                  <c:v>37.092420000000004</c:v>
                </c:pt>
                <c:pt idx="3">
                  <c:v>36.376560000000005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9E-BE44-9F35-09C4957B5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853264"/>
        <c:axId val="1653003712"/>
      </c:scatterChart>
      <c:valAx>
        <c:axId val="165285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3003712"/>
        <c:crosses val="autoZero"/>
        <c:crossBetween val="midCat"/>
      </c:valAx>
      <c:valAx>
        <c:axId val="165300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85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average!$S$14</c:f>
              <c:strCache>
                <c:ptCount val="1"/>
                <c:pt idx="0">
                  <c:v>全て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average!$R$15:$R$18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average!$S$15:$S$18</c:f>
              <c:numCache>
                <c:formatCode>General</c:formatCode>
                <c:ptCount val="4"/>
                <c:pt idx="0">
                  <c:v>41.822009999999999</c:v>
                </c:pt>
                <c:pt idx="1">
                  <c:v>39.107610000000001</c:v>
                </c:pt>
                <c:pt idx="2">
                  <c:v>37.761839999999992</c:v>
                </c:pt>
                <c:pt idx="3">
                  <c:v>30.894120000000001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7-AA4C-B862-B34AC3092A42}"/>
            </c:ext>
          </c:extLst>
        </c:ser>
        <c:ser>
          <c:idx val="1"/>
          <c:order val="1"/>
          <c:tx>
            <c:strRef>
              <c:f>average!$T$14</c:f>
              <c:strCache>
                <c:ptCount val="1"/>
                <c:pt idx="0">
                  <c:v>既存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average!$R$15:$R$18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average!$T$15:$T$18</c:f>
              <c:numCache>
                <c:formatCode>General</c:formatCode>
                <c:ptCount val="4"/>
                <c:pt idx="0">
                  <c:v>40.901939999999996</c:v>
                </c:pt>
                <c:pt idx="1">
                  <c:v>38.956949999999999</c:v>
                </c:pt>
                <c:pt idx="2">
                  <c:v>37.770209999999999</c:v>
                </c:pt>
                <c:pt idx="3">
                  <c:v>31.95072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7-AA4C-B862-B34AC3092A42}"/>
            </c:ext>
          </c:extLst>
        </c:ser>
        <c:ser>
          <c:idx val="2"/>
          <c:order val="2"/>
          <c:tx>
            <c:strRef>
              <c:f>average!$U$14</c:f>
              <c:strCache>
                <c:ptCount val="1"/>
                <c:pt idx="0">
                  <c:v>提案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average!$R$15:$R$18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average!$U$15:$U$18</c:f>
              <c:numCache>
                <c:formatCode>General</c:formatCode>
                <c:ptCount val="4"/>
                <c:pt idx="0">
                  <c:v>41.318819999999995</c:v>
                </c:pt>
                <c:pt idx="1">
                  <c:v>38.534040000000005</c:v>
                </c:pt>
                <c:pt idx="2">
                  <c:v>37.718459999999993</c:v>
                </c:pt>
                <c:pt idx="3">
                  <c:v>30.623400000000004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7-AA4C-B862-B34AC3092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52849888"/>
        <c:axId val="895270656"/>
        <c:axId val="811394016"/>
      </c:bar3DChart>
      <c:catAx>
        <c:axId val="165284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270656"/>
        <c:crosses val="autoZero"/>
        <c:auto val="1"/>
        <c:lblAlgn val="ctr"/>
        <c:lblOffset val="100"/>
        <c:noMultiLvlLbl val="0"/>
      </c:catAx>
      <c:valAx>
        <c:axId val="8952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849888"/>
        <c:crosses val="autoZero"/>
        <c:crossBetween val="between"/>
      </c:valAx>
      <c:serAx>
        <c:axId val="811394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27065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839615474966523E-2"/>
          <c:y val="5.7060367454068242E-2"/>
          <c:w val="0.85347773578787578"/>
          <c:h val="0.7750215077282006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後続係数のグラフ!$C$3</c:f>
              <c:strCache>
                <c:ptCount val="1"/>
                <c:pt idx="0">
                  <c:v>ケース1</c:v>
                </c:pt>
              </c:strCache>
            </c:strRef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後続係数のグラフ!$B$4:$B$24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後続係数のグラフ!$C$4:$C$24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0.9</c:v>
                </c:pt>
                <c:pt idx="3">
                  <c:v>0.85</c:v>
                </c:pt>
                <c:pt idx="4">
                  <c:v>0.8</c:v>
                </c:pt>
                <c:pt idx="5">
                  <c:v>0.75</c:v>
                </c:pt>
                <c:pt idx="6">
                  <c:v>0.7</c:v>
                </c:pt>
                <c:pt idx="7">
                  <c:v>0.65</c:v>
                </c:pt>
                <c:pt idx="8">
                  <c:v>0.6</c:v>
                </c:pt>
                <c:pt idx="9">
                  <c:v>0.55000000000000004</c:v>
                </c:pt>
                <c:pt idx="10">
                  <c:v>0.5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0.25</c:v>
                </c:pt>
                <c:pt idx="16">
                  <c:v>0.2</c:v>
                </c:pt>
                <c:pt idx="17">
                  <c:v>0.15</c:v>
                </c:pt>
                <c:pt idx="18">
                  <c:v>0.1</c:v>
                </c:pt>
                <c:pt idx="19">
                  <c:v>0.05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5F-844A-8BAC-D5D1C64B1B33}"/>
            </c:ext>
          </c:extLst>
        </c:ser>
        <c:ser>
          <c:idx val="1"/>
          <c:order val="1"/>
          <c:tx>
            <c:strRef>
              <c:f>後続係数のグラフ!$D$3</c:f>
              <c:strCache>
                <c:ptCount val="1"/>
                <c:pt idx="0">
                  <c:v>ケース2</c:v>
                </c:pt>
              </c:strCache>
            </c:strRef>
          </c:tx>
          <c:spPr>
            <a:ln w="31750" cap="rnd">
              <a:solidFill>
                <a:srgbClr val="F300DB"/>
              </a:solidFill>
              <a:round/>
            </a:ln>
            <a:effectLst/>
          </c:spPr>
          <c:marker>
            <c:symbol val="none"/>
          </c:marker>
          <c:xVal>
            <c:numRef>
              <c:f>後続係数のグラフ!$B$4:$B$24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後続係数のグラフ!$D$4:$D$24</c:f>
              <c:numCache>
                <c:formatCode>General</c:formatCode>
                <c:ptCount val="21"/>
                <c:pt idx="0">
                  <c:v>1</c:v>
                </c:pt>
                <c:pt idx="1">
                  <c:v>0.90249999999999997</c:v>
                </c:pt>
                <c:pt idx="2">
                  <c:v>0.81</c:v>
                </c:pt>
                <c:pt idx="3">
                  <c:v>0.72250000000000003</c:v>
                </c:pt>
                <c:pt idx="4">
                  <c:v>0.64</c:v>
                </c:pt>
                <c:pt idx="5">
                  <c:v>0.5625</c:v>
                </c:pt>
                <c:pt idx="6">
                  <c:v>0.49</c:v>
                </c:pt>
                <c:pt idx="7">
                  <c:v>0.42249999999999999</c:v>
                </c:pt>
                <c:pt idx="8">
                  <c:v>0.36</c:v>
                </c:pt>
                <c:pt idx="9">
                  <c:v>0.30249999999999999</c:v>
                </c:pt>
                <c:pt idx="10">
                  <c:v>0.25</c:v>
                </c:pt>
                <c:pt idx="11">
                  <c:v>0.20250000000000001</c:v>
                </c:pt>
                <c:pt idx="12">
                  <c:v>0.16</c:v>
                </c:pt>
                <c:pt idx="13">
                  <c:v>0.1225</c:v>
                </c:pt>
                <c:pt idx="14">
                  <c:v>0.09</c:v>
                </c:pt>
                <c:pt idx="15">
                  <c:v>6.25E-2</c:v>
                </c:pt>
                <c:pt idx="16">
                  <c:v>0.04</c:v>
                </c:pt>
                <c:pt idx="17">
                  <c:v>2.2499999999999999E-2</c:v>
                </c:pt>
                <c:pt idx="18">
                  <c:v>0.01</c:v>
                </c:pt>
                <c:pt idx="19">
                  <c:v>2.5000000000000001E-3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5F-844A-8BAC-D5D1C64B1B33}"/>
            </c:ext>
          </c:extLst>
        </c:ser>
        <c:ser>
          <c:idx val="2"/>
          <c:order val="2"/>
          <c:tx>
            <c:strRef>
              <c:f>後続係数のグラフ!$E$3</c:f>
              <c:strCache>
                <c:ptCount val="1"/>
                <c:pt idx="0">
                  <c:v>ケース3</c:v>
                </c:pt>
              </c:strCache>
            </c:strRef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後続係数のグラフ!$B$4:$B$24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後続係数のグラフ!$E$4:$E$24</c:f>
              <c:numCache>
                <c:formatCode>General</c:formatCode>
                <c:ptCount val="21"/>
                <c:pt idx="0">
                  <c:v>1</c:v>
                </c:pt>
                <c:pt idx="1">
                  <c:v>0.99750000000000005</c:v>
                </c:pt>
                <c:pt idx="2">
                  <c:v>0.99</c:v>
                </c:pt>
                <c:pt idx="3">
                  <c:v>0.97750000000000004</c:v>
                </c:pt>
                <c:pt idx="4">
                  <c:v>0.96</c:v>
                </c:pt>
                <c:pt idx="5">
                  <c:v>0.9375</c:v>
                </c:pt>
                <c:pt idx="6">
                  <c:v>0.91</c:v>
                </c:pt>
                <c:pt idx="7">
                  <c:v>0.87749999999999995</c:v>
                </c:pt>
                <c:pt idx="8">
                  <c:v>0.84</c:v>
                </c:pt>
                <c:pt idx="9">
                  <c:v>0.79749999999999999</c:v>
                </c:pt>
                <c:pt idx="10">
                  <c:v>0.75</c:v>
                </c:pt>
                <c:pt idx="11">
                  <c:v>0.69750000000000001</c:v>
                </c:pt>
                <c:pt idx="12">
                  <c:v>0.64</c:v>
                </c:pt>
                <c:pt idx="13">
                  <c:v>0.57750000000000001</c:v>
                </c:pt>
                <c:pt idx="14">
                  <c:v>0.51</c:v>
                </c:pt>
                <c:pt idx="15">
                  <c:v>0.4375</c:v>
                </c:pt>
                <c:pt idx="16">
                  <c:v>0.36</c:v>
                </c:pt>
                <c:pt idx="17">
                  <c:v>0.27750000000000002</c:v>
                </c:pt>
                <c:pt idx="18">
                  <c:v>0.19</c:v>
                </c:pt>
                <c:pt idx="19">
                  <c:v>9.7500000000000003E-2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5F-844A-8BAC-D5D1C64B1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539872"/>
        <c:axId val="1190694992"/>
      </c:scatterChart>
      <c:valAx>
        <c:axId val="119053987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0694992"/>
        <c:crosses val="autoZero"/>
        <c:crossBetween val="midCat"/>
      </c:valAx>
      <c:valAx>
        <c:axId val="1190694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0539872"/>
        <c:crosses val="autoZero"/>
        <c:crossBetween val="midCat"/>
        <c:majorUnit val="0.5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0754231810699386"/>
          <c:y val="8.8541119860017448E-2"/>
          <c:w val="0.2352840550768435"/>
          <c:h val="0.24479221347331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226800138354793E-2"/>
          <c:y val="8.7501002293246963E-2"/>
          <c:w val="0.87588435166534417"/>
          <c:h val="0.741083392300627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加速度分布!$B$5</c:f>
              <c:strCache>
                <c:ptCount val="1"/>
                <c:pt idx="0">
                  <c:v>全て受け入れ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加速度分布!$C$4:$W$4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xVal>
          <c:yVal>
            <c:numRef>
              <c:f>加速度分布!$C$5:$W$5</c:f>
              <c:numCache>
                <c:formatCode>General</c:formatCode>
                <c:ptCount val="21"/>
                <c:pt idx="0">
                  <c:v>2.3721176782401272E-2</c:v>
                </c:pt>
                <c:pt idx="1">
                  <c:v>2.2528491916247017E-2</c:v>
                </c:pt>
                <c:pt idx="2">
                  <c:v>3.140736814206202E-2</c:v>
                </c:pt>
                <c:pt idx="3">
                  <c:v>3.7768354094884708E-2</c:v>
                </c:pt>
                <c:pt idx="4">
                  <c:v>3.9358600583090382E-2</c:v>
                </c:pt>
                <c:pt idx="5">
                  <c:v>4.2406573018817915E-2</c:v>
                </c:pt>
                <c:pt idx="6">
                  <c:v>4.783991518685396E-2</c:v>
                </c:pt>
                <c:pt idx="7">
                  <c:v>4.9032600053008218E-2</c:v>
                </c:pt>
                <c:pt idx="8">
                  <c:v>4.9430161675059633E-2</c:v>
                </c:pt>
                <c:pt idx="9">
                  <c:v>5.5393586005830907E-2</c:v>
                </c:pt>
                <c:pt idx="10">
                  <c:v>0.29485820302146831</c:v>
                </c:pt>
                <c:pt idx="11">
                  <c:v>5.8706599522926055E-2</c:v>
                </c:pt>
                <c:pt idx="12">
                  <c:v>4.6117148157964485E-2</c:v>
                </c:pt>
                <c:pt idx="13">
                  <c:v>2.9817121653856346E-2</c:v>
                </c:pt>
                <c:pt idx="14">
                  <c:v>2.5841505433342168E-2</c:v>
                </c:pt>
                <c:pt idx="15">
                  <c:v>2.3588656241717465E-2</c:v>
                </c:pt>
                <c:pt idx="16">
                  <c:v>1.948051948051948E-2</c:v>
                </c:pt>
                <c:pt idx="17">
                  <c:v>1.9878081102570899E-2</c:v>
                </c:pt>
                <c:pt idx="18">
                  <c:v>3.5780545984627619E-2</c:v>
                </c:pt>
                <c:pt idx="19">
                  <c:v>2.8359395706334483E-2</c:v>
                </c:pt>
                <c:pt idx="20">
                  <c:v>1.8685396236416643E-2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A5-194B-8BE0-6E04CEFFFFA6}"/>
            </c:ext>
          </c:extLst>
        </c:ser>
        <c:ser>
          <c:idx val="1"/>
          <c:order val="1"/>
          <c:tx>
            <c:strRef>
              <c:f>加速度分布!$B$6</c:f>
              <c:strCache>
                <c:ptCount val="1"/>
                <c:pt idx="0">
                  <c:v>既存手法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加速度分布!$C$4:$W$4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xVal>
          <c:yVal>
            <c:numRef>
              <c:f>加速度分布!$C$6:$W$6</c:f>
              <c:numCache>
                <c:formatCode>General</c:formatCode>
                <c:ptCount val="21"/>
                <c:pt idx="0">
                  <c:v>2.5257127978127847E-2</c:v>
                </c:pt>
                <c:pt idx="1">
                  <c:v>1.7966410623616716E-2</c:v>
                </c:pt>
                <c:pt idx="2">
                  <c:v>2.838172113006119E-2</c:v>
                </c:pt>
                <c:pt idx="3">
                  <c:v>2.7860955604738967E-2</c:v>
                </c:pt>
                <c:pt idx="4">
                  <c:v>3.3459185001952871E-2</c:v>
                </c:pt>
                <c:pt idx="5">
                  <c:v>3.6974352297877877E-2</c:v>
                </c:pt>
                <c:pt idx="6">
                  <c:v>4.3093347220414011E-2</c:v>
                </c:pt>
                <c:pt idx="7">
                  <c:v>4.6087748991016794E-2</c:v>
                </c:pt>
                <c:pt idx="8">
                  <c:v>4.5566983465694572E-2</c:v>
                </c:pt>
                <c:pt idx="9">
                  <c:v>5.9627652649394611E-2</c:v>
                </c:pt>
                <c:pt idx="10">
                  <c:v>0.32248405155578702</c:v>
                </c:pt>
                <c:pt idx="11">
                  <c:v>6.9522197630516855E-2</c:v>
                </c:pt>
                <c:pt idx="12">
                  <c:v>5.1946361150891809E-2</c:v>
                </c:pt>
                <c:pt idx="13">
                  <c:v>3.5412055721911209E-2</c:v>
                </c:pt>
                <c:pt idx="14">
                  <c:v>2.6298659028772296E-2</c:v>
                </c:pt>
                <c:pt idx="15">
                  <c:v>2.2913683114177841E-2</c:v>
                </c:pt>
                <c:pt idx="16">
                  <c:v>1.8487176148938939E-2</c:v>
                </c:pt>
                <c:pt idx="17">
                  <c:v>1.5492774378336155E-2</c:v>
                </c:pt>
                <c:pt idx="18">
                  <c:v>2.5387319359458402E-2</c:v>
                </c:pt>
                <c:pt idx="19">
                  <c:v>2.616846764744174E-2</c:v>
                </c:pt>
                <c:pt idx="20">
                  <c:v>2.1611769300872281E-2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A5-194B-8BE0-6E04CEFFFFA6}"/>
            </c:ext>
          </c:extLst>
        </c:ser>
        <c:ser>
          <c:idx val="2"/>
          <c:order val="2"/>
          <c:tx>
            <c:strRef>
              <c:f>加速度分布!$B$7</c:f>
              <c:strCache>
                <c:ptCount val="1"/>
                <c:pt idx="0">
                  <c:v>提案手法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加速度分布!$C$4:$W$4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xVal>
          <c:yVal>
            <c:numRef>
              <c:f>加速度分布!$C$7:$W$7</c:f>
              <c:numCache>
                <c:formatCode>General</c:formatCode>
                <c:ptCount val="21"/>
                <c:pt idx="0">
                  <c:v>1.0526315789473684E-2</c:v>
                </c:pt>
                <c:pt idx="1">
                  <c:v>1.8880534670008355E-2</c:v>
                </c:pt>
                <c:pt idx="2">
                  <c:v>2.4895572263993318E-2</c:v>
                </c:pt>
                <c:pt idx="3">
                  <c:v>2.5730994152046785E-2</c:v>
                </c:pt>
                <c:pt idx="4">
                  <c:v>3.1077694235588971E-2</c:v>
                </c:pt>
                <c:pt idx="5">
                  <c:v>3.0409356725146199E-2</c:v>
                </c:pt>
                <c:pt idx="6">
                  <c:v>3.2247284878863823E-2</c:v>
                </c:pt>
                <c:pt idx="7">
                  <c:v>3.8095238095238099E-2</c:v>
                </c:pt>
                <c:pt idx="8">
                  <c:v>3.2581453634085211E-2</c:v>
                </c:pt>
                <c:pt idx="9">
                  <c:v>4.0100250626566414E-2</c:v>
                </c:pt>
                <c:pt idx="10">
                  <c:v>0.512280701754386</c:v>
                </c:pt>
                <c:pt idx="11">
                  <c:v>3.4252297410192145E-2</c:v>
                </c:pt>
                <c:pt idx="12">
                  <c:v>2.9239766081871343E-2</c:v>
                </c:pt>
                <c:pt idx="13">
                  <c:v>2.0718462823725983E-2</c:v>
                </c:pt>
                <c:pt idx="14">
                  <c:v>1.6708437761069339E-2</c:v>
                </c:pt>
                <c:pt idx="15">
                  <c:v>1.4035087719298246E-2</c:v>
                </c:pt>
                <c:pt idx="16">
                  <c:v>1.5371762740183793E-2</c:v>
                </c:pt>
                <c:pt idx="17">
                  <c:v>1.9381787802840434E-2</c:v>
                </c:pt>
                <c:pt idx="18">
                  <c:v>2.0551378446115289E-2</c:v>
                </c:pt>
                <c:pt idx="19">
                  <c:v>2.2556390977443608E-2</c:v>
                </c:pt>
                <c:pt idx="20">
                  <c:v>1.0359231411862992E-2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A5-194B-8BE0-6E04CEFFF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006256"/>
        <c:axId val="832647328"/>
      </c:scatterChart>
      <c:valAx>
        <c:axId val="895006256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/>
                  <a:t>加速度</a:t>
                </a:r>
                <a:r>
                  <a:rPr lang="en-US" altLang="ja-JP" sz="1200"/>
                  <a:t> [m/ss]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2647328"/>
        <c:crosses val="autoZero"/>
        <c:crossBetween val="midCat"/>
      </c:valAx>
      <c:valAx>
        <c:axId val="832647328"/>
        <c:scaling>
          <c:orientation val="minMax"/>
          <c:max val="0.6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/>
                  <a:t>発生割合</a:t>
                </a:r>
              </a:p>
            </c:rich>
          </c:tx>
          <c:layout>
            <c:manualLayout>
              <c:xMode val="edge"/>
              <c:yMode val="edge"/>
              <c:x val="2.0753830189830923E-2"/>
              <c:y val="0.380649486024022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006256"/>
        <c:crosses val="autoZero"/>
        <c:crossBetween val="midCat"/>
        <c:majorUnit val="0.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5507253453783398"/>
          <c:y val="0.13349134820469233"/>
          <c:w val="0.27681159420289853"/>
          <c:h val="0.22896794688426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638888888888884E-2"/>
          <c:y val="5.4236293379994166E-2"/>
          <c:w val="0.86706255468066495"/>
          <c:h val="0.6852125255176435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加速度分布!$B$25</c:f>
              <c:strCache>
                <c:ptCount val="1"/>
                <c:pt idx="0">
                  <c:v>全て受け入れ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加速度分布!$C$24:$W$24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xVal>
          <c:yVal>
            <c:numRef>
              <c:f>加速度分布!$C$25:$W$25</c:f>
              <c:numCache>
                <c:formatCode>General</c:formatCode>
                <c:ptCount val="21"/>
                <c:pt idx="0">
                  <c:v>1.629570747217806E-2</c:v>
                </c:pt>
                <c:pt idx="1">
                  <c:v>8.744038155802861E-3</c:v>
                </c:pt>
                <c:pt idx="2">
                  <c:v>1.3116057233704292E-2</c:v>
                </c:pt>
                <c:pt idx="3">
                  <c:v>1.192368839427663E-2</c:v>
                </c:pt>
                <c:pt idx="4">
                  <c:v>1.8680445151033388E-2</c:v>
                </c:pt>
                <c:pt idx="5">
                  <c:v>1.6693163751987282E-2</c:v>
                </c:pt>
                <c:pt idx="6">
                  <c:v>2.8219395866454691E-2</c:v>
                </c:pt>
                <c:pt idx="7">
                  <c:v>2.4642289348171701E-2</c:v>
                </c:pt>
                <c:pt idx="8">
                  <c:v>1.5500794912559618E-2</c:v>
                </c:pt>
                <c:pt idx="9">
                  <c:v>1.5500794912559618E-2</c:v>
                </c:pt>
                <c:pt idx="10">
                  <c:v>0.78338632750397452</c:v>
                </c:pt>
                <c:pt idx="11">
                  <c:v>5.1669316375198724E-3</c:v>
                </c:pt>
                <c:pt idx="12">
                  <c:v>8.744038155802861E-3</c:v>
                </c:pt>
                <c:pt idx="13">
                  <c:v>7.1542130365659781E-3</c:v>
                </c:pt>
                <c:pt idx="14">
                  <c:v>7.1542130365659781E-3</c:v>
                </c:pt>
                <c:pt idx="15">
                  <c:v>3.1796502384737681E-3</c:v>
                </c:pt>
                <c:pt idx="16">
                  <c:v>3.1796502384737681E-3</c:v>
                </c:pt>
                <c:pt idx="17">
                  <c:v>1.9872813990461048E-3</c:v>
                </c:pt>
                <c:pt idx="18">
                  <c:v>3.577106518282989E-3</c:v>
                </c:pt>
                <c:pt idx="19">
                  <c:v>3.1796502384737681E-3</c:v>
                </c:pt>
                <c:pt idx="20">
                  <c:v>3.9745627980922096E-3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8F-7340-9480-EB2328663059}"/>
            </c:ext>
          </c:extLst>
        </c:ser>
        <c:ser>
          <c:idx val="1"/>
          <c:order val="1"/>
          <c:tx>
            <c:strRef>
              <c:f>加速度分布!$B$26</c:f>
              <c:strCache>
                <c:ptCount val="1"/>
                <c:pt idx="0">
                  <c:v>既存手法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加速度分布!$C$24:$W$24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xVal>
          <c:yVal>
            <c:numRef>
              <c:f>加速度分布!$C$26:$W$26</c:f>
              <c:numCache>
                <c:formatCode>General</c:formatCode>
                <c:ptCount val="21"/>
                <c:pt idx="0">
                  <c:v>1.3328255902513329E-2</c:v>
                </c:pt>
                <c:pt idx="1">
                  <c:v>1.2566641279512566E-2</c:v>
                </c:pt>
                <c:pt idx="2">
                  <c:v>2.284843869002285E-2</c:v>
                </c:pt>
                <c:pt idx="3">
                  <c:v>2.7037319116527039E-2</c:v>
                </c:pt>
                <c:pt idx="4">
                  <c:v>3.3891850723533894E-2</c:v>
                </c:pt>
                <c:pt idx="5">
                  <c:v>3.3130236100533131E-2</c:v>
                </c:pt>
                <c:pt idx="6">
                  <c:v>3.1607006854531605E-2</c:v>
                </c:pt>
                <c:pt idx="7">
                  <c:v>3.8461538461538464E-2</c:v>
                </c:pt>
                <c:pt idx="8">
                  <c:v>2.2086824067022087E-2</c:v>
                </c:pt>
                <c:pt idx="9">
                  <c:v>2.6275704493526276E-2</c:v>
                </c:pt>
                <c:pt idx="10">
                  <c:v>0.67212490479817211</c:v>
                </c:pt>
                <c:pt idx="11">
                  <c:v>2.2086824067022087E-2</c:v>
                </c:pt>
                <c:pt idx="12">
                  <c:v>1.1424219345011425E-2</c:v>
                </c:pt>
                <c:pt idx="13">
                  <c:v>7.9969535415079975E-3</c:v>
                </c:pt>
                <c:pt idx="14">
                  <c:v>4.9504950495049506E-3</c:v>
                </c:pt>
                <c:pt idx="15">
                  <c:v>2.284843869002285E-3</c:v>
                </c:pt>
                <c:pt idx="16">
                  <c:v>3.8080731150038081E-3</c:v>
                </c:pt>
                <c:pt idx="17">
                  <c:v>3.4272658035034271E-3</c:v>
                </c:pt>
                <c:pt idx="18">
                  <c:v>6.4737242955064736E-3</c:v>
                </c:pt>
                <c:pt idx="19">
                  <c:v>1.904036557501904E-3</c:v>
                </c:pt>
                <c:pt idx="20">
                  <c:v>2.284843869002285E-3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8F-7340-9480-EB2328663059}"/>
            </c:ext>
          </c:extLst>
        </c:ser>
        <c:ser>
          <c:idx val="2"/>
          <c:order val="2"/>
          <c:tx>
            <c:strRef>
              <c:f>加速度分布!$B$27</c:f>
              <c:strCache>
                <c:ptCount val="1"/>
                <c:pt idx="0">
                  <c:v>提案手法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加速度分布!$C$24:$W$24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xVal>
          <c:yVal>
            <c:numRef>
              <c:f>加速度分布!$C$27:$W$27</c:f>
              <c:numCache>
                <c:formatCode>General</c:formatCode>
                <c:ptCount val="21"/>
                <c:pt idx="0">
                  <c:v>1.3481363996827915E-2</c:v>
                </c:pt>
                <c:pt idx="1">
                  <c:v>1.506740681998414E-2</c:v>
                </c:pt>
                <c:pt idx="2">
                  <c:v>2.0222045995241873E-2</c:v>
                </c:pt>
                <c:pt idx="3">
                  <c:v>1.506740681998414E-2</c:v>
                </c:pt>
                <c:pt idx="4">
                  <c:v>2.0618556701030927E-2</c:v>
                </c:pt>
                <c:pt idx="5">
                  <c:v>1.7842981760507533E-2</c:v>
                </c:pt>
                <c:pt idx="6">
                  <c:v>1.4274385408406027E-2</c:v>
                </c:pt>
                <c:pt idx="7">
                  <c:v>1.4670896114195083E-2</c:v>
                </c:pt>
                <c:pt idx="8">
                  <c:v>1.625693893735131E-2</c:v>
                </c:pt>
                <c:pt idx="9">
                  <c:v>1.4274385408406027E-2</c:v>
                </c:pt>
                <c:pt idx="10">
                  <c:v>0.78667724028548769</c:v>
                </c:pt>
                <c:pt idx="11">
                  <c:v>1.2688342585249802E-2</c:v>
                </c:pt>
                <c:pt idx="12">
                  <c:v>6.3441712926249009E-3</c:v>
                </c:pt>
                <c:pt idx="13">
                  <c:v>2.7755749405233942E-3</c:v>
                </c:pt>
                <c:pt idx="14">
                  <c:v>3.1720856463124504E-3</c:v>
                </c:pt>
                <c:pt idx="15">
                  <c:v>5.5511498810467885E-3</c:v>
                </c:pt>
                <c:pt idx="16">
                  <c:v>5.1546391752577319E-3</c:v>
                </c:pt>
                <c:pt idx="17">
                  <c:v>4.3616177636796195E-3</c:v>
                </c:pt>
                <c:pt idx="18">
                  <c:v>7.5337034099920699E-3</c:v>
                </c:pt>
                <c:pt idx="19">
                  <c:v>2.3790642347343376E-3</c:v>
                </c:pt>
                <c:pt idx="20">
                  <c:v>1.5860428231562252E-3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8F-7340-9480-EB2328663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246496"/>
        <c:axId val="194526704"/>
      </c:scatterChart>
      <c:valAx>
        <c:axId val="1190246496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/>
                  <a:t>加速度</a:t>
                </a:r>
                <a:r>
                  <a:rPr lang="en-US" altLang="ja-JP" sz="1200"/>
                  <a:t> [m/ss]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526704"/>
        <c:crosses val="autoZero"/>
        <c:crossBetween val="midCat"/>
      </c:valAx>
      <c:valAx>
        <c:axId val="19452670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/>
                  <a:t>発生割合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0246496"/>
        <c:crosses val="autoZero"/>
        <c:crossBetween val="midCat"/>
        <c:majorUnit val="0.2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4222222222222214"/>
          <c:y val="0.11631889763779524"/>
          <c:w val="0.28222222222222215"/>
          <c:h val="0.263310731991834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048556430446194E-2"/>
          <c:y val="6.9444444444444448E-2"/>
          <c:w val="0.87957655293088366"/>
          <c:h val="0.735771361913094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【参考】加速度分布_high!$B$5</c:f>
              <c:strCache>
                <c:ptCount val="1"/>
                <c:pt idx="0">
                  <c:v>全て受け入れ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【参考】加速度分布_high!$C$4:$AL$4</c:f>
              <c:numCache>
                <c:formatCode>General</c:formatCode>
                <c:ptCount val="36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</c:numCache>
            </c:numRef>
          </c:xVal>
          <c:yVal>
            <c:numRef>
              <c:f>【参考】加速度分布_high!$C$5:$AL$5</c:f>
              <c:numCache>
                <c:formatCode>General</c:formatCode>
                <c:ptCount val="36"/>
                <c:pt idx="0">
                  <c:v>2.0108586366378444E-4</c:v>
                </c:pt>
                <c:pt idx="1">
                  <c:v>9.0488638648702992E-4</c:v>
                </c:pt>
                <c:pt idx="2">
                  <c:v>8.0434345465513776E-4</c:v>
                </c:pt>
                <c:pt idx="3">
                  <c:v>3.0162879549567667E-3</c:v>
                </c:pt>
                <c:pt idx="4">
                  <c:v>5.3287753870902878E-3</c:v>
                </c:pt>
                <c:pt idx="5">
                  <c:v>4.5244319324351497E-3</c:v>
                </c:pt>
                <c:pt idx="6">
                  <c:v>5.5298612507540717E-3</c:v>
                </c:pt>
                <c:pt idx="7">
                  <c:v>8.4456062738789469E-3</c:v>
                </c:pt>
                <c:pt idx="8">
                  <c:v>1.4578725115624372E-2</c:v>
                </c:pt>
                <c:pt idx="9">
                  <c:v>2.362758898049467E-2</c:v>
                </c:pt>
                <c:pt idx="10">
                  <c:v>2.4431932435149809E-2</c:v>
                </c:pt>
                <c:pt idx="11">
                  <c:v>3.5089483209330384E-2</c:v>
                </c:pt>
                <c:pt idx="12">
                  <c:v>3.549165493665795E-2</c:v>
                </c:pt>
                <c:pt idx="13">
                  <c:v>3.6396541323144981E-2</c:v>
                </c:pt>
                <c:pt idx="14">
                  <c:v>3.9513372209933645E-2</c:v>
                </c:pt>
                <c:pt idx="15">
                  <c:v>4.2730746028554194E-2</c:v>
                </c:pt>
                <c:pt idx="16">
                  <c:v>4.9567665393122864E-2</c:v>
                </c:pt>
                <c:pt idx="17">
                  <c:v>5.0170922984114213E-2</c:v>
                </c:pt>
                <c:pt idx="18">
                  <c:v>5.7410014076010457E-2</c:v>
                </c:pt>
                <c:pt idx="19">
                  <c:v>6.1934446008445609E-2</c:v>
                </c:pt>
                <c:pt idx="20">
                  <c:v>0.16478986527247136</c:v>
                </c:pt>
                <c:pt idx="21">
                  <c:v>5.3589382666398552E-2</c:v>
                </c:pt>
                <c:pt idx="22">
                  <c:v>4.1825859642067163E-2</c:v>
                </c:pt>
                <c:pt idx="23">
                  <c:v>3.1168308867886588E-2</c:v>
                </c:pt>
                <c:pt idx="24">
                  <c:v>3.1570480595214154E-2</c:v>
                </c:pt>
                <c:pt idx="25">
                  <c:v>2.3828674844158456E-2</c:v>
                </c:pt>
                <c:pt idx="26">
                  <c:v>2.71465915946109E-2</c:v>
                </c:pt>
                <c:pt idx="27">
                  <c:v>2.2722702594007643E-2</c:v>
                </c:pt>
                <c:pt idx="28">
                  <c:v>1.7595013070581138E-2</c:v>
                </c:pt>
                <c:pt idx="29">
                  <c:v>1.5483611502111402E-2</c:v>
                </c:pt>
                <c:pt idx="30">
                  <c:v>1.7595013070581138E-2</c:v>
                </c:pt>
                <c:pt idx="31">
                  <c:v>1.1461894228835713E-2</c:v>
                </c:pt>
                <c:pt idx="32">
                  <c:v>1.0255379046853006E-2</c:v>
                </c:pt>
                <c:pt idx="33">
                  <c:v>1.0557007842348682E-2</c:v>
                </c:pt>
                <c:pt idx="34">
                  <c:v>1.3874924592801126E-2</c:v>
                </c:pt>
                <c:pt idx="35">
                  <c:v>6.8369193645686707E-3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28-DC45-B87B-253D1999BAA8}"/>
            </c:ext>
          </c:extLst>
        </c:ser>
        <c:ser>
          <c:idx val="1"/>
          <c:order val="1"/>
          <c:tx>
            <c:strRef>
              <c:f>【参考】加速度分布_high!$B$6</c:f>
              <c:strCache>
                <c:ptCount val="1"/>
                <c:pt idx="0">
                  <c:v>既存手法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【参考】加速度分布_high!$C$4:$AL$4</c:f>
              <c:numCache>
                <c:formatCode>General</c:formatCode>
                <c:ptCount val="36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</c:numCache>
            </c:numRef>
          </c:xVal>
          <c:yVal>
            <c:numRef>
              <c:f>【参考】加速度分布_high!$C$6:$AL$6</c:f>
              <c:numCache>
                <c:formatCode>General</c:formatCode>
                <c:ptCount val="36"/>
                <c:pt idx="0">
                  <c:v>2.0805159679600541E-4</c:v>
                </c:pt>
                <c:pt idx="1">
                  <c:v>3.3288255487360866E-3</c:v>
                </c:pt>
                <c:pt idx="2">
                  <c:v>2.1845417663580568E-3</c:v>
                </c:pt>
                <c:pt idx="3">
                  <c:v>6.4495995006761675E-3</c:v>
                </c:pt>
                <c:pt idx="4">
                  <c:v>6.2415479038801626E-3</c:v>
                </c:pt>
                <c:pt idx="5">
                  <c:v>6.1375221054821598E-3</c:v>
                </c:pt>
                <c:pt idx="6">
                  <c:v>7.6979090814522002E-3</c:v>
                </c:pt>
                <c:pt idx="7">
                  <c:v>1.1026734630188287E-2</c:v>
                </c:pt>
                <c:pt idx="8">
                  <c:v>1.0922708831790284E-2</c:v>
                </c:pt>
                <c:pt idx="9">
                  <c:v>1.997295329241652E-2</c:v>
                </c:pt>
                <c:pt idx="10">
                  <c:v>2.1429314469988556E-2</c:v>
                </c:pt>
                <c:pt idx="11">
                  <c:v>3.0167481535420784E-2</c:v>
                </c:pt>
                <c:pt idx="12">
                  <c:v>2.808696556746073E-2</c:v>
                </c:pt>
                <c:pt idx="13">
                  <c:v>2.9335275148236764E-2</c:v>
                </c:pt>
                <c:pt idx="14">
                  <c:v>3.6825132632892957E-2</c:v>
                </c:pt>
                <c:pt idx="15">
                  <c:v>3.6825132632892957E-2</c:v>
                </c:pt>
                <c:pt idx="16">
                  <c:v>5.0140434827837303E-2</c:v>
                </c:pt>
                <c:pt idx="17">
                  <c:v>4.9412254239051281E-2</c:v>
                </c:pt>
                <c:pt idx="18">
                  <c:v>5.6590034328513471E-2</c:v>
                </c:pt>
                <c:pt idx="19">
                  <c:v>6.522417559554769E-2</c:v>
                </c:pt>
                <c:pt idx="20">
                  <c:v>0.21793404764381566</c:v>
                </c:pt>
                <c:pt idx="21">
                  <c:v>5.190887340060335E-2</c:v>
                </c:pt>
                <c:pt idx="22">
                  <c:v>3.9113700197649016E-2</c:v>
                </c:pt>
                <c:pt idx="23">
                  <c:v>3.0167481535420784E-2</c:v>
                </c:pt>
                <c:pt idx="24">
                  <c:v>2.8711120357848747E-2</c:v>
                </c:pt>
                <c:pt idx="25">
                  <c:v>2.4342036825132633E-2</c:v>
                </c:pt>
                <c:pt idx="26">
                  <c:v>1.9868927494018515E-2</c:v>
                </c:pt>
                <c:pt idx="27">
                  <c:v>1.8308540518048477E-2</c:v>
                </c:pt>
                <c:pt idx="28">
                  <c:v>1.4355560178924373E-2</c:v>
                </c:pt>
                <c:pt idx="29">
                  <c:v>1.2483095807760325E-2</c:v>
                </c:pt>
                <c:pt idx="30">
                  <c:v>1.3627379590138355E-2</c:v>
                </c:pt>
                <c:pt idx="31">
                  <c:v>9.2582960574222415E-3</c:v>
                </c:pt>
                <c:pt idx="32">
                  <c:v>1.3003224799750338E-2</c:v>
                </c:pt>
                <c:pt idx="33">
                  <c:v>1.3003224799750338E-2</c:v>
                </c:pt>
                <c:pt idx="34">
                  <c:v>1.0714657234994278E-2</c:v>
                </c:pt>
                <c:pt idx="35">
                  <c:v>4.9932383231041299E-3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28-DC45-B87B-253D1999BAA8}"/>
            </c:ext>
          </c:extLst>
        </c:ser>
        <c:ser>
          <c:idx val="2"/>
          <c:order val="2"/>
          <c:tx>
            <c:strRef>
              <c:f>【参考】加速度分布_high!$B$7</c:f>
              <c:strCache>
                <c:ptCount val="1"/>
                <c:pt idx="0">
                  <c:v>提案手法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【参考】加速度分布_high!$C$4:$AL$4</c:f>
              <c:numCache>
                <c:formatCode>General</c:formatCode>
                <c:ptCount val="36"/>
                <c:pt idx="0">
                  <c:v>-2</c:v>
                </c:pt>
                <c:pt idx="1">
                  <c:v>-1.9</c:v>
                </c:pt>
                <c:pt idx="2">
                  <c:v>-1.8</c:v>
                </c:pt>
                <c:pt idx="3">
                  <c:v>-1.7</c:v>
                </c:pt>
                <c:pt idx="4">
                  <c:v>-1.6</c:v>
                </c:pt>
                <c:pt idx="5">
                  <c:v>-1.5</c:v>
                </c:pt>
                <c:pt idx="6">
                  <c:v>-1.4</c:v>
                </c:pt>
                <c:pt idx="7">
                  <c:v>-1.3</c:v>
                </c:pt>
                <c:pt idx="8">
                  <c:v>-1.2</c:v>
                </c:pt>
                <c:pt idx="9">
                  <c:v>-1.1000000000000001</c:v>
                </c:pt>
                <c:pt idx="10">
                  <c:v>-1</c:v>
                </c:pt>
                <c:pt idx="11">
                  <c:v>-0.9</c:v>
                </c:pt>
                <c:pt idx="12">
                  <c:v>-0.8</c:v>
                </c:pt>
                <c:pt idx="13">
                  <c:v>-0.7</c:v>
                </c:pt>
                <c:pt idx="14">
                  <c:v>-0.6</c:v>
                </c:pt>
                <c:pt idx="15">
                  <c:v>-0.5</c:v>
                </c:pt>
                <c:pt idx="16">
                  <c:v>-0.4</c:v>
                </c:pt>
                <c:pt idx="17">
                  <c:v>-0.3</c:v>
                </c:pt>
                <c:pt idx="18">
                  <c:v>-0.2</c:v>
                </c:pt>
                <c:pt idx="19">
                  <c:v>-0.1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0.9</c:v>
                </c:pt>
                <c:pt idx="30">
                  <c:v>1</c:v>
                </c:pt>
                <c:pt idx="31">
                  <c:v>1.1000000000000001</c:v>
                </c:pt>
                <c:pt idx="32">
                  <c:v>1.2</c:v>
                </c:pt>
                <c:pt idx="33">
                  <c:v>1.3</c:v>
                </c:pt>
                <c:pt idx="34">
                  <c:v>1.4</c:v>
                </c:pt>
                <c:pt idx="35">
                  <c:v>1.5</c:v>
                </c:pt>
              </c:numCache>
            </c:numRef>
          </c:xVal>
          <c:yVal>
            <c:numRef>
              <c:f>【参考】加速度分布_high!$C$7:$AL$7</c:f>
              <c:numCache>
                <c:formatCode>General</c:formatCode>
                <c:ptCount val="36"/>
                <c:pt idx="0">
                  <c:v>1.1804981702278361E-4</c:v>
                </c:pt>
                <c:pt idx="1">
                  <c:v>1.1804981702278361E-4</c:v>
                </c:pt>
                <c:pt idx="2">
                  <c:v>1.0624483532050526E-3</c:v>
                </c:pt>
                <c:pt idx="3">
                  <c:v>3.7775941447290755E-3</c:v>
                </c:pt>
                <c:pt idx="4">
                  <c:v>4.2497934128202103E-3</c:v>
                </c:pt>
                <c:pt idx="5">
                  <c:v>6.0205406681619646E-3</c:v>
                </c:pt>
                <c:pt idx="6">
                  <c:v>6.2566403022075315E-3</c:v>
                </c:pt>
                <c:pt idx="7">
                  <c:v>9.3259355447999053E-3</c:v>
                </c:pt>
                <c:pt idx="8">
                  <c:v>9.4439853618226884E-3</c:v>
                </c:pt>
                <c:pt idx="9">
                  <c:v>1.7589422736394758E-2</c:v>
                </c:pt>
                <c:pt idx="10">
                  <c:v>1.9714319442804863E-2</c:v>
                </c:pt>
                <c:pt idx="11">
                  <c:v>2.5734860110966828E-2</c:v>
                </c:pt>
                <c:pt idx="12">
                  <c:v>3.0220753157832604E-2</c:v>
                </c:pt>
                <c:pt idx="13">
                  <c:v>3.2109550230197147E-2</c:v>
                </c:pt>
                <c:pt idx="14">
                  <c:v>3.4470546570652814E-2</c:v>
                </c:pt>
                <c:pt idx="15">
                  <c:v>3.5178845472789516E-2</c:v>
                </c:pt>
                <c:pt idx="16">
                  <c:v>4.2379884311179318E-2</c:v>
                </c:pt>
                <c:pt idx="17">
                  <c:v>4.7928225711250147E-2</c:v>
                </c:pt>
                <c:pt idx="18">
                  <c:v>5.5483414000708296E-2</c:v>
                </c:pt>
                <c:pt idx="19">
                  <c:v>6.7170345885963878E-2</c:v>
                </c:pt>
                <c:pt idx="20">
                  <c:v>0.24672411757761775</c:v>
                </c:pt>
                <c:pt idx="21">
                  <c:v>4.934482351552355E-2</c:v>
                </c:pt>
                <c:pt idx="22">
                  <c:v>3.3053948766379411E-2</c:v>
                </c:pt>
                <c:pt idx="23">
                  <c:v>2.7269507732263016E-2</c:v>
                </c:pt>
                <c:pt idx="24">
                  <c:v>2.479046157478456E-2</c:v>
                </c:pt>
                <c:pt idx="25">
                  <c:v>1.9714319442804863E-2</c:v>
                </c:pt>
                <c:pt idx="26">
                  <c:v>1.7589422736394758E-2</c:v>
                </c:pt>
                <c:pt idx="27">
                  <c:v>1.9596269625782078E-2</c:v>
                </c:pt>
                <c:pt idx="28">
                  <c:v>1.7117223468303622E-2</c:v>
                </c:pt>
                <c:pt idx="29">
                  <c:v>1.5228426395939087E-2</c:v>
                </c:pt>
                <c:pt idx="30">
                  <c:v>1.5228426395939087E-2</c:v>
                </c:pt>
                <c:pt idx="31">
                  <c:v>1.6290874749144139E-2</c:v>
                </c:pt>
                <c:pt idx="32">
                  <c:v>1.5936725298075789E-2</c:v>
                </c:pt>
                <c:pt idx="33">
                  <c:v>1.6290874749144139E-2</c:v>
                </c:pt>
                <c:pt idx="34">
                  <c:v>1.2513280604415063E-2</c:v>
                </c:pt>
                <c:pt idx="35">
                  <c:v>4.958092314956912E-3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28-DC45-B87B-253D1999B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969184"/>
        <c:axId val="69690816"/>
      </c:scatterChart>
      <c:valAx>
        <c:axId val="812969184"/>
        <c:scaling>
          <c:orientation val="minMax"/>
          <c:max val="1.5"/>
          <c:min val="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/>
                  <a:t>加速度</a:t>
                </a:r>
                <a:r>
                  <a:rPr lang="en-US" altLang="ja-JP" sz="1200"/>
                  <a:t> [m/ss]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690816"/>
        <c:crosses val="autoZero"/>
        <c:crossBetween val="midCat"/>
      </c:valAx>
      <c:valAx>
        <c:axId val="69690816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/>
                  <a:t>発生割合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2969184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5333333333333332"/>
          <c:y val="9.3170749489647112E-2"/>
          <c:w val="0.28499999999999998"/>
          <c:h val="0.258681102362204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139700</xdr:colOff>
      <xdr:row>2</xdr:row>
      <xdr:rowOff>6350</xdr:rowOff>
    </xdr:from>
    <xdr:to>
      <xdr:col>29</xdr:col>
      <xdr:colOff>901700</xdr:colOff>
      <xdr:row>12</xdr:row>
      <xdr:rowOff>209550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FEEB5A6-214E-939F-953B-CC0FF0D1D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139700</xdr:colOff>
      <xdr:row>14</xdr:row>
      <xdr:rowOff>107950</xdr:rowOff>
    </xdr:from>
    <xdr:to>
      <xdr:col>27</xdr:col>
      <xdr:colOff>901700</xdr:colOff>
      <xdr:row>25</xdr:row>
      <xdr:rowOff>57150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B61294E-57E8-D9F9-5194-0217E1A64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9</xdr:row>
      <xdr:rowOff>120650</xdr:rowOff>
    </xdr:from>
    <xdr:to>
      <xdr:col>11</xdr:col>
      <xdr:colOff>787400</xdr:colOff>
      <xdr:row>20</xdr:row>
      <xdr:rowOff>69850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A8EECEC-C4A9-2880-16E6-F22E1B3CF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114300</xdr:colOff>
      <xdr:row>1</xdr:row>
      <xdr:rowOff>228600</xdr:rowOff>
    </xdr:from>
    <xdr:to>
      <xdr:col>32</xdr:col>
      <xdr:colOff>266700</xdr:colOff>
      <xdr:row>14</xdr:row>
      <xdr:rowOff>44450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6725030-A988-9CC5-E4B0-44D3A5F81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88900</xdr:colOff>
      <xdr:row>26</xdr:row>
      <xdr:rowOff>95250</xdr:rowOff>
    </xdr:from>
    <xdr:to>
      <xdr:col>32</xdr:col>
      <xdr:colOff>850900</xdr:colOff>
      <xdr:row>37</xdr:row>
      <xdr:rowOff>44450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9DAF337-385C-2442-C581-0F1142886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450850</xdr:colOff>
      <xdr:row>2</xdr:row>
      <xdr:rowOff>44450</xdr:rowOff>
    </xdr:from>
    <xdr:to>
      <xdr:col>46</xdr:col>
      <xdr:colOff>260350</xdr:colOff>
      <xdr:row>12</xdr:row>
      <xdr:rowOff>247650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9DB7069-3ACB-D45B-F761-CE54558DA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D960-FD15-1F43-B691-F58CD8083596}">
  <dimension ref="B2:Q35"/>
  <sheetViews>
    <sheetView topLeftCell="B1" workbookViewId="0">
      <selection activeCell="L29" sqref="L29"/>
    </sheetView>
  </sheetViews>
  <sheetFormatPr baseColWidth="10" defaultRowHeight="20"/>
  <cols>
    <col min="5" max="5" width="2.42578125" customWidth="1"/>
    <col min="6" max="6" width="13.140625" customWidth="1"/>
    <col min="7" max="7" width="12.85546875" customWidth="1"/>
    <col min="9" max="9" width="2.42578125" customWidth="1"/>
    <col min="10" max="12" width="12.85546875" customWidth="1"/>
    <col min="13" max="13" width="3.42578125" customWidth="1"/>
    <col min="14" max="16" width="12.85546875" customWidth="1"/>
  </cols>
  <sheetData>
    <row r="2" spans="2:17">
      <c r="B2" t="s">
        <v>11</v>
      </c>
      <c r="F2" t="s">
        <v>0</v>
      </c>
      <c r="J2" t="s">
        <v>6</v>
      </c>
      <c r="N2" t="s">
        <v>8</v>
      </c>
    </row>
    <row r="3" spans="2:17">
      <c r="B3" t="s">
        <v>4</v>
      </c>
      <c r="C3" t="s">
        <v>5</v>
      </c>
      <c r="F3" t="s">
        <v>1</v>
      </c>
      <c r="G3" t="s">
        <v>2</v>
      </c>
      <c r="H3" t="s">
        <v>3</v>
      </c>
      <c r="J3" t="s">
        <v>1</v>
      </c>
      <c r="K3" t="s">
        <v>2</v>
      </c>
      <c r="L3" t="s">
        <v>3</v>
      </c>
      <c r="N3" t="s">
        <v>1</v>
      </c>
      <c r="O3" t="s">
        <v>2</v>
      </c>
      <c r="P3" t="s">
        <v>3</v>
      </c>
    </row>
    <row r="5" spans="2:17">
      <c r="B5" s="2">
        <v>10</v>
      </c>
      <c r="C5">
        <v>600</v>
      </c>
      <c r="D5">
        <v>600</v>
      </c>
      <c r="F5">
        <v>10.9344</v>
      </c>
      <c r="G5">
        <v>12.543200000000001</v>
      </c>
      <c r="H5">
        <v>12.344099999999999</v>
      </c>
      <c r="J5">
        <v>10.724500000000001</v>
      </c>
      <c r="K5">
        <v>12.477</v>
      </c>
      <c r="L5">
        <v>12.2576</v>
      </c>
      <c r="N5">
        <v>10.9344</v>
      </c>
      <c r="O5">
        <v>12.4185</v>
      </c>
      <c r="P5">
        <v>12.236499999999999</v>
      </c>
      <c r="Q5" t="s">
        <v>19</v>
      </c>
    </row>
    <row r="6" spans="2:17">
      <c r="B6" s="2"/>
      <c r="C6">
        <v>600</v>
      </c>
      <c r="D6">
        <v>800</v>
      </c>
      <c r="F6">
        <v>11.0723</v>
      </c>
      <c r="G6">
        <v>12.9292</v>
      </c>
      <c r="H6">
        <v>12.755800000000001</v>
      </c>
      <c r="J6">
        <v>10.970499999999999</v>
      </c>
      <c r="K6">
        <v>10.964700000000001</v>
      </c>
      <c r="L6">
        <v>10.965199999999999</v>
      </c>
      <c r="N6" s="3">
        <v>11.0723</v>
      </c>
      <c r="O6" s="3">
        <v>11.1431</v>
      </c>
      <c r="P6" s="3">
        <v>11.1371</v>
      </c>
    </row>
    <row r="7" spans="2:17">
      <c r="B7" s="2"/>
      <c r="C7">
        <v>800</v>
      </c>
      <c r="D7">
        <v>800</v>
      </c>
      <c r="F7">
        <v>7.8475000000000001</v>
      </c>
      <c r="G7">
        <v>9.3515999999999995</v>
      </c>
      <c r="H7">
        <v>9.2278000000000002</v>
      </c>
      <c r="J7">
        <v>9.7243999999999993</v>
      </c>
      <c r="K7">
        <v>10.103899999999999</v>
      </c>
      <c r="L7">
        <v>10.075200000000001</v>
      </c>
      <c r="N7">
        <v>9.7243999999999993</v>
      </c>
      <c r="O7">
        <v>9.9892000000000003</v>
      </c>
      <c r="P7">
        <v>9.9692000000000007</v>
      </c>
    </row>
    <row r="8" spans="2:17">
      <c r="B8" s="2"/>
      <c r="C8">
        <v>1000</v>
      </c>
      <c r="D8">
        <v>800</v>
      </c>
      <c r="F8">
        <v>10.1713</v>
      </c>
      <c r="G8">
        <v>10.864100000000001</v>
      </c>
      <c r="H8">
        <v>10.798500000000001</v>
      </c>
      <c r="J8">
        <v>9.2489000000000008</v>
      </c>
      <c r="K8">
        <v>10.0596</v>
      </c>
      <c r="L8">
        <v>9.9804999999999993</v>
      </c>
      <c r="N8">
        <v>10.1713</v>
      </c>
      <c r="O8">
        <v>10.864100000000001</v>
      </c>
      <c r="P8">
        <v>10.798500000000001</v>
      </c>
      <c r="Q8" t="s">
        <v>19</v>
      </c>
    </row>
    <row r="10" spans="2:17">
      <c r="B10" s="2">
        <v>15</v>
      </c>
      <c r="C10">
        <v>600</v>
      </c>
      <c r="D10">
        <v>600</v>
      </c>
    </row>
    <row r="11" spans="2:17">
      <c r="B11" s="2"/>
      <c r="C11">
        <v>600</v>
      </c>
      <c r="D11">
        <v>800</v>
      </c>
      <c r="J11">
        <v>10.7117</v>
      </c>
      <c r="K11">
        <v>11.269600000000001</v>
      </c>
      <c r="L11">
        <v>11.177</v>
      </c>
      <c r="N11">
        <v>10.7117</v>
      </c>
      <c r="O11">
        <v>11.269600000000001</v>
      </c>
      <c r="P11">
        <v>11.177</v>
      </c>
    </row>
    <row r="12" spans="2:17">
      <c r="B12" s="2"/>
      <c r="C12">
        <v>800</v>
      </c>
      <c r="D12">
        <v>800</v>
      </c>
    </row>
    <row r="13" spans="2:17">
      <c r="B13" s="2"/>
      <c r="C13">
        <v>1000</v>
      </c>
      <c r="D13">
        <v>800</v>
      </c>
      <c r="J13" s="5">
        <v>7.0955000000000004</v>
      </c>
      <c r="K13" s="5">
        <v>7.6482999999999999</v>
      </c>
      <c r="L13" s="5">
        <v>7.5735000000000001</v>
      </c>
      <c r="N13" s="4">
        <v>8.218</v>
      </c>
      <c r="O13" s="4">
        <v>9.0305999999999997</v>
      </c>
      <c r="P13" s="4">
        <v>8.9163999999999994</v>
      </c>
      <c r="Q13" s="4" t="s">
        <v>9</v>
      </c>
    </row>
    <row r="15" spans="2:17">
      <c r="B15" s="2">
        <v>25</v>
      </c>
      <c r="C15">
        <v>600</v>
      </c>
      <c r="D15">
        <v>600</v>
      </c>
      <c r="F15">
        <v>10.867599999999999</v>
      </c>
      <c r="G15">
        <v>12.5465</v>
      </c>
      <c r="H15">
        <v>12.0412</v>
      </c>
      <c r="J15">
        <v>10.8474</v>
      </c>
      <c r="K15">
        <v>11.876300000000001</v>
      </c>
      <c r="L15">
        <v>11.577999999999999</v>
      </c>
      <c r="N15">
        <v>10.867599999999999</v>
      </c>
      <c r="O15">
        <v>12.5465</v>
      </c>
      <c r="P15">
        <v>12.0412</v>
      </c>
    </row>
    <row r="16" spans="2:17">
      <c r="B16" s="2"/>
      <c r="C16">
        <v>600</v>
      </c>
      <c r="D16">
        <v>800</v>
      </c>
      <c r="F16">
        <v>10.5802</v>
      </c>
      <c r="G16">
        <v>11.5543</v>
      </c>
      <c r="H16">
        <v>11.293900000000001</v>
      </c>
      <c r="J16">
        <v>10.3108</v>
      </c>
      <c r="K16">
        <v>11.2036</v>
      </c>
      <c r="L16">
        <v>10.9625</v>
      </c>
      <c r="N16">
        <v>10.342000000000001</v>
      </c>
      <c r="O16">
        <v>11.315200000000001</v>
      </c>
      <c r="P16">
        <v>11.0535</v>
      </c>
    </row>
    <row r="17" spans="2:17">
      <c r="B17" s="2"/>
      <c r="C17">
        <v>800</v>
      </c>
      <c r="D17">
        <v>800</v>
      </c>
      <c r="F17">
        <v>10.391999999999999</v>
      </c>
      <c r="G17">
        <v>11.0593</v>
      </c>
      <c r="H17">
        <v>10.876799999999999</v>
      </c>
      <c r="J17">
        <v>10.2982</v>
      </c>
      <c r="K17">
        <v>11.1783</v>
      </c>
      <c r="L17">
        <v>10.9343</v>
      </c>
      <c r="N17">
        <v>10.391999999999999</v>
      </c>
      <c r="O17">
        <v>11.0593</v>
      </c>
      <c r="P17">
        <v>10.876799999999999</v>
      </c>
      <c r="Q17" t="s">
        <v>12</v>
      </c>
    </row>
    <row r="18" spans="2:17">
      <c r="B18" s="2"/>
      <c r="C18">
        <v>1000</v>
      </c>
      <c r="D18">
        <v>800</v>
      </c>
      <c r="F18">
        <v>8.0067000000000004</v>
      </c>
      <c r="G18">
        <v>8.3523999999999994</v>
      </c>
      <c r="H18">
        <v>8.266</v>
      </c>
      <c r="J18">
        <v>7.6889000000000003</v>
      </c>
      <c r="K18">
        <v>8.2969000000000008</v>
      </c>
      <c r="L18">
        <v>8.1397999999999993</v>
      </c>
      <c r="N18">
        <v>7.6848999999999998</v>
      </c>
      <c r="O18">
        <v>8.2924000000000007</v>
      </c>
      <c r="P18">
        <v>8.1354000000000006</v>
      </c>
    </row>
    <row r="20" spans="2:17">
      <c r="B20" s="2">
        <v>30</v>
      </c>
    </row>
    <row r="21" spans="2:17">
      <c r="B21" s="2"/>
    </row>
    <row r="22" spans="2:17">
      <c r="B22" s="2"/>
    </row>
    <row r="23" spans="2:17">
      <c r="B23" s="2"/>
    </row>
    <row r="24" spans="2:17">
      <c r="B24" s="1"/>
    </row>
    <row r="25" spans="2:17">
      <c r="B25" s="2">
        <v>40</v>
      </c>
      <c r="C25">
        <v>600</v>
      </c>
      <c r="D25">
        <v>600</v>
      </c>
      <c r="F25">
        <v>10.731199999999999</v>
      </c>
      <c r="G25">
        <v>11.240600000000001</v>
      </c>
      <c r="H25">
        <v>11.042</v>
      </c>
      <c r="J25">
        <v>10.663600000000001</v>
      </c>
      <c r="K25">
        <v>11.4032</v>
      </c>
      <c r="L25">
        <v>11.110900000000001</v>
      </c>
      <c r="N25">
        <v>10.731199999999999</v>
      </c>
      <c r="O25">
        <v>11.240600000000001</v>
      </c>
      <c r="P25">
        <v>11.042</v>
      </c>
    </row>
    <row r="26" spans="2:17">
      <c r="B26" s="2"/>
      <c r="C26">
        <v>600</v>
      </c>
      <c r="D26">
        <v>800</v>
      </c>
      <c r="F26">
        <v>10.749700000000001</v>
      </c>
      <c r="G26">
        <v>11.768599999999999</v>
      </c>
      <c r="H26">
        <v>11.3607</v>
      </c>
      <c r="J26">
        <v>10.749700000000001</v>
      </c>
      <c r="K26">
        <v>11.768599999999999</v>
      </c>
      <c r="L26">
        <v>11.3607</v>
      </c>
      <c r="N26">
        <v>10.749700000000001</v>
      </c>
      <c r="O26">
        <v>11.768599999999999</v>
      </c>
      <c r="P26">
        <v>11.3607</v>
      </c>
    </row>
    <row r="27" spans="2:17">
      <c r="B27" s="2"/>
      <c r="C27">
        <v>800</v>
      </c>
      <c r="D27">
        <v>800</v>
      </c>
      <c r="F27">
        <v>7.5848000000000004</v>
      </c>
      <c r="G27">
        <v>8.2539999999999996</v>
      </c>
      <c r="H27">
        <v>7.9722</v>
      </c>
      <c r="J27">
        <v>7.4470000000000001</v>
      </c>
      <c r="K27">
        <v>8.5422999999999991</v>
      </c>
      <c r="L27">
        <v>8.0688999999999993</v>
      </c>
      <c r="N27">
        <v>9.5855999999999995</v>
      </c>
      <c r="O27">
        <v>10.0654</v>
      </c>
      <c r="P27">
        <v>9.8714999999999993</v>
      </c>
    </row>
    <row r="28" spans="2:17">
      <c r="B28" s="2"/>
      <c r="C28">
        <v>1000</v>
      </c>
      <c r="D28">
        <v>800</v>
      </c>
      <c r="F28">
        <v>9.0846999999999998</v>
      </c>
      <c r="G28">
        <v>9.2353000000000005</v>
      </c>
      <c r="H28">
        <v>9.1775000000000002</v>
      </c>
      <c r="J28">
        <v>8.4341000000000008</v>
      </c>
      <c r="K28">
        <v>8.8719999999999999</v>
      </c>
      <c r="L28">
        <v>8.7013999999999996</v>
      </c>
      <c r="N28">
        <v>9.0846999999999998</v>
      </c>
      <c r="O28">
        <v>9.2353000000000005</v>
      </c>
      <c r="P28">
        <v>9.1775000000000002</v>
      </c>
    </row>
    <row r="29" spans="2:17">
      <c r="B29" s="1"/>
    </row>
    <row r="30" spans="2:17">
      <c r="B30" s="1"/>
    </row>
    <row r="31" spans="2:17">
      <c r="C31" t="s">
        <v>10</v>
      </c>
    </row>
    <row r="32" spans="2:17">
      <c r="B32" s="2">
        <v>40</v>
      </c>
      <c r="C32">
        <v>600</v>
      </c>
      <c r="D32">
        <v>600</v>
      </c>
      <c r="J32">
        <v>10.6563</v>
      </c>
      <c r="K32">
        <v>11.340400000000001</v>
      </c>
      <c r="L32">
        <v>11.07</v>
      </c>
      <c r="N32">
        <v>9.7851999999999997</v>
      </c>
      <c r="O32">
        <v>10.436500000000001</v>
      </c>
      <c r="P32">
        <v>10.177899999999999</v>
      </c>
    </row>
    <row r="33" spans="2:16">
      <c r="B33" s="2"/>
      <c r="C33">
        <v>800</v>
      </c>
      <c r="D33">
        <v>800</v>
      </c>
      <c r="J33">
        <v>7.0166000000000004</v>
      </c>
      <c r="K33">
        <v>8.4463000000000008</v>
      </c>
      <c r="L33">
        <v>7.8132999999999999</v>
      </c>
      <c r="N33">
        <v>7.0166000000000004</v>
      </c>
      <c r="O33">
        <v>8.4463000000000008</v>
      </c>
      <c r="P33">
        <v>7.8132999999999999</v>
      </c>
    </row>
    <row r="34" spans="2:16">
      <c r="B34" s="2"/>
      <c r="C34">
        <v>800</v>
      </c>
      <c r="D34">
        <v>600</v>
      </c>
      <c r="J34">
        <v>10.5724</v>
      </c>
      <c r="K34">
        <v>11.364800000000001</v>
      </c>
      <c r="L34">
        <v>11.075100000000001</v>
      </c>
      <c r="N34">
        <v>10.5724</v>
      </c>
      <c r="O34">
        <v>11.364800000000001</v>
      </c>
      <c r="P34">
        <v>11.075100000000001</v>
      </c>
    </row>
    <row r="35" spans="2:16">
      <c r="B35" s="2"/>
      <c r="C35">
        <v>1000</v>
      </c>
      <c r="D35">
        <v>800</v>
      </c>
      <c r="J35">
        <v>8.4341000000000008</v>
      </c>
      <c r="K35">
        <v>8.8719999999999999</v>
      </c>
      <c r="L35">
        <v>8.7013999999999996</v>
      </c>
      <c r="N35">
        <v>8.9765999999999995</v>
      </c>
      <c r="O35">
        <v>9.2949999999999999</v>
      </c>
      <c r="P35">
        <v>9.1715</v>
      </c>
    </row>
  </sheetData>
  <mergeCells count="6">
    <mergeCell ref="B5:B8"/>
    <mergeCell ref="B10:B13"/>
    <mergeCell ref="B15:B18"/>
    <mergeCell ref="B20:B23"/>
    <mergeCell ref="B32:B35"/>
    <mergeCell ref="B25:B28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F663-00E8-5A4C-B20C-C4DC7E3762B5}">
  <dimension ref="B2:Q32"/>
  <sheetViews>
    <sheetView topLeftCell="B5" workbookViewId="0">
      <selection activeCell="E18" sqref="E18"/>
    </sheetView>
  </sheetViews>
  <sheetFormatPr baseColWidth="10" defaultRowHeight="20"/>
  <cols>
    <col min="5" max="5" width="2.42578125" customWidth="1"/>
    <col min="6" max="6" width="13.140625" customWidth="1"/>
    <col min="7" max="7" width="12.85546875" customWidth="1"/>
    <col min="9" max="9" width="2.42578125" customWidth="1"/>
    <col min="10" max="12" width="12.85546875" customWidth="1"/>
    <col min="13" max="13" width="3.42578125" customWidth="1"/>
    <col min="14" max="16" width="12.85546875" customWidth="1"/>
  </cols>
  <sheetData>
    <row r="2" spans="2:16">
      <c r="F2" t="s">
        <v>0</v>
      </c>
      <c r="J2" t="s">
        <v>6</v>
      </c>
      <c r="N2" t="s">
        <v>8</v>
      </c>
    </row>
    <row r="3" spans="2:16">
      <c r="B3" t="s">
        <v>4</v>
      </c>
      <c r="C3" t="s">
        <v>5</v>
      </c>
      <c r="F3" t="s">
        <v>1</v>
      </c>
      <c r="G3" t="s">
        <v>2</v>
      </c>
      <c r="H3" t="s">
        <v>3</v>
      </c>
      <c r="J3" t="s">
        <v>1</v>
      </c>
      <c r="K3" t="s">
        <v>2</v>
      </c>
      <c r="L3" t="s">
        <v>3</v>
      </c>
      <c r="N3" t="s">
        <v>1</v>
      </c>
      <c r="O3" t="s">
        <v>2</v>
      </c>
      <c r="P3" t="s">
        <v>3</v>
      </c>
    </row>
    <row r="5" spans="2:16">
      <c r="B5" s="2">
        <v>10</v>
      </c>
      <c r="C5">
        <v>600</v>
      </c>
      <c r="D5">
        <v>600</v>
      </c>
      <c r="F5">
        <v>10.5379</v>
      </c>
      <c r="G5">
        <v>12.5946</v>
      </c>
      <c r="H5">
        <v>12.329499999999999</v>
      </c>
      <c r="J5">
        <v>10.2072</v>
      </c>
      <c r="K5">
        <v>12.242800000000001</v>
      </c>
      <c r="L5">
        <v>11.9818</v>
      </c>
      <c r="N5">
        <v>10.2072</v>
      </c>
      <c r="O5">
        <v>12.242800000000001</v>
      </c>
      <c r="P5">
        <v>11.9818</v>
      </c>
    </row>
    <row r="6" spans="2:16">
      <c r="B6" s="2"/>
      <c r="C6">
        <v>600</v>
      </c>
      <c r="D6">
        <v>800</v>
      </c>
      <c r="F6">
        <v>10.236499999999999</v>
      </c>
      <c r="G6">
        <v>11.9253</v>
      </c>
      <c r="H6">
        <v>11.7476</v>
      </c>
      <c r="J6">
        <v>10.084099999999999</v>
      </c>
      <c r="K6">
        <v>11.5589</v>
      </c>
      <c r="L6">
        <v>11.4034</v>
      </c>
      <c r="N6">
        <v>9.0550999999999995</v>
      </c>
      <c r="O6">
        <v>11.167400000000001</v>
      </c>
      <c r="P6">
        <v>10.934699999999999</v>
      </c>
    </row>
    <row r="7" spans="2:16">
      <c r="B7" s="2"/>
      <c r="C7">
        <v>800</v>
      </c>
      <c r="D7">
        <v>800</v>
      </c>
      <c r="F7">
        <v>10.9079</v>
      </c>
      <c r="G7">
        <v>11.073399999999999</v>
      </c>
      <c r="H7">
        <v>11.059699999999999</v>
      </c>
      <c r="J7">
        <v>10.3299</v>
      </c>
      <c r="K7">
        <v>10.649800000000001</v>
      </c>
      <c r="L7">
        <v>10.622299999999999</v>
      </c>
      <c r="N7">
        <v>10.835000000000001</v>
      </c>
      <c r="O7">
        <v>10.960900000000001</v>
      </c>
      <c r="P7">
        <v>10.9504</v>
      </c>
    </row>
    <row r="8" spans="2:16">
      <c r="B8" s="2"/>
      <c r="C8">
        <v>1000</v>
      </c>
      <c r="D8">
        <v>800</v>
      </c>
      <c r="F8">
        <v>9.5610999999999997</v>
      </c>
      <c r="G8">
        <v>11.147</v>
      </c>
      <c r="H8">
        <v>10.9908</v>
      </c>
      <c r="J8">
        <v>8.5550999999999995</v>
      </c>
      <c r="K8">
        <v>10.794600000000001</v>
      </c>
      <c r="L8">
        <v>10.5672</v>
      </c>
      <c r="N8">
        <v>8.4185999999999996</v>
      </c>
      <c r="O8">
        <v>10.638299999999999</v>
      </c>
      <c r="P8">
        <v>10.4145</v>
      </c>
    </row>
    <row r="10" spans="2:16">
      <c r="B10" s="2">
        <v>15</v>
      </c>
      <c r="C10">
        <v>600</v>
      </c>
      <c r="D10">
        <v>600</v>
      </c>
    </row>
    <row r="11" spans="2:16">
      <c r="B11" s="2"/>
      <c r="C11">
        <v>600</v>
      </c>
      <c r="D11">
        <v>800</v>
      </c>
    </row>
    <row r="12" spans="2:16">
      <c r="B12" s="2"/>
      <c r="C12">
        <v>800</v>
      </c>
      <c r="D12">
        <v>800</v>
      </c>
    </row>
    <row r="13" spans="2:16">
      <c r="B13" s="2"/>
      <c r="C13">
        <v>1000</v>
      </c>
      <c r="D13">
        <v>800</v>
      </c>
    </row>
    <row r="15" spans="2:16">
      <c r="B15" s="2">
        <v>25</v>
      </c>
      <c r="C15">
        <v>600</v>
      </c>
      <c r="D15">
        <v>600</v>
      </c>
      <c r="F15">
        <v>10.6134</v>
      </c>
      <c r="G15">
        <v>12.398099999999999</v>
      </c>
      <c r="H15">
        <v>11.9468</v>
      </c>
      <c r="J15">
        <v>10.152100000000001</v>
      </c>
      <c r="K15">
        <v>12.047800000000001</v>
      </c>
      <c r="L15">
        <v>11.571899999999999</v>
      </c>
      <c r="N15">
        <v>10.152100000000001</v>
      </c>
      <c r="O15">
        <v>12.047800000000001</v>
      </c>
      <c r="P15">
        <v>11.571899999999999</v>
      </c>
    </row>
    <row r="16" spans="2:16">
      <c r="B16" s="2"/>
      <c r="C16">
        <v>600</v>
      </c>
      <c r="D16">
        <v>800</v>
      </c>
      <c r="F16">
        <v>10.5319</v>
      </c>
      <c r="G16">
        <v>11.5166</v>
      </c>
      <c r="H16">
        <v>11.273</v>
      </c>
      <c r="J16">
        <v>10.3042</v>
      </c>
      <c r="K16">
        <v>11.327999999999999</v>
      </c>
      <c r="L16">
        <v>11.073700000000001</v>
      </c>
      <c r="N16">
        <v>10.5319</v>
      </c>
      <c r="O16">
        <v>11.5069</v>
      </c>
      <c r="P16">
        <v>11.2658</v>
      </c>
    </row>
    <row r="17" spans="2:17">
      <c r="B17" s="2"/>
      <c r="C17">
        <v>800</v>
      </c>
      <c r="D17">
        <v>800</v>
      </c>
      <c r="F17">
        <v>10.339</v>
      </c>
      <c r="G17">
        <v>11.148899999999999</v>
      </c>
      <c r="H17">
        <v>10.951700000000001</v>
      </c>
      <c r="J17">
        <v>10.339</v>
      </c>
      <c r="K17">
        <v>11.148899999999999</v>
      </c>
      <c r="L17">
        <v>10.951700000000001</v>
      </c>
      <c r="N17">
        <v>10.339</v>
      </c>
      <c r="O17">
        <v>11.148899999999999</v>
      </c>
      <c r="P17">
        <v>10.951700000000001</v>
      </c>
    </row>
    <row r="18" spans="2:17">
      <c r="B18" s="2"/>
      <c r="C18">
        <v>1000</v>
      </c>
      <c r="D18">
        <v>800</v>
      </c>
      <c r="F18" s="7"/>
      <c r="G18" s="7"/>
      <c r="H18" s="7"/>
      <c r="J18" s="7"/>
      <c r="K18" s="7"/>
      <c r="L18" s="7"/>
      <c r="N18" s="7"/>
      <c r="O18" s="7"/>
      <c r="P18" s="7"/>
      <c r="Q18" t="s">
        <v>20</v>
      </c>
    </row>
    <row r="20" spans="2:17">
      <c r="B20" s="2">
        <v>30</v>
      </c>
    </row>
    <row r="21" spans="2:17">
      <c r="B21" s="2"/>
    </row>
    <row r="22" spans="2:17">
      <c r="B22" s="2"/>
    </row>
    <row r="23" spans="2:17">
      <c r="B23" s="2"/>
    </row>
    <row r="25" spans="2:17">
      <c r="B25" s="2">
        <v>40</v>
      </c>
      <c r="C25">
        <v>600</v>
      </c>
      <c r="D25">
        <v>600</v>
      </c>
      <c r="F25">
        <v>10.7538</v>
      </c>
      <c r="G25">
        <v>12.165800000000001</v>
      </c>
      <c r="H25">
        <v>11.595499999999999</v>
      </c>
      <c r="J25">
        <v>10.4072</v>
      </c>
      <c r="K25">
        <v>11.794499999999999</v>
      </c>
      <c r="L25">
        <v>11.2385</v>
      </c>
      <c r="N25">
        <v>10.4072</v>
      </c>
      <c r="O25">
        <v>11.794499999999999</v>
      </c>
      <c r="P25">
        <v>11.2385</v>
      </c>
    </row>
    <row r="26" spans="2:17">
      <c r="B26" s="2"/>
      <c r="C26">
        <v>600</v>
      </c>
      <c r="D26">
        <v>800</v>
      </c>
      <c r="F26">
        <v>10.6829</v>
      </c>
      <c r="G26">
        <v>10.7393</v>
      </c>
      <c r="H26">
        <v>10.715999999999999</v>
      </c>
      <c r="J26" s="7">
        <v>10.3249</v>
      </c>
      <c r="K26" s="7">
        <v>10.5406</v>
      </c>
      <c r="L26" s="7">
        <v>10.455</v>
      </c>
      <c r="N26">
        <v>10.3028</v>
      </c>
      <c r="O26">
        <v>10.276999999999999</v>
      </c>
      <c r="P26">
        <v>10.287699999999999</v>
      </c>
      <c r="Q26" t="s">
        <v>21</v>
      </c>
    </row>
    <row r="27" spans="2:17">
      <c r="B27" s="2"/>
      <c r="C27">
        <v>800</v>
      </c>
      <c r="D27">
        <v>800</v>
      </c>
      <c r="F27">
        <v>9.7027999999999999</v>
      </c>
      <c r="G27">
        <v>10.394399999999999</v>
      </c>
      <c r="H27">
        <v>10.118</v>
      </c>
      <c r="J27">
        <v>9.9574999999999996</v>
      </c>
      <c r="K27">
        <v>10.496700000000001</v>
      </c>
      <c r="L27">
        <v>10.283200000000001</v>
      </c>
      <c r="N27">
        <v>9.9574999999999996</v>
      </c>
      <c r="O27">
        <v>10.496700000000001</v>
      </c>
      <c r="P27">
        <v>10.283200000000001</v>
      </c>
    </row>
    <row r="28" spans="2:17">
      <c r="B28" s="2"/>
      <c r="C28">
        <v>1000</v>
      </c>
      <c r="D28">
        <v>800</v>
      </c>
      <c r="F28" s="7"/>
      <c r="G28" s="7"/>
      <c r="H28" s="7"/>
      <c r="J28" s="7"/>
      <c r="K28" s="7"/>
      <c r="L28" s="7"/>
      <c r="N28" s="7"/>
      <c r="O28" s="7"/>
      <c r="P28" s="7"/>
      <c r="Q28" t="s">
        <v>13</v>
      </c>
    </row>
    <row r="30" spans="2:17">
      <c r="B30">
        <v>40</v>
      </c>
      <c r="C30">
        <v>1000</v>
      </c>
      <c r="D30">
        <v>800</v>
      </c>
      <c r="F30">
        <v>8.8242999999999991</v>
      </c>
      <c r="G30">
        <v>8.5873000000000008</v>
      </c>
      <c r="H30">
        <v>8.6791</v>
      </c>
    </row>
    <row r="32" spans="2:17">
      <c r="B32">
        <v>25</v>
      </c>
      <c r="C32">
        <v>1000</v>
      </c>
      <c r="D32">
        <v>800</v>
      </c>
      <c r="F32">
        <v>8.7660999999999998</v>
      </c>
      <c r="G32">
        <v>9.5184999999999995</v>
      </c>
      <c r="H32">
        <v>9.3407999999999998</v>
      </c>
      <c r="J32">
        <v>9.0892999999999997</v>
      </c>
      <c r="K32">
        <v>8.5056999999999992</v>
      </c>
      <c r="L32">
        <v>8.6524000000000001</v>
      </c>
    </row>
  </sheetData>
  <mergeCells count="5">
    <mergeCell ref="B5:B8"/>
    <mergeCell ref="B10:B13"/>
    <mergeCell ref="B15:B18"/>
    <mergeCell ref="B20:B23"/>
    <mergeCell ref="B25:B28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B4B5-E4F2-6540-A122-8FBB5D97D7A5}">
  <dimension ref="B2:Q30"/>
  <sheetViews>
    <sheetView workbookViewId="0">
      <selection activeCell="F30" sqref="F30"/>
    </sheetView>
  </sheetViews>
  <sheetFormatPr baseColWidth="10" defaultRowHeight="20"/>
  <cols>
    <col min="5" max="5" width="2.42578125" customWidth="1"/>
    <col min="6" max="6" width="13.140625" customWidth="1"/>
    <col min="7" max="7" width="12.85546875" customWidth="1"/>
    <col min="9" max="9" width="2.42578125" customWidth="1"/>
    <col min="10" max="12" width="12.85546875" customWidth="1"/>
    <col min="13" max="13" width="3.42578125" customWidth="1"/>
    <col min="14" max="16" width="12.85546875" customWidth="1"/>
  </cols>
  <sheetData>
    <row r="2" spans="2:17">
      <c r="F2" t="s">
        <v>0</v>
      </c>
      <c r="J2" t="s">
        <v>6</v>
      </c>
      <c r="N2" t="s">
        <v>8</v>
      </c>
    </row>
    <row r="3" spans="2:17">
      <c r="B3" t="s">
        <v>4</v>
      </c>
      <c r="C3" t="s">
        <v>5</v>
      </c>
      <c r="F3" t="s">
        <v>1</v>
      </c>
      <c r="G3" t="s">
        <v>2</v>
      </c>
      <c r="H3" t="s">
        <v>3</v>
      </c>
      <c r="J3" t="s">
        <v>1</v>
      </c>
      <c r="K3" t="s">
        <v>2</v>
      </c>
      <c r="L3" t="s">
        <v>3</v>
      </c>
      <c r="N3" t="s">
        <v>1</v>
      </c>
      <c r="O3" t="s">
        <v>2</v>
      </c>
      <c r="P3" t="s">
        <v>3</v>
      </c>
    </row>
    <row r="5" spans="2:17">
      <c r="B5" s="2">
        <v>10</v>
      </c>
      <c r="C5">
        <v>600</v>
      </c>
      <c r="D5">
        <v>600</v>
      </c>
      <c r="F5">
        <v>11.0746</v>
      </c>
      <c r="G5">
        <v>12.441599999999999</v>
      </c>
      <c r="H5">
        <v>12.2964</v>
      </c>
      <c r="J5">
        <v>11.0746</v>
      </c>
      <c r="K5">
        <v>12.441599999999999</v>
      </c>
      <c r="L5">
        <v>12.2964</v>
      </c>
      <c r="N5">
        <v>11.0746</v>
      </c>
      <c r="O5">
        <v>12.5571</v>
      </c>
      <c r="P5">
        <v>12.4</v>
      </c>
    </row>
    <row r="6" spans="2:17">
      <c r="B6" s="2"/>
      <c r="C6">
        <v>600</v>
      </c>
      <c r="D6">
        <v>800</v>
      </c>
      <c r="F6">
        <v>9.4617000000000004</v>
      </c>
      <c r="G6">
        <v>11.6919</v>
      </c>
      <c r="H6">
        <v>11.503</v>
      </c>
      <c r="J6">
        <v>10.154299999999999</v>
      </c>
      <c r="K6">
        <v>12.2136</v>
      </c>
      <c r="L6">
        <v>12.039199999999999</v>
      </c>
      <c r="N6">
        <v>9.4617000000000004</v>
      </c>
      <c r="O6">
        <v>11.6919</v>
      </c>
      <c r="P6">
        <v>11.503</v>
      </c>
    </row>
    <row r="7" spans="2:17">
      <c r="B7" s="2"/>
      <c r="C7">
        <v>800</v>
      </c>
      <c r="D7">
        <v>800</v>
      </c>
      <c r="F7">
        <v>10.706099999999999</v>
      </c>
      <c r="G7">
        <v>11.9556</v>
      </c>
      <c r="H7">
        <v>11.8383</v>
      </c>
      <c r="J7">
        <v>10.706099999999999</v>
      </c>
      <c r="K7">
        <v>11.9556</v>
      </c>
      <c r="L7">
        <v>11.8383</v>
      </c>
      <c r="N7">
        <v>10.706099999999999</v>
      </c>
      <c r="O7">
        <v>11.9556</v>
      </c>
      <c r="P7">
        <v>11.8383</v>
      </c>
      <c r="Q7" t="s">
        <v>18</v>
      </c>
    </row>
    <row r="8" spans="2:17">
      <c r="B8" s="2"/>
      <c r="C8">
        <v>1000</v>
      </c>
      <c r="D8">
        <v>800</v>
      </c>
      <c r="F8">
        <v>7.9577999999999998</v>
      </c>
      <c r="G8">
        <v>10.099600000000001</v>
      </c>
      <c r="H8">
        <v>9.9038000000000004</v>
      </c>
      <c r="J8">
        <v>9.3610000000000007</v>
      </c>
      <c r="K8">
        <v>11.6662</v>
      </c>
      <c r="L8">
        <v>11.450200000000001</v>
      </c>
      <c r="N8">
        <v>9.3610000000000007</v>
      </c>
      <c r="O8">
        <v>11.6662</v>
      </c>
      <c r="P8">
        <v>11.450200000000001</v>
      </c>
    </row>
    <row r="10" spans="2:17">
      <c r="B10" s="2">
        <v>15</v>
      </c>
      <c r="C10">
        <v>600</v>
      </c>
      <c r="D10">
        <v>600</v>
      </c>
    </row>
    <row r="11" spans="2:17">
      <c r="B11" s="2"/>
      <c r="C11">
        <v>600</v>
      </c>
      <c r="D11">
        <v>800</v>
      </c>
      <c r="J11" s="6"/>
      <c r="K11" s="6"/>
      <c r="L11" s="6"/>
      <c r="M11" s="6"/>
      <c r="N11" s="6"/>
      <c r="O11" s="6"/>
      <c r="P11" s="6"/>
      <c r="Q11" s="6"/>
    </row>
    <row r="12" spans="2:17">
      <c r="B12" s="2"/>
      <c r="C12">
        <v>800</v>
      </c>
      <c r="D12">
        <v>800</v>
      </c>
      <c r="J12" s="6"/>
      <c r="K12" s="6"/>
      <c r="L12" s="6"/>
      <c r="M12" s="6"/>
      <c r="N12" s="6"/>
      <c r="O12" s="6"/>
      <c r="P12" s="6"/>
      <c r="Q12" s="6"/>
    </row>
    <row r="13" spans="2:17">
      <c r="B13" s="2"/>
      <c r="C13">
        <v>1000</v>
      </c>
      <c r="D13">
        <v>800</v>
      </c>
      <c r="J13" s="6"/>
      <c r="K13" s="6"/>
      <c r="L13" s="6"/>
      <c r="M13" s="6"/>
      <c r="N13" s="6"/>
      <c r="O13" s="6"/>
      <c r="P13" s="6"/>
      <c r="Q13" s="6"/>
    </row>
    <row r="14" spans="2:17">
      <c r="J14" s="6"/>
      <c r="K14" s="6"/>
      <c r="L14" s="6"/>
      <c r="M14" s="6"/>
      <c r="N14" s="6"/>
      <c r="O14" s="6"/>
      <c r="P14" s="6"/>
      <c r="Q14" s="6"/>
    </row>
    <row r="15" spans="2:17">
      <c r="B15" s="2">
        <v>25</v>
      </c>
      <c r="C15">
        <v>600</v>
      </c>
      <c r="D15">
        <v>600</v>
      </c>
      <c r="F15">
        <v>10.968500000000001</v>
      </c>
      <c r="G15">
        <v>11.9329</v>
      </c>
      <c r="H15">
        <v>11.6557</v>
      </c>
      <c r="J15" s="6">
        <v>10.968500000000001</v>
      </c>
      <c r="K15" s="6">
        <v>11.9329</v>
      </c>
      <c r="L15" s="6">
        <v>11.6557</v>
      </c>
      <c r="M15" s="6"/>
      <c r="N15">
        <v>10.968500000000001</v>
      </c>
      <c r="O15">
        <v>11.9329</v>
      </c>
      <c r="P15">
        <v>11.6557</v>
      </c>
      <c r="Q15" s="6"/>
    </row>
    <row r="16" spans="2:17">
      <c r="B16" s="2"/>
      <c r="C16">
        <v>600</v>
      </c>
      <c r="D16">
        <v>800</v>
      </c>
      <c r="F16">
        <v>10.449199999999999</v>
      </c>
      <c r="G16">
        <v>11.4032</v>
      </c>
      <c r="H16">
        <v>11.168699999999999</v>
      </c>
      <c r="J16" s="6">
        <v>9.6412999999999993</v>
      </c>
      <c r="K16" s="6">
        <v>11.397500000000001</v>
      </c>
      <c r="L16" s="6">
        <v>10.955500000000001</v>
      </c>
      <c r="M16" s="6"/>
      <c r="N16" s="6">
        <v>10.417899999999999</v>
      </c>
      <c r="O16" s="6">
        <v>10.835900000000001</v>
      </c>
      <c r="P16" s="6">
        <v>10.7364</v>
      </c>
      <c r="Q16" s="6"/>
    </row>
    <row r="17" spans="2:17">
      <c r="B17" s="2"/>
      <c r="C17">
        <v>800</v>
      </c>
      <c r="D17">
        <v>800</v>
      </c>
      <c r="F17">
        <v>10.7386</v>
      </c>
      <c r="G17">
        <v>11.4247</v>
      </c>
      <c r="H17">
        <v>11.254799999999999</v>
      </c>
      <c r="J17">
        <v>10.7386</v>
      </c>
      <c r="K17">
        <v>11.4247</v>
      </c>
      <c r="L17">
        <v>11.254799999999999</v>
      </c>
      <c r="M17" s="6"/>
      <c r="N17">
        <v>10.7386</v>
      </c>
      <c r="O17">
        <v>11.4247</v>
      </c>
      <c r="P17">
        <v>11.254799999999999</v>
      </c>
      <c r="Q17" s="6"/>
    </row>
    <row r="18" spans="2:17">
      <c r="B18" s="2"/>
      <c r="C18">
        <v>1000</v>
      </c>
      <c r="D18">
        <v>800</v>
      </c>
      <c r="F18">
        <v>9.5704999999999991</v>
      </c>
      <c r="G18">
        <v>9.9373000000000005</v>
      </c>
      <c r="H18">
        <v>9.8439999999999994</v>
      </c>
      <c r="J18" s="9">
        <v>10.102399999999999</v>
      </c>
      <c r="K18" s="9">
        <v>11.0831</v>
      </c>
      <c r="L18" s="9">
        <v>10.8507</v>
      </c>
      <c r="M18" s="6"/>
      <c r="N18" s="6">
        <v>9.5266999999999999</v>
      </c>
      <c r="O18" s="6">
        <v>9.8245000000000005</v>
      </c>
      <c r="P18" s="6">
        <v>9.7490000000000006</v>
      </c>
      <c r="Q18" s="6" t="s">
        <v>22</v>
      </c>
    </row>
    <row r="19" spans="2:17">
      <c r="J19" s="6"/>
      <c r="K19" s="6"/>
      <c r="L19" s="6"/>
      <c r="M19" s="6"/>
      <c r="N19" s="6"/>
      <c r="O19" s="6"/>
      <c r="P19" s="6"/>
      <c r="Q19" s="6"/>
    </row>
    <row r="20" spans="2:17">
      <c r="B20" s="2">
        <v>30</v>
      </c>
      <c r="J20" s="6"/>
      <c r="K20" s="6"/>
      <c r="L20" s="6"/>
      <c r="M20" s="6"/>
      <c r="N20" s="6"/>
      <c r="O20" s="6"/>
      <c r="P20" s="6"/>
      <c r="Q20" s="6"/>
    </row>
    <row r="21" spans="2:17">
      <c r="B21" s="2"/>
      <c r="J21" s="6"/>
      <c r="K21" s="6"/>
      <c r="L21" s="6"/>
      <c r="M21" s="6"/>
      <c r="N21" s="6"/>
      <c r="O21" s="6"/>
      <c r="P21" s="6"/>
      <c r="Q21" s="6"/>
    </row>
    <row r="22" spans="2:17">
      <c r="B22" s="2"/>
      <c r="J22" s="6"/>
      <c r="K22" s="6"/>
      <c r="L22" s="6"/>
      <c r="M22" s="6"/>
      <c r="N22" s="6"/>
      <c r="O22" s="6"/>
      <c r="P22" s="6"/>
      <c r="Q22" s="6"/>
    </row>
    <row r="23" spans="2:17">
      <c r="B23" s="2"/>
      <c r="J23" s="6"/>
      <c r="K23" s="6"/>
      <c r="L23" s="6"/>
      <c r="M23" s="6"/>
      <c r="N23" s="6"/>
      <c r="O23" s="6"/>
      <c r="P23" s="6"/>
      <c r="Q23" s="6"/>
    </row>
    <row r="24" spans="2:17">
      <c r="J24" s="6"/>
      <c r="K24" s="6"/>
      <c r="L24" s="6"/>
      <c r="M24" s="6"/>
      <c r="N24" s="6"/>
      <c r="O24" s="6"/>
      <c r="P24" s="6"/>
      <c r="Q24" s="6"/>
    </row>
    <row r="25" spans="2:17">
      <c r="B25" s="2">
        <v>40</v>
      </c>
      <c r="C25">
        <v>600</v>
      </c>
      <c r="D25">
        <v>600</v>
      </c>
      <c r="F25">
        <v>10.862399999999999</v>
      </c>
      <c r="G25">
        <v>11.7972</v>
      </c>
      <c r="H25">
        <v>11.383599999999999</v>
      </c>
      <c r="J25" s="6">
        <v>10.8048</v>
      </c>
      <c r="K25" s="6">
        <v>11.6678</v>
      </c>
      <c r="L25" s="6">
        <v>11.287100000000001</v>
      </c>
      <c r="M25" s="6"/>
      <c r="N25" s="6">
        <v>10.8048</v>
      </c>
      <c r="O25" s="6">
        <v>11.6678</v>
      </c>
      <c r="P25" s="6">
        <v>11.287100000000001</v>
      </c>
      <c r="Q25" s="6"/>
    </row>
    <row r="26" spans="2:17">
      <c r="B26" s="2"/>
      <c r="C26">
        <v>600</v>
      </c>
      <c r="D26">
        <v>800</v>
      </c>
      <c r="F26">
        <v>10.3474</v>
      </c>
      <c r="G26">
        <v>11.552199999999999</v>
      </c>
      <c r="H26">
        <v>11.0307</v>
      </c>
      <c r="J26" s="6">
        <v>10.523999999999999</v>
      </c>
      <c r="K26" s="6">
        <v>12.0077</v>
      </c>
      <c r="L26" s="6">
        <v>11.3619</v>
      </c>
      <c r="M26" s="6"/>
      <c r="N26" s="6">
        <v>10.523999999999999</v>
      </c>
      <c r="O26" s="6">
        <v>12.0077</v>
      </c>
      <c r="P26" s="6">
        <v>11.3619</v>
      </c>
      <c r="Q26" s="6"/>
    </row>
    <row r="27" spans="2:17">
      <c r="B27" s="2"/>
      <c r="C27">
        <v>800</v>
      </c>
      <c r="D27">
        <v>800</v>
      </c>
      <c r="F27">
        <v>10.7622</v>
      </c>
      <c r="G27">
        <v>11.255800000000001</v>
      </c>
      <c r="H27">
        <v>11.046799999999999</v>
      </c>
      <c r="J27" s="6">
        <v>10.634600000000001</v>
      </c>
      <c r="K27" s="6">
        <v>11.1137</v>
      </c>
      <c r="L27" s="6">
        <v>10.909700000000001</v>
      </c>
      <c r="M27" s="6"/>
      <c r="N27" s="6">
        <v>10.7651</v>
      </c>
      <c r="O27" s="6">
        <v>11.2331</v>
      </c>
      <c r="P27" s="6">
        <v>11.0351</v>
      </c>
      <c r="Q27" s="6"/>
    </row>
    <row r="28" spans="2:17">
      <c r="B28" s="2"/>
      <c r="C28">
        <v>1000</v>
      </c>
      <c r="D28">
        <v>800</v>
      </c>
      <c r="F28">
        <v>7.3779000000000003</v>
      </c>
      <c r="G28">
        <v>7.3090000000000002</v>
      </c>
      <c r="H28">
        <v>7.3365</v>
      </c>
      <c r="J28" s="8">
        <v>8.3190000000000008</v>
      </c>
      <c r="K28" s="8">
        <v>7.5948000000000002</v>
      </c>
      <c r="L28" s="8">
        <v>7.8765000000000001</v>
      </c>
      <c r="M28" s="6"/>
      <c r="N28">
        <v>7.3779000000000003</v>
      </c>
      <c r="O28">
        <v>7.3090000000000002</v>
      </c>
      <c r="P28">
        <v>7.3365</v>
      </c>
      <c r="Q28" s="6" t="s">
        <v>24</v>
      </c>
    </row>
    <row r="29" spans="2:17">
      <c r="F29" t="s">
        <v>25</v>
      </c>
    </row>
    <row r="30" spans="2:17">
      <c r="F30" s="6">
        <v>9.0364000000000004</v>
      </c>
      <c r="G30" s="6">
        <v>9.7112999999999996</v>
      </c>
      <c r="H30" s="6">
        <v>9.4352999999999998</v>
      </c>
      <c r="N30" s="6">
        <v>9.0364000000000004</v>
      </c>
      <c r="O30" s="6">
        <v>9.7112999999999996</v>
      </c>
      <c r="P30" s="6">
        <v>9.4352999999999998</v>
      </c>
      <c r="Q30" t="s">
        <v>23</v>
      </c>
    </row>
  </sheetData>
  <mergeCells count="5">
    <mergeCell ref="B5:B8"/>
    <mergeCell ref="B10:B13"/>
    <mergeCell ref="B15:B18"/>
    <mergeCell ref="B20:B23"/>
    <mergeCell ref="B25:B28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E1AE-EE3F-D24A-A389-27614C9B609E}">
  <dimension ref="B2:Q28"/>
  <sheetViews>
    <sheetView topLeftCell="A2" workbookViewId="0">
      <selection activeCell="Q18" sqref="Q18"/>
    </sheetView>
  </sheetViews>
  <sheetFormatPr baseColWidth="10" defaultRowHeight="20"/>
  <cols>
    <col min="5" max="5" width="2.42578125" customWidth="1"/>
    <col min="6" max="6" width="13.140625" customWidth="1"/>
    <col min="7" max="7" width="12.85546875" customWidth="1"/>
    <col min="9" max="9" width="2.42578125" customWidth="1"/>
    <col min="10" max="12" width="12.85546875" customWidth="1"/>
    <col min="13" max="13" width="3.42578125" customWidth="1"/>
    <col min="14" max="16" width="12.85546875" customWidth="1"/>
  </cols>
  <sheetData>
    <row r="2" spans="2:17">
      <c r="F2" t="s">
        <v>0</v>
      </c>
      <c r="J2" t="s">
        <v>6</v>
      </c>
      <c r="N2" t="s">
        <v>8</v>
      </c>
    </row>
    <row r="3" spans="2:17">
      <c r="B3" t="s">
        <v>4</v>
      </c>
      <c r="C3" t="s">
        <v>5</v>
      </c>
      <c r="F3" t="s">
        <v>1</v>
      </c>
      <c r="G3" t="s">
        <v>2</v>
      </c>
      <c r="H3" t="s">
        <v>3</v>
      </c>
      <c r="J3" t="s">
        <v>1</v>
      </c>
      <c r="K3" t="s">
        <v>2</v>
      </c>
      <c r="L3" t="s">
        <v>3</v>
      </c>
      <c r="N3" t="s">
        <v>1</v>
      </c>
      <c r="O3" t="s">
        <v>2</v>
      </c>
      <c r="P3" t="s">
        <v>3</v>
      </c>
    </row>
    <row r="5" spans="2:17">
      <c r="B5" s="2">
        <v>10</v>
      </c>
      <c r="C5">
        <v>600</v>
      </c>
      <c r="D5">
        <v>600</v>
      </c>
      <c r="F5">
        <v>11.0679</v>
      </c>
      <c r="G5">
        <v>12.7851</v>
      </c>
      <c r="H5">
        <v>12.6195</v>
      </c>
      <c r="J5">
        <v>11.0679</v>
      </c>
      <c r="K5">
        <v>12.7851</v>
      </c>
      <c r="L5">
        <v>12.6195</v>
      </c>
      <c r="N5">
        <v>11.0679</v>
      </c>
      <c r="O5">
        <v>12.7851</v>
      </c>
      <c r="P5">
        <v>12.6195</v>
      </c>
    </row>
    <row r="6" spans="2:17">
      <c r="B6" s="2"/>
      <c r="C6">
        <v>600</v>
      </c>
      <c r="D6">
        <v>800</v>
      </c>
      <c r="F6">
        <v>9.24</v>
      </c>
      <c r="G6">
        <v>10.279299999999999</v>
      </c>
      <c r="H6">
        <v>10.164999999999999</v>
      </c>
      <c r="J6">
        <v>7.3856999999999999</v>
      </c>
      <c r="K6">
        <v>8.7234999999999996</v>
      </c>
      <c r="L6">
        <v>8.5571000000000002</v>
      </c>
      <c r="N6">
        <v>9.2637</v>
      </c>
      <c r="O6">
        <v>10.753500000000001</v>
      </c>
      <c r="P6">
        <v>10.584199999999999</v>
      </c>
    </row>
    <row r="7" spans="2:17">
      <c r="B7" s="2"/>
      <c r="C7">
        <v>800</v>
      </c>
      <c r="D7">
        <v>800</v>
      </c>
      <c r="F7">
        <v>8.8493999999999993</v>
      </c>
      <c r="G7">
        <v>8.8331</v>
      </c>
      <c r="H7">
        <v>8.8346</v>
      </c>
      <c r="J7">
        <v>8.5375999999999994</v>
      </c>
      <c r="K7">
        <v>8.4449000000000005</v>
      </c>
      <c r="L7">
        <v>8.4535999999999998</v>
      </c>
      <c r="N7">
        <v>8.5375999999999994</v>
      </c>
      <c r="O7">
        <v>8.4474999999999998</v>
      </c>
      <c r="P7">
        <v>8.4558999999999997</v>
      </c>
    </row>
    <row r="8" spans="2:17">
      <c r="B8" s="2"/>
      <c r="C8">
        <v>1000</v>
      </c>
      <c r="D8">
        <v>800</v>
      </c>
      <c r="F8">
        <v>7.7171000000000003</v>
      </c>
      <c r="G8">
        <v>7.7579000000000002</v>
      </c>
      <c r="H8">
        <v>7.7552000000000003</v>
      </c>
      <c r="J8">
        <v>8.1988000000000003</v>
      </c>
      <c r="K8">
        <v>7.8228</v>
      </c>
      <c r="L8">
        <v>7.8465999999999996</v>
      </c>
      <c r="N8">
        <v>7.7171000000000003</v>
      </c>
      <c r="O8">
        <v>7.7579000000000002</v>
      </c>
      <c r="P8">
        <v>7.7552000000000003</v>
      </c>
    </row>
    <row r="10" spans="2:17">
      <c r="B10" s="2">
        <v>15</v>
      </c>
      <c r="C10">
        <v>600</v>
      </c>
      <c r="D10">
        <v>600</v>
      </c>
    </row>
    <row r="11" spans="2:17">
      <c r="B11" s="2"/>
      <c r="C11">
        <v>600</v>
      </c>
      <c r="D11">
        <v>800</v>
      </c>
      <c r="J11" s="6"/>
      <c r="K11" s="6"/>
      <c r="L11" s="6"/>
      <c r="M11" s="6"/>
      <c r="N11" s="6"/>
      <c r="O11" s="6"/>
      <c r="P11" s="6"/>
      <c r="Q11" s="6"/>
    </row>
    <row r="12" spans="2:17">
      <c r="B12" s="2"/>
      <c r="C12">
        <v>800</v>
      </c>
      <c r="D12">
        <v>800</v>
      </c>
      <c r="J12" s="6"/>
      <c r="K12" s="6"/>
      <c r="L12" s="6"/>
      <c r="M12" s="6"/>
      <c r="N12" s="6"/>
      <c r="O12" s="6"/>
      <c r="P12" s="6"/>
      <c r="Q12" s="6"/>
    </row>
    <row r="13" spans="2:17">
      <c r="B13" s="2"/>
      <c r="C13">
        <v>1000</v>
      </c>
      <c r="D13">
        <v>800</v>
      </c>
      <c r="J13" s="6"/>
      <c r="K13" s="6"/>
      <c r="L13" s="6"/>
      <c r="M13" s="6"/>
      <c r="N13" s="6"/>
      <c r="O13" s="6"/>
      <c r="P13" s="6"/>
      <c r="Q13" s="6"/>
    </row>
    <row r="14" spans="2:17">
      <c r="J14" s="6"/>
      <c r="K14" s="6"/>
      <c r="L14" s="6"/>
      <c r="M14" s="6"/>
      <c r="N14" s="6"/>
      <c r="O14" s="6"/>
      <c r="P14" s="6"/>
      <c r="Q14" s="6"/>
    </row>
    <row r="15" spans="2:17">
      <c r="B15" s="2">
        <v>25</v>
      </c>
      <c r="C15">
        <v>600</v>
      </c>
      <c r="D15">
        <v>600</v>
      </c>
      <c r="F15">
        <v>10.827400000000001</v>
      </c>
      <c r="G15">
        <v>10.824400000000001</v>
      </c>
      <c r="H15">
        <v>10.825200000000001</v>
      </c>
      <c r="J15" s="6">
        <v>10.7357</v>
      </c>
      <c r="K15" s="6">
        <v>10.607699999999999</v>
      </c>
      <c r="L15" s="6">
        <v>10.641</v>
      </c>
      <c r="M15" s="6"/>
      <c r="N15" s="6">
        <v>10.7357</v>
      </c>
      <c r="O15" s="6">
        <v>10.607699999999999</v>
      </c>
      <c r="P15" s="6">
        <v>10.641</v>
      </c>
      <c r="Q15" s="6"/>
    </row>
    <row r="16" spans="2:17">
      <c r="B16" s="2"/>
      <c r="C16">
        <v>600</v>
      </c>
      <c r="D16">
        <v>800</v>
      </c>
      <c r="F16">
        <v>9.5784000000000002</v>
      </c>
      <c r="G16">
        <v>9.7698999999999998</v>
      </c>
      <c r="H16">
        <v>9.7172999999999998</v>
      </c>
      <c r="J16" s="6">
        <v>10.0563</v>
      </c>
      <c r="K16" s="6">
        <v>10.3843</v>
      </c>
      <c r="L16" s="6">
        <v>10.293799999999999</v>
      </c>
      <c r="M16" s="6"/>
      <c r="N16" s="6">
        <v>9.6308000000000007</v>
      </c>
      <c r="O16" s="6">
        <v>9.8087999999999997</v>
      </c>
      <c r="P16" s="6">
        <v>9.7599</v>
      </c>
      <c r="Q16" s="6"/>
    </row>
    <row r="17" spans="2:17">
      <c r="B17" s="2"/>
      <c r="C17">
        <v>800</v>
      </c>
      <c r="D17">
        <v>800</v>
      </c>
      <c r="F17">
        <v>8.3988999999999994</v>
      </c>
      <c r="G17">
        <v>9.0190000000000001</v>
      </c>
      <c r="H17">
        <v>8.8742999999999999</v>
      </c>
      <c r="J17" s="6">
        <v>8.2988</v>
      </c>
      <c r="K17" s="6">
        <v>8.9863999999999997</v>
      </c>
      <c r="L17" s="6">
        <v>8.8261000000000003</v>
      </c>
      <c r="M17" s="6"/>
      <c r="N17" s="6">
        <v>8.2988</v>
      </c>
      <c r="O17" s="6">
        <v>8.9863999999999997</v>
      </c>
      <c r="P17" s="6">
        <v>8.8261000000000003</v>
      </c>
      <c r="Q17" s="6"/>
    </row>
    <row r="18" spans="2:17">
      <c r="B18" s="2"/>
      <c r="C18">
        <v>1000</v>
      </c>
      <c r="D18">
        <v>800</v>
      </c>
      <c r="F18">
        <v>7.6449999999999996</v>
      </c>
      <c r="G18">
        <v>7.6322999999999999</v>
      </c>
      <c r="H18">
        <v>7.6351000000000004</v>
      </c>
      <c r="J18" s="8">
        <v>7.6449999999999996</v>
      </c>
      <c r="K18" s="8">
        <v>7.6322999999999999</v>
      </c>
      <c r="L18" s="8">
        <v>7.6351000000000004</v>
      </c>
      <c r="M18" s="6"/>
      <c r="N18">
        <v>7.6449999999999996</v>
      </c>
      <c r="O18">
        <v>7.6322999999999999</v>
      </c>
      <c r="P18">
        <v>7.6351000000000004</v>
      </c>
      <c r="Q18" s="6" t="s">
        <v>26</v>
      </c>
    </row>
    <row r="19" spans="2:17">
      <c r="J19" s="6"/>
      <c r="K19" s="6"/>
      <c r="L19" s="6"/>
      <c r="M19" s="6"/>
      <c r="N19" s="6"/>
      <c r="O19" s="6"/>
      <c r="P19" s="6"/>
      <c r="Q19" s="6"/>
    </row>
    <row r="20" spans="2:17">
      <c r="B20" s="2">
        <v>30</v>
      </c>
      <c r="J20" s="6"/>
      <c r="K20" s="6"/>
      <c r="L20" s="6"/>
      <c r="M20" s="6"/>
      <c r="N20" s="6"/>
      <c r="O20" s="6"/>
      <c r="P20" s="6"/>
      <c r="Q20" s="6"/>
    </row>
    <row r="21" spans="2:17">
      <c r="B21" s="2"/>
      <c r="J21" s="6"/>
      <c r="K21" s="6"/>
      <c r="L21" s="6"/>
      <c r="M21" s="6"/>
      <c r="N21" s="6"/>
      <c r="O21" s="6"/>
      <c r="P21" s="6"/>
      <c r="Q21" s="6"/>
    </row>
    <row r="22" spans="2:17">
      <c r="B22" s="2"/>
      <c r="J22" s="6"/>
      <c r="K22" s="6"/>
      <c r="L22" s="6"/>
      <c r="M22" s="6"/>
      <c r="N22" s="6"/>
      <c r="O22" s="6"/>
      <c r="P22" s="6"/>
      <c r="Q22" s="6"/>
    </row>
    <row r="23" spans="2:17">
      <c r="B23" s="2"/>
      <c r="J23" s="6"/>
      <c r="K23" s="6"/>
      <c r="L23" s="6"/>
      <c r="M23" s="6"/>
      <c r="N23" s="6"/>
      <c r="O23" s="6"/>
      <c r="P23" s="6"/>
      <c r="Q23" s="6"/>
    </row>
    <row r="24" spans="2:17">
      <c r="J24" s="6"/>
      <c r="K24" s="6"/>
      <c r="L24" s="6"/>
      <c r="M24" s="6"/>
      <c r="N24" s="6"/>
      <c r="O24" s="6"/>
      <c r="P24" s="6"/>
      <c r="Q24" s="6"/>
    </row>
    <row r="25" spans="2:17">
      <c r="B25" s="2">
        <v>40</v>
      </c>
      <c r="C25">
        <v>600</v>
      </c>
      <c r="D25">
        <v>600</v>
      </c>
      <c r="F25">
        <v>10.144600000000001</v>
      </c>
      <c r="G25">
        <v>10.0351</v>
      </c>
      <c r="H25">
        <v>10.0769</v>
      </c>
      <c r="J25" s="6">
        <v>10.2753</v>
      </c>
      <c r="K25" s="6">
        <v>10.9436</v>
      </c>
      <c r="L25" s="6">
        <v>10.680300000000001</v>
      </c>
      <c r="M25" s="6"/>
      <c r="N25" s="6">
        <v>10.5838</v>
      </c>
      <c r="O25" s="6">
        <v>11.473000000000001</v>
      </c>
      <c r="P25" s="6">
        <v>11.1212</v>
      </c>
      <c r="Q25" s="6" t="s">
        <v>19</v>
      </c>
    </row>
    <row r="26" spans="2:17">
      <c r="B26" s="2"/>
      <c r="C26">
        <v>600</v>
      </c>
      <c r="D26">
        <v>800</v>
      </c>
      <c r="F26">
        <v>10.119</v>
      </c>
      <c r="G26">
        <v>10.731</v>
      </c>
      <c r="H26">
        <v>10.483000000000001</v>
      </c>
      <c r="J26" s="6">
        <v>10.0045</v>
      </c>
      <c r="K26" s="6">
        <v>10.2643</v>
      </c>
      <c r="L26" s="6">
        <v>10.16</v>
      </c>
      <c r="M26" s="6"/>
      <c r="N26">
        <v>10.119</v>
      </c>
      <c r="O26">
        <v>10.731</v>
      </c>
      <c r="P26">
        <v>10.483000000000001</v>
      </c>
      <c r="Q26" s="6"/>
    </row>
    <row r="27" spans="2:17">
      <c r="B27" s="2"/>
      <c r="C27">
        <v>800</v>
      </c>
      <c r="D27">
        <v>800</v>
      </c>
      <c r="F27">
        <v>7.8246000000000002</v>
      </c>
      <c r="G27">
        <v>7.4551999999999996</v>
      </c>
      <c r="H27">
        <v>7.5957999999999997</v>
      </c>
      <c r="J27" s="6">
        <v>8.5158000000000005</v>
      </c>
      <c r="K27" s="6">
        <v>8.4467999999999996</v>
      </c>
      <c r="L27" s="6">
        <v>8.4736999999999991</v>
      </c>
      <c r="M27" s="6"/>
      <c r="N27" s="6">
        <v>8.5158000000000005</v>
      </c>
      <c r="O27" s="6">
        <v>8.4467999999999996</v>
      </c>
      <c r="P27" s="6">
        <v>8.4736999999999991</v>
      </c>
      <c r="Q27" s="6"/>
    </row>
    <row r="28" spans="2:17">
      <c r="B28" s="2"/>
      <c r="C28">
        <v>1000</v>
      </c>
      <c r="D28">
        <v>800</v>
      </c>
      <c r="F28" s="7"/>
      <c r="G28" s="7"/>
      <c r="H28" s="7"/>
      <c r="J28" s="8"/>
      <c r="K28" s="8"/>
      <c r="L28" s="8"/>
      <c r="M28" s="6"/>
      <c r="N28" s="8"/>
      <c r="O28" s="8"/>
      <c r="P28" s="8"/>
      <c r="Q28" s="6" t="s">
        <v>14</v>
      </c>
    </row>
  </sheetData>
  <mergeCells count="5">
    <mergeCell ref="B5:B8"/>
    <mergeCell ref="B10:B13"/>
    <mergeCell ref="B15:B18"/>
    <mergeCell ref="B20:B23"/>
    <mergeCell ref="B25:B28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0387-46D2-B142-9A67-9D81223EA985}">
  <dimension ref="B2:Q28"/>
  <sheetViews>
    <sheetView workbookViewId="0">
      <selection activeCell="F18" sqref="F18"/>
    </sheetView>
  </sheetViews>
  <sheetFormatPr baseColWidth="10" defaultRowHeight="20"/>
  <cols>
    <col min="5" max="5" width="2.42578125" customWidth="1"/>
    <col min="6" max="6" width="13.140625" customWidth="1"/>
    <col min="7" max="7" width="12.85546875" customWidth="1"/>
    <col min="9" max="9" width="2.42578125" customWidth="1"/>
    <col min="10" max="12" width="12.85546875" customWidth="1"/>
    <col min="13" max="13" width="3.42578125" customWidth="1"/>
    <col min="14" max="16" width="12.85546875" customWidth="1"/>
  </cols>
  <sheetData>
    <row r="2" spans="2:17">
      <c r="F2" t="s">
        <v>0</v>
      </c>
      <c r="J2" t="s">
        <v>6</v>
      </c>
      <c r="N2" t="s">
        <v>8</v>
      </c>
    </row>
    <row r="3" spans="2:17">
      <c r="B3" t="s">
        <v>4</v>
      </c>
      <c r="C3" t="s">
        <v>5</v>
      </c>
      <c r="F3" t="s">
        <v>1</v>
      </c>
      <c r="G3" t="s">
        <v>2</v>
      </c>
      <c r="H3" t="s">
        <v>3</v>
      </c>
      <c r="J3" t="s">
        <v>1</v>
      </c>
      <c r="K3" t="s">
        <v>2</v>
      </c>
      <c r="L3" t="s">
        <v>3</v>
      </c>
      <c r="N3" t="s">
        <v>1</v>
      </c>
      <c r="O3" t="s">
        <v>2</v>
      </c>
      <c r="P3" t="s">
        <v>3</v>
      </c>
    </row>
    <row r="5" spans="2:17">
      <c r="B5" s="2">
        <v>10</v>
      </c>
      <c r="C5">
        <v>600</v>
      </c>
      <c r="D5">
        <v>600</v>
      </c>
    </row>
    <row r="6" spans="2:17">
      <c r="B6" s="2"/>
      <c r="C6">
        <v>600</v>
      </c>
      <c r="D6">
        <v>800</v>
      </c>
    </row>
    <row r="7" spans="2:17">
      <c r="B7" s="2"/>
      <c r="C7">
        <v>800</v>
      </c>
      <c r="D7">
        <v>800</v>
      </c>
    </row>
    <row r="8" spans="2:17">
      <c r="B8" s="2"/>
      <c r="C8">
        <v>1000</v>
      </c>
      <c r="D8">
        <v>800</v>
      </c>
    </row>
    <row r="10" spans="2:17">
      <c r="B10" s="2">
        <v>15</v>
      </c>
      <c r="C10">
        <v>600</v>
      </c>
      <c r="D10">
        <v>600</v>
      </c>
    </row>
    <row r="11" spans="2:17">
      <c r="B11" s="2"/>
      <c r="C11">
        <v>600</v>
      </c>
      <c r="D11">
        <v>800</v>
      </c>
      <c r="J11" s="6"/>
      <c r="K11" s="6"/>
      <c r="L11" s="6"/>
      <c r="M11" s="6"/>
      <c r="N11" s="6"/>
      <c r="O11" s="6"/>
      <c r="P11" s="6"/>
      <c r="Q11" s="6"/>
    </row>
    <row r="12" spans="2:17">
      <c r="B12" s="2"/>
      <c r="C12">
        <v>800</v>
      </c>
      <c r="D12">
        <v>800</v>
      </c>
      <c r="J12" s="6"/>
      <c r="K12" s="6"/>
      <c r="L12" s="6"/>
      <c r="M12" s="6"/>
      <c r="N12" s="6"/>
      <c r="O12" s="6"/>
      <c r="P12" s="6"/>
      <c r="Q12" s="6"/>
    </row>
    <row r="13" spans="2:17">
      <c r="B13" s="2"/>
      <c r="C13">
        <v>1000</v>
      </c>
      <c r="D13">
        <v>800</v>
      </c>
      <c r="J13" s="6"/>
      <c r="K13" s="6"/>
      <c r="L13" s="6"/>
      <c r="M13" s="6"/>
      <c r="N13" s="6"/>
      <c r="O13" s="6"/>
      <c r="P13" s="6"/>
      <c r="Q13" s="6"/>
    </row>
    <row r="14" spans="2:17">
      <c r="J14" s="6"/>
      <c r="K14" s="6"/>
      <c r="L14" s="6"/>
      <c r="M14" s="6"/>
      <c r="N14" s="6"/>
      <c r="O14" s="6"/>
      <c r="P14" s="6"/>
      <c r="Q14" s="6"/>
    </row>
    <row r="15" spans="2:17">
      <c r="B15" s="2">
        <v>25</v>
      </c>
      <c r="C15">
        <v>600</v>
      </c>
      <c r="D15">
        <v>600</v>
      </c>
      <c r="J15" s="6"/>
      <c r="K15" s="6"/>
      <c r="L15" s="6"/>
      <c r="M15" s="6"/>
      <c r="N15" s="6"/>
      <c r="O15" s="6"/>
      <c r="P15" s="6"/>
      <c r="Q15" s="6"/>
    </row>
    <row r="16" spans="2:17">
      <c r="B16" s="2"/>
      <c r="C16">
        <v>600</v>
      </c>
      <c r="D16">
        <v>800</v>
      </c>
      <c r="J16" s="6"/>
      <c r="K16" s="6"/>
      <c r="L16" s="6"/>
      <c r="M16" s="6"/>
      <c r="N16" s="6"/>
      <c r="O16" s="6"/>
      <c r="P16" s="6"/>
      <c r="Q16" s="6"/>
    </row>
    <row r="17" spans="2:17">
      <c r="B17" s="2"/>
      <c r="C17">
        <v>800</v>
      </c>
      <c r="D17">
        <v>800</v>
      </c>
      <c r="J17" s="6"/>
      <c r="K17" s="6"/>
      <c r="L17" s="6"/>
      <c r="M17" s="6"/>
      <c r="N17" s="6"/>
      <c r="O17" s="6"/>
      <c r="P17" s="6"/>
      <c r="Q17" s="6"/>
    </row>
    <row r="18" spans="2:17">
      <c r="B18" s="2"/>
      <c r="C18">
        <v>1000</v>
      </c>
      <c r="D18">
        <v>800</v>
      </c>
      <c r="J18" s="6"/>
      <c r="K18" s="6"/>
      <c r="L18" s="6"/>
      <c r="M18" s="6"/>
      <c r="N18" s="6"/>
      <c r="O18" s="6"/>
      <c r="P18" s="6"/>
      <c r="Q18" s="6"/>
    </row>
    <row r="19" spans="2:17">
      <c r="J19" s="6"/>
      <c r="K19" s="6"/>
      <c r="L19" s="6"/>
      <c r="M19" s="6"/>
      <c r="N19" s="6"/>
      <c r="O19" s="6"/>
      <c r="P19" s="6"/>
      <c r="Q19" s="6"/>
    </row>
    <row r="20" spans="2:17">
      <c r="B20" s="2">
        <v>30</v>
      </c>
      <c r="J20" s="6"/>
      <c r="K20" s="6"/>
      <c r="L20" s="6"/>
      <c r="M20" s="6"/>
      <c r="N20" s="6"/>
      <c r="O20" s="6"/>
      <c r="P20" s="6"/>
      <c r="Q20" s="6"/>
    </row>
    <row r="21" spans="2:17">
      <c r="B21" s="2"/>
      <c r="J21" s="6"/>
      <c r="K21" s="6"/>
      <c r="L21" s="6"/>
      <c r="M21" s="6"/>
      <c r="N21" s="6"/>
      <c r="O21" s="6"/>
      <c r="P21" s="6"/>
      <c r="Q21" s="6"/>
    </row>
    <row r="22" spans="2:17">
      <c r="B22" s="2"/>
      <c r="J22" s="6"/>
      <c r="K22" s="6"/>
      <c r="L22" s="6"/>
      <c r="M22" s="6"/>
      <c r="N22" s="6"/>
      <c r="O22" s="6"/>
      <c r="P22" s="6"/>
      <c r="Q22" s="6"/>
    </row>
    <row r="23" spans="2:17">
      <c r="B23" s="2"/>
      <c r="J23" s="6"/>
      <c r="K23" s="6"/>
      <c r="L23" s="6"/>
      <c r="M23" s="6"/>
      <c r="N23" s="6"/>
      <c r="O23" s="6"/>
      <c r="P23" s="6"/>
      <c r="Q23" s="6"/>
    </row>
    <row r="24" spans="2:17">
      <c r="J24" s="6"/>
      <c r="K24" s="6"/>
      <c r="L24" s="6"/>
      <c r="M24" s="6"/>
      <c r="N24" s="6"/>
      <c r="O24" s="6"/>
      <c r="P24" s="6"/>
      <c r="Q24" s="6"/>
    </row>
    <row r="25" spans="2:17">
      <c r="B25" s="2">
        <v>40</v>
      </c>
      <c r="C25">
        <v>600</v>
      </c>
      <c r="D25">
        <v>600</v>
      </c>
      <c r="J25" s="6"/>
      <c r="K25" s="6"/>
      <c r="L25" s="6"/>
      <c r="M25" s="6"/>
      <c r="N25" s="6"/>
      <c r="O25" s="6"/>
      <c r="P25" s="6"/>
      <c r="Q25" s="6"/>
    </row>
    <row r="26" spans="2:17">
      <c r="B26" s="2"/>
      <c r="C26">
        <v>600</v>
      </c>
      <c r="D26">
        <v>800</v>
      </c>
      <c r="J26" s="6"/>
      <c r="K26" s="6"/>
      <c r="L26" s="6"/>
      <c r="M26" s="6"/>
      <c r="N26" s="6"/>
      <c r="O26" s="6"/>
      <c r="P26" s="6"/>
      <c r="Q26" s="6"/>
    </row>
    <row r="27" spans="2:17">
      <c r="B27" s="2"/>
      <c r="C27">
        <v>800</v>
      </c>
      <c r="D27">
        <v>800</v>
      </c>
      <c r="J27" s="6"/>
      <c r="K27" s="6"/>
      <c r="L27" s="6"/>
      <c r="M27" s="6"/>
      <c r="N27" s="6"/>
      <c r="O27" s="6"/>
      <c r="P27" s="6"/>
      <c r="Q27" s="6"/>
    </row>
    <row r="28" spans="2:17">
      <c r="B28" s="2"/>
      <c r="C28">
        <v>1000</v>
      </c>
      <c r="D28">
        <v>800</v>
      </c>
      <c r="J28" s="6"/>
      <c r="K28" s="6"/>
      <c r="L28" s="6"/>
      <c r="M28" s="6"/>
      <c r="N28" s="6"/>
      <c r="O28" s="6"/>
      <c r="P28" s="6"/>
      <c r="Q28" s="6"/>
    </row>
  </sheetData>
  <mergeCells count="5">
    <mergeCell ref="B5:B8"/>
    <mergeCell ref="B10:B13"/>
    <mergeCell ref="B15:B18"/>
    <mergeCell ref="B20:B23"/>
    <mergeCell ref="B25:B28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0F7E-4913-F44A-AD6E-50C122D04BBA}">
  <dimension ref="B2:W28"/>
  <sheetViews>
    <sheetView topLeftCell="G1" workbookViewId="0">
      <selection activeCell="W7" sqref="W7"/>
    </sheetView>
  </sheetViews>
  <sheetFormatPr baseColWidth="10" defaultRowHeight="20"/>
  <cols>
    <col min="5" max="5" width="2.42578125" customWidth="1"/>
    <col min="6" max="6" width="13.140625" customWidth="1"/>
    <col min="7" max="7" width="12.85546875" customWidth="1"/>
    <col min="9" max="9" width="2.42578125" customWidth="1"/>
    <col min="10" max="12" width="12.85546875" customWidth="1"/>
    <col min="13" max="13" width="3.42578125" customWidth="1"/>
    <col min="14" max="16" width="12.85546875" customWidth="1"/>
  </cols>
  <sheetData>
    <row r="2" spans="2:23">
      <c r="F2" t="s">
        <v>0</v>
      </c>
      <c r="J2" t="s">
        <v>6</v>
      </c>
      <c r="N2" t="s">
        <v>8</v>
      </c>
    </row>
    <row r="3" spans="2:23">
      <c r="B3" t="s">
        <v>4</v>
      </c>
      <c r="C3" t="s">
        <v>5</v>
      </c>
      <c r="F3" t="s">
        <v>1</v>
      </c>
      <c r="G3" t="s">
        <v>2</v>
      </c>
      <c r="H3" t="s">
        <v>3</v>
      </c>
      <c r="J3" t="s">
        <v>1</v>
      </c>
      <c r="K3" t="s">
        <v>2</v>
      </c>
      <c r="L3" t="s">
        <v>3</v>
      </c>
      <c r="N3" t="s">
        <v>1</v>
      </c>
      <c r="O3" t="s">
        <v>2</v>
      </c>
      <c r="P3" t="s">
        <v>3</v>
      </c>
    </row>
    <row r="4" spans="2:23">
      <c r="S4" t="s">
        <v>33</v>
      </c>
      <c r="T4" t="s">
        <v>6</v>
      </c>
      <c r="U4" t="s">
        <v>7</v>
      </c>
    </row>
    <row r="5" spans="2:23">
      <c r="B5" s="2">
        <v>10</v>
      </c>
      <c r="C5">
        <v>600</v>
      </c>
      <c r="D5">
        <v>600</v>
      </c>
      <c r="F5">
        <f>AVERAGE(seed1!F5,seed2!F5,seed3!F5,seed4!F5,seed5!F5)</f>
        <v>10.903700000000001</v>
      </c>
      <c r="G5">
        <f>AVERAGE(seed1!G5,seed2!G5,seed3!G5,seed4!G5,seed5!G5)</f>
        <v>12.591125</v>
      </c>
      <c r="H5">
        <f>AVERAGE(seed1!H5,seed2!H5,seed3!H5,seed4!H5,seed5!H5)</f>
        <v>12.397375</v>
      </c>
      <c r="J5">
        <f>AVERAGE(seed1!J5,seed2!J5,seed3!J5,seed4!J5,seed5!J5)</f>
        <v>10.768549999999999</v>
      </c>
      <c r="K5">
        <f>AVERAGE(seed1!K5,seed2!K5,seed3!K5,seed4!K5,seed5!K5)</f>
        <v>12.486625</v>
      </c>
      <c r="L5">
        <f>AVERAGE(seed1!L5,seed2!L5,seed3!L5,seed4!L5,seed5!L5)</f>
        <v>12.288825000000001</v>
      </c>
      <c r="N5">
        <f>AVERAGE(seed1!N5,seed2!N5,seed3!N5,seed4!N5,seed5!N5)</f>
        <v>10.821025000000001</v>
      </c>
      <c r="O5">
        <f>AVERAGE(seed1!O5,seed2!O5,seed3!O5,seed4!O5,seed5!O5)</f>
        <v>12.500875000000001</v>
      </c>
      <c r="P5">
        <f>AVERAGE(seed1!P5,seed2!P5,seed3!P5,seed4!P5,seed5!P5)</f>
        <v>12.30945</v>
      </c>
      <c r="R5">
        <v>1</v>
      </c>
      <c r="S5" s="11">
        <f>H5*3.6</f>
        <v>44.630549999999999</v>
      </c>
      <c r="T5">
        <f>L5*3.6</f>
        <v>44.239770000000007</v>
      </c>
      <c r="U5">
        <f>P5*3.6</f>
        <v>44.314019999999999</v>
      </c>
    </row>
    <row r="6" spans="2:23">
      <c r="B6" s="2"/>
      <c r="C6">
        <v>600</v>
      </c>
      <c r="D6">
        <v>800</v>
      </c>
      <c r="F6">
        <f>AVERAGE(seed1!F6,seed2!F6,seed3!F6,seed4!F6,seed5!F6)</f>
        <v>10.002625</v>
      </c>
      <c r="G6">
        <f>AVERAGE(seed1!G6,seed2!G6,seed3!G6,seed4!G6,seed5!G6)</f>
        <v>11.706425000000001</v>
      </c>
      <c r="H6">
        <f>AVERAGE(seed1!H6,seed2!H6,seed3!H6,seed4!H6,seed5!H6)</f>
        <v>11.54285</v>
      </c>
      <c r="J6">
        <f>AVERAGE(seed1!J6,seed2!J6,seed3!J6,seed4!J6,seed5!J6)</f>
        <v>9.6486499999999999</v>
      </c>
      <c r="K6">
        <f>AVERAGE(seed1!K6,seed2!K6,seed3!K6,seed4!K6,seed5!K6)</f>
        <v>10.865175000000001</v>
      </c>
      <c r="L6">
        <f>AVERAGE(seed1!L6,seed2!L6,seed3!L6,seed4!L6,seed5!L6)</f>
        <v>10.741225</v>
      </c>
      <c r="N6">
        <f>AVERAGE(seed1!N6,seed2!N6,seed3!N6,seed4!N6,seed5!N6)</f>
        <v>9.7132000000000005</v>
      </c>
      <c r="O6">
        <f>AVERAGE(seed1!O6,seed2!O6,seed3!O6,seed4!O6,seed5!O6)</f>
        <v>11.188975000000001</v>
      </c>
      <c r="P6">
        <f>AVERAGE(seed1!P6,seed2!P6,seed3!P6,seed4!P6,seed5!P6)</f>
        <v>11.039749999999998</v>
      </c>
      <c r="R6">
        <v>2</v>
      </c>
      <c r="S6" s="11">
        <f t="shared" ref="S6:S8" si="0">H6*3.6</f>
        <v>41.554259999999999</v>
      </c>
      <c r="T6">
        <f t="shared" ref="T6:T8" si="1">L6*3.6</f>
        <v>38.668410000000002</v>
      </c>
      <c r="U6">
        <f t="shared" ref="U6:U8" si="2">P6*3.6</f>
        <v>39.743099999999991</v>
      </c>
      <c r="W6">
        <f>S6/T6</f>
        <v>1.074630686909547</v>
      </c>
    </row>
    <row r="7" spans="2:23">
      <c r="B7" s="2"/>
      <c r="C7">
        <v>800</v>
      </c>
      <c r="D7">
        <v>800</v>
      </c>
      <c r="F7">
        <f>AVERAGE(seed1!F7,seed2!F7,seed3!F7,seed4!F7,seed5!F7)</f>
        <v>9.5777250000000009</v>
      </c>
      <c r="G7">
        <f>AVERAGE(seed1!G7,seed2!G7,seed3!G7,seed4!G7,seed5!G7)</f>
        <v>10.303425000000001</v>
      </c>
      <c r="H7">
        <f>AVERAGE(seed1!H7,seed2!H7,seed3!H7,seed4!H7,seed5!H7)</f>
        <v>10.2401</v>
      </c>
      <c r="J7">
        <f>AVERAGE(seed1!J7,seed2!J7,seed3!J7,seed4!J7,seed5!J7)</f>
        <v>9.8244999999999987</v>
      </c>
      <c r="K7">
        <f>AVERAGE(seed1!K7,seed2!K7,seed3!K7,seed4!K7,seed5!K7)</f>
        <v>10.288550000000001</v>
      </c>
      <c r="L7">
        <f>AVERAGE(seed1!L7,seed2!L7,seed3!L7,seed4!L7,seed5!L7)</f>
        <v>10.247349999999999</v>
      </c>
      <c r="N7">
        <f>AVERAGE(seed1!N7,seed2!N7,seed3!N7,seed4!N7,seed5!N7)</f>
        <v>9.9507750000000001</v>
      </c>
      <c r="O7">
        <f>AVERAGE(seed1!O7,seed2!O7,seed3!O7,seed4!O7,seed5!O7)</f>
        <v>10.338299999999998</v>
      </c>
      <c r="P7">
        <f>AVERAGE(seed1!P7,seed2!P7,seed3!P7,seed4!P7,seed5!P7)</f>
        <v>10.303450000000002</v>
      </c>
      <c r="R7">
        <v>3</v>
      </c>
      <c r="S7">
        <f t="shared" si="0"/>
        <v>36.864359999999998</v>
      </c>
      <c r="T7">
        <f t="shared" si="1"/>
        <v>36.890459999999997</v>
      </c>
      <c r="U7" s="11">
        <f t="shared" si="2"/>
        <v>37.092420000000004</v>
      </c>
    </row>
    <row r="8" spans="2:23">
      <c r="B8" s="2"/>
      <c r="C8">
        <v>1000</v>
      </c>
      <c r="D8">
        <v>800</v>
      </c>
      <c r="F8">
        <f>AVERAGE(seed1!F8,seed2!F8,seed3!F8,seed4!F8,seed5!F8)</f>
        <v>8.8518249999999998</v>
      </c>
      <c r="G8">
        <f>AVERAGE(seed1!G8,seed2!G8,seed3!G8,seed4!G8,seed5!G8)</f>
        <v>9.9671500000000002</v>
      </c>
      <c r="H8">
        <f>AVERAGE(seed1!H8,seed2!H8,seed3!H8,seed4!H8,seed5!H8)</f>
        <v>9.8620750000000008</v>
      </c>
      <c r="J8">
        <f>AVERAGE(seed1!J8,seed2!J8,seed3!J8,seed4!J8,seed5!J8)</f>
        <v>8.8409500000000012</v>
      </c>
      <c r="K8">
        <f>AVERAGE(seed1!K8,seed2!K8,seed3!K8,seed4!K8,seed5!K8)</f>
        <v>10.085799999999999</v>
      </c>
      <c r="L8">
        <f>AVERAGE(seed1!L8,seed2!L8,seed3!L8,seed4!L8,seed5!L8)</f>
        <v>9.9611250000000009</v>
      </c>
      <c r="N8">
        <f>AVERAGE(seed1!N8,seed2!N8,seed3!N8,seed4!N8,seed5!N8)</f>
        <v>8.9169999999999998</v>
      </c>
      <c r="O8">
        <f>AVERAGE(seed1!O8,seed2!O8,seed3!O8,seed4!O8,seed5!O8)</f>
        <v>10.231624999999999</v>
      </c>
      <c r="P8">
        <f>AVERAGE(seed1!P8,seed2!P8,seed3!P8,seed4!P8,seed5!P8)</f>
        <v>10.104600000000001</v>
      </c>
      <c r="R8">
        <v>4</v>
      </c>
      <c r="S8">
        <f t="shared" si="0"/>
        <v>35.503470000000007</v>
      </c>
      <c r="T8">
        <f t="shared" si="1"/>
        <v>35.860050000000001</v>
      </c>
      <c r="U8" s="11">
        <f t="shared" si="2"/>
        <v>36.376560000000005</v>
      </c>
    </row>
    <row r="10" spans="2:23">
      <c r="B10" s="2">
        <v>15</v>
      </c>
      <c r="C10">
        <v>600</v>
      </c>
      <c r="D10">
        <v>600</v>
      </c>
      <c r="F10" t="e">
        <f>AVERAGE(seed1!F10,seed2!F10,seed3!F10,seed4!F10,seed5!F10)</f>
        <v>#DIV/0!</v>
      </c>
      <c r="G10" t="e">
        <f>AVERAGE(seed1!G10,seed2!G10,seed3!G10,seed4!G10,seed5!G10)</f>
        <v>#DIV/0!</v>
      </c>
      <c r="H10" t="e">
        <f>AVERAGE(seed1!H10,seed2!H10,seed3!H10,seed4!H10,seed5!H10)</f>
        <v>#DIV/0!</v>
      </c>
      <c r="J10" t="e">
        <f>AVERAGE(seed1!J10,seed2!J10,seed3!J10,seed4!J10,seed5!J10)</f>
        <v>#DIV/0!</v>
      </c>
      <c r="K10" t="e">
        <f>AVERAGE(seed1!K10,seed2!K10,seed3!K10,seed4!K10,seed5!K10)</f>
        <v>#DIV/0!</v>
      </c>
      <c r="L10" t="e">
        <f>AVERAGE(seed1!L10,seed2!L10,seed3!L10,seed4!L10,seed5!L10)</f>
        <v>#DIV/0!</v>
      </c>
      <c r="N10" t="e">
        <f>AVERAGE(seed1!N10,seed2!N10,seed3!N10,seed4!N10,seed5!N10)</f>
        <v>#DIV/0!</v>
      </c>
      <c r="O10" t="e">
        <f>AVERAGE(seed1!O10,seed2!O10,seed3!O10,seed4!O10,seed5!O10)</f>
        <v>#DIV/0!</v>
      </c>
      <c r="P10" t="e">
        <f>AVERAGE(seed1!P10,seed2!P10,seed3!P10,seed4!P10,seed5!P10)</f>
        <v>#DIV/0!</v>
      </c>
    </row>
    <row r="11" spans="2:23">
      <c r="B11" s="2"/>
      <c r="C11">
        <v>600</v>
      </c>
      <c r="D11">
        <v>800</v>
      </c>
      <c r="F11" t="e">
        <f>AVERAGE(seed1!F11,seed2!F11,seed3!F11,seed4!F11,seed5!F11)</f>
        <v>#DIV/0!</v>
      </c>
      <c r="G11" t="e">
        <f>AVERAGE(seed1!G11,seed2!G11,seed3!G11,seed4!G11,seed5!G11)</f>
        <v>#DIV/0!</v>
      </c>
      <c r="H11" t="e">
        <f>AVERAGE(seed1!H11,seed2!H11,seed3!H11,seed4!H11,seed5!H11)</f>
        <v>#DIV/0!</v>
      </c>
      <c r="J11">
        <f>AVERAGE(seed1!J11,seed2!J11,seed3!J11,seed4!J11,seed5!J11)</f>
        <v>10.7117</v>
      </c>
      <c r="K11">
        <f>AVERAGE(seed1!K11,seed2!K11,seed3!K11,seed4!K11,seed5!K11)</f>
        <v>11.269600000000001</v>
      </c>
      <c r="L11">
        <f>AVERAGE(seed1!L11,seed2!L11,seed3!L11,seed4!L11,seed5!L11)</f>
        <v>11.177</v>
      </c>
      <c r="M11" s="6"/>
      <c r="N11">
        <f>AVERAGE(seed1!N11,seed2!N11,seed3!N11,seed4!N11,seed5!N11)</f>
        <v>10.7117</v>
      </c>
      <c r="O11">
        <f>AVERAGE(seed1!O11,seed2!O11,seed3!O11,seed4!O11,seed5!O11)</f>
        <v>11.269600000000001</v>
      </c>
      <c r="P11">
        <f>AVERAGE(seed1!P11,seed2!P11,seed3!P11,seed4!P11,seed5!P11)</f>
        <v>11.177</v>
      </c>
      <c r="Q11" s="6"/>
    </row>
    <row r="12" spans="2:23">
      <c r="B12" s="2"/>
      <c r="C12">
        <v>800</v>
      </c>
      <c r="D12">
        <v>800</v>
      </c>
      <c r="F12" t="e">
        <f>AVERAGE(seed1!F12,seed2!F12,seed3!F12,seed4!F12,seed5!F12)</f>
        <v>#DIV/0!</v>
      </c>
      <c r="G12" t="e">
        <f>AVERAGE(seed1!G12,seed2!G12,seed3!G12,seed4!G12,seed5!G12)</f>
        <v>#DIV/0!</v>
      </c>
      <c r="H12" t="e">
        <f>AVERAGE(seed1!H12,seed2!H12,seed3!H12,seed4!H12,seed5!H12)</f>
        <v>#DIV/0!</v>
      </c>
      <c r="J12" t="e">
        <f>AVERAGE(seed1!J12,seed2!J12,seed3!J12,seed4!J12,seed5!J12)</f>
        <v>#DIV/0!</v>
      </c>
      <c r="K12" t="e">
        <f>AVERAGE(seed1!K12,seed2!K12,seed3!K12,seed4!K12,seed5!K12)</f>
        <v>#DIV/0!</v>
      </c>
      <c r="L12" t="e">
        <f>AVERAGE(seed1!L12,seed2!L12,seed3!L12,seed4!L12,seed5!L12)</f>
        <v>#DIV/0!</v>
      </c>
      <c r="M12" s="6"/>
      <c r="N12" t="e">
        <f>AVERAGE(seed1!N12,seed2!N12,seed3!N12,seed4!N12,seed5!N12)</f>
        <v>#DIV/0!</v>
      </c>
      <c r="O12" t="e">
        <f>AVERAGE(seed1!O12,seed2!O12,seed3!O12,seed4!O12,seed5!O12)</f>
        <v>#DIV/0!</v>
      </c>
      <c r="P12" t="e">
        <f>AVERAGE(seed1!P12,seed2!P12,seed3!P12,seed4!P12,seed5!P12)</f>
        <v>#DIV/0!</v>
      </c>
      <c r="Q12" s="6"/>
    </row>
    <row r="13" spans="2:23">
      <c r="B13" s="2"/>
      <c r="C13">
        <v>1000</v>
      </c>
      <c r="D13">
        <v>800</v>
      </c>
      <c r="F13" t="e">
        <f>AVERAGE(seed1!F13,seed2!F13,seed3!F13,seed4!F13,seed5!F13)</f>
        <v>#DIV/0!</v>
      </c>
      <c r="G13" t="e">
        <f>AVERAGE(seed1!G13,seed2!G13,seed3!G13,seed4!G13,seed5!G13)</f>
        <v>#DIV/0!</v>
      </c>
      <c r="H13" t="e">
        <f>AVERAGE(seed1!H13,seed2!H13,seed3!H13,seed4!H13,seed5!H13)</f>
        <v>#DIV/0!</v>
      </c>
      <c r="J13">
        <f>AVERAGE(seed1!J13,seed2!J13,seed3!J13,seed4!J13,seed5!J13)</f>
        <v>7.0955000000000004</v>
      </c>
      <c r="K13">
        <f>AVERAGE(seed1!K13,seed2!K13,seed3!K13,seed4!K13,seed5!K13)</f>
        <v>7.6482999999999999</v>
      </c>
      <c r="L13">
        <f>AVERAGE(seed1!L13,seed2!L13,seed3!L13,seed4!L13,seed5!L13)</f>
        <v>7.5735000000000001</v>
      </c>
      <c r="M13" s="6"/>
      <c r="N13">
        <f>AVERAGE(seed1!N13,seed2!N13,seed3!N13,seed4!N13,seed5!N13)</f>
        <v>8.218</v>
      </c>
      <c r="O13">
        <f>AVERAGE(seed1!O13,seed2!O13,seed3!O13,seed4!O13,seed5!O13)</f>
        <v>9.0305999999999997</v>
      </c>
      <c r="P13">
        <f>AVERAGE(seed1!P13,seed2!P13,seed3!P13,seed4!P13,seed5!P13)</f>
        <v>8.9163999999999994</v>
      </c>
      <c r="Q13" s="6"/>
    </row>
    <row r="14" spans="2:23">
      <c r="J14" s="6"/>
      <c r="K14" s="6"/>
      <c r="L14" s="6"/>
      <c r="M14" s="6"/>
      <c r="N14" s="6"/>
      <c r="O14" s="6"/>
      <c r="P14" s="6"/>
      <c r="Q14" s="6"/>
      <c r="S14" t="s">
        <v>33</v>
      </c>
      <c r="T14" t="s">
        <v>6</v>
      </c>
      <c r="U14" t="s">
        <v>7</v>
      </c>
    </row>
    <row r="15" spans="2:23">
      <c r="B15" s="2">
        <v>25</v>
      </c>
      <c r="C15">
        <v>600</v>
      </c>
      <c r="D15">
        <v>600</v>
      </c>
      <c r="F15">
        <f>AVERAGE(seed1!F15,seed2!F15,seed3!F15,seed4!F15,seed5!F15)</f>
        <v>10.819224999999999</v>
      </c>
      <c r="G15">
        <f>AVERAGE(seed1!G15,seed2!G15,seed3!G15,seed4!G15,seed5!G15)</f>
        <v>11.925474999999999</v>
      </c>
      <c r="H15">
        <f>AVERAGE(seed1!H15,seed2!H15,seed3!H15,seed4!H15,seed5!H15)</f>
        <v>11.617224999999999</v>
      </c>
      <c r="J15">
        <f>AVERAGE(seed1!J15,seed2!J15,seed3!J15,seed4!J15,seed5!J15)</f>
        <v>10.675925000000001</v>
      </c>
      <c r="K15">
        <f>AVERAGE(seed1!K15,seed2!K15,seed3!K15,seed4!K15,seed5!K15)</f>
        <v>11.616175</v>
      </c>
      <c r="L15">
        <f>AVERAGE(seed1!L15,seed2!L15,seed3!L15,seed4!L15,seed5!L15)</f>
        <v>11.361649999999999</v>
      </c>
      <c r="M15" s="6"/>
      <c r="N15">
        <f>AVERAGE(seed1!N15,seed2!N15,seed3!N15,seed4!N15,seed5!N15)</f>
        <v>10.680975</v>
      </c>
      <c r="O15">
        <f>AVERAGE(seed1!O15,seed2!O15,seed3!O15,seed4!O15,seed5!O15)</f>
        <v>11.783725</v>
      </c>
      <c r="P15">
        <f>AVERAGE(seed1!P15,seed2!P15,seed3!P15,seed4!P15,seed5!P15)</f>
        <v>11.477449999999999</v>
      </c>
      <c r="Q15" s="6"/>
      <c r="R15">
        <v>1</v>
      </c>
      <c r="S15" s="11">
        <f>H15*3.6</f>
        <v>41.822009999999999</v>
      </c>
      <c r="T15">
        <f>L15*3.6</f>
        <v>40.901939999999996</v>
      </c>
      <c r="U15">
        <f>P15*3.6</f>
        <v>41.318819999999995</v>
      </c>
    </row>
    <row r="16" spans="2:23">
      <c r="B16" s="2"/>
      <c r="C16">
        <v>600</v>
      </c>
      <c r="D16">
        <v>800</v>
      </c>
      <c r="F16">
        <f>AVERAGE(seed1!F16,seed2!F16,seed3!F16,seed4!F16,seed5!F16)</f>
        <v>10.284924999999999</v>
      </c>
      <c r="G16">
        <f>AVERAGE(seed1!G16,seed2!G16,seed3!G16,seed4!G16,seed5!G16)</f>
        <v>11.061</v>
      </c>
      <c r="H16">
        <f>AVERAGE(seed1!H16,seed2!H16,seed3!H16,seed4!H16,seed5!H16)</f>
        <v>10.863225</v>
      </c>
      <c r="J16">
        <f>AVERAGE(seed1!J16,seed2!J16,seed3!J16,seed4!J16,seed5!J16)</f>
        <v>10.078150000000001</v>
      </c>
      <c r="K16">
        <f>AVERAGE(seed1!K16,seed2!K16,seed3!K16,seed4!K16,seed5!K16)</f>
        <v>11.07835</v>
      </c>
      <c r="L16">
        <f>AVERAGE(seed1!L16,seed2!L16,seed3!L16,seed4!L16,seed5!L16)</f>
        <v>10.821375</v>
      </c>
      <c r="M16" s="6"/>
      <c r="N16">
        <f>AVERAGE(seed1!N16,seed2!N16,seed3!N16,seed4!N16,seed5!N16)</f>
        <v>10.230650000000001</v>
      </c>
      <c r="O16">
        <f>AVERAGE(seed1!O16,seed2!O16,seed3!O16,seed4!O16,seed5!O16)</f>
        <v>10.8667</v>
      </c>
      <c r="P16">
        <f>AVERAGE(seed1!P16,seed2!P16,seed3!P16,seed4!P16,seed5!P16)</f>
        <v>10.703900000000001</v>
      </c>
      <c r="Q16" s="6"/>
      <c r="R16">
        <v>2</v>
      </c>
      <c r="S16" s="11">
        <f t="shared" ref="S16:S18" si="3">H16*3.6</f>
        <v>39.107610000000001</v>
      </c>
      <c r="T16">
        <f t="shared" ref="T16:T18" si="4">L16*3.6</f>
        <v>38.956949999999999</v>
      </c>
      <c r="U16">
        <f t="shared" ref="U16:U18" si="5">P16*3.6</f>
        <v>38.534040000000005</v>
      </c>
    </row>
    <row r="17" spans="2:23">
      <c r="B17" s="2"/>
      <c r="C17">
        <v>800</v>
      </c>
      <c r="D17">
        <v>800</v>
      </c>
      <c r="F17">
        <f>AVERAGE(seed1!F17,seed2!F17,seed3!F17,seed4!F17,seed5!F17)</f>
        <v>9.9671249999999993</v>
      </c>
      <c r="G17">
        <f>AVERAGE(seed1!G17,seed2!G17,seed3!G17,seed4!G17,seed5!G17)</f>
        <v>10.662974999999999</v>
      </c>
      <c r="H17">
        <f>AVERAGE(seed1!H17,seed2!H17,seed3!H17,seed4!H17,seed5!H17)</f>
        <v>10.489399999999998</v>
      </c>
      <c r="J17">
        <f>AVERAGE(seed1!J17,seed2!J17,seed3!J17,seed4!J17,seed5!J17)</f>
        <v>9.9186499999999995</v>
      </c>
      <c r="K17">
        <f>AVERAGE(seed1!K17,seed2!K17,seed3!K17,seed4!K17,seed5!K17)</f>
        <v>10.684574999999999</v>
      </c>
      <c r="L17">
        <f>AVERAGE(seed1!L17,seed2!L17,seed3!L17,seed4!L17,seed5!L17)</f>
        <v>10.491724999999999</v>
      </c>
      <c r="M17" s="6"/>
      <c r="N17">
        <f>AVERAGE(seed1!N17,seed2!N17,seed3!N17,seed4!N17,seed5!N17)</f>
        <v>9.9420999999999999</v>
      </c>
      <c r="O17">
        <f>AVERAGE(seed1!O17,seed2!O17,seed3!O17,seed4!O17,seed5!O17)</f>
        <v>10.654824999999999</v>
      </c>
      <c r="P17">
        <f>AVERAGE(seed1!P17,seed2!P17,seed3!P17,seed4!P17,seed5!P17)</f>
        <v>10.477349999999998</v>
      </c>
      <c r="Q17" s="6"/>
      <c r="R17">
        <v>3</v>
      </c>
      <c r="S17">
        <f t="shared" si="3"/>
        <v>37.761839999999992</v>
      </c>
      <c r="T17" s="11">
        <f t="shared" si="4"/>
        <v>37.770209999999999</v>
      </c>
      <c r="U17">
        <f t="shared" si="5"/>
        <v>37.718459999999993</v>
      </c>
    </row>
    <row r="18" spans="2:23">
      <c r="B18" s="2"/>
      <c r="C18">
        <v>1000</v>
      </c>
      <c r="D18">
        <v>800</v>
      </c>
      <c r="F18">
        <f>AVERAGE(seed1!F18,seed2!F18,seed3!F18,seed4!F18,seed5!F18)</f>
        <v>8.4073999999999991</v>
      </c>
      <c r="G18">
        <f>AVERAGE(seed1!G18,seed2!G18,seed3!G18,seed4!G18,seed5!G18)</f>
        <v>8.6406666666666663</v>
      </c>
      <c r="H18">
        <f>AVERAGE(seed1!H18,seed2!H18,seed3!H18,seed4!H18,seed5!H18)</f>
        <v>8.5816999999999997</v>
      </c>
      <c r="J18">
        <f>AVERAGE(seed1!J18,seed2!J18,seed3!J18,seed4!J18,seed5!J18)</f>
        <v>8.478766666666667</v>
      </c>
      <c r="K18">
        <f>AVERAGE(seed1!K18,seed2!K18,seed3!K18,seed4!K18,seed5!K18)</f>
        <v>9.0041000000000011</v>
      </c>
      <c r="L18">
        <f>AVERAGE(seed1!L18,seed2!L18,seed3!L18,seed4!L18,seed5!L18)</f>
        <v>8.8751999999999995</v>
      </c>
      <c r="M18" s="6"/>
      <c r="N18">
        <f>AVERAGE(seed1!N18,seed2!N18,seed3!N18,seed4!N18,seed5!N18)</f>
        <v>8.2855333333333334</v>
      </c>
      <c r="O18">
        <f>AVERAGE(seed1!O18,seed2!O18,seed3!O18,seed4!O18,seed5!O18)</f>
        <v>8.5830666666666673</v>
      </c>
      <c r="P18">
        <f>AVERAGE(seed1!P18,seed2!P18,seed3!P18,seed4!P18,seed5!P18)</f>
        <v>8.5065000000000008</v>
      </c>
      <c r="Q18" s="6"/>
      <c r="R18">
        <v>4</v>
      </c>
      <c r="S18">
        <f t="shared" si="3"/>
        <v>30.894120000000001</v>
      </c>
      <c r="T18" s="11">
        <f t="shared" si="4"/>
        <v>31.95072</v>
      </c>
      <c r="U18">
        <f t="shared" si="5"/>
        <v>30.623400000000004</v>
      </c>
      <c r="W18">
        <f>T18/U18</f>
        <v>1.0433433256921176</v>
      </c>
    </row>
    <row r="19" spans="2:23">
      <c r="J19" s="6"/>
      <c r="K19" s="6"/>
      <c r="L19" s="6"/>
      <c r="M19" s="6"/>
      <c r="N19" s="6"/>
      <c r="O19" s="6"/>
      <c r="P19" s="6"/>
      <c r="Q19" s="6"/>
      <c r="R19">
        <v>1</v>
      </c>
      <c r="S19">
        <v>41.822009999999999</v>
      </c>
      <c r="T19">
        <v>40.901939999999996</v>
      </c>
      <c r="U19">
        <v>41.318819999999995</v>
      </c>
    </row>
    <row r="20" spans="2:23">
      <c r="B20" s="2">
        <v>30</v>
      </c>
      <c r="J20" s="6"/>
      <c r="K20" s="6"/>
      <c r="L20" s="6"/>
      <c r="M20" s="6"/>
      <c r="N20" s="6"/>
      <c r="O20" s="6"/>
      <c r="P20" s="6"/>
      <c r="Q20" s="6"/>
      <c r="R20">
        <v>2</v>
      </c>
      <c r="S20">
        <v>39.107610000000001</v>
      </c>
      <c r="T20">
        <v>38.956949999999999</v>
      </c>
      <c r="U20">
        <v>38.534040000000005</v>
      </c>
    </row>
    <row r="21" spans="2:23">
      <c r="B21" s="2"/>
      <c r="J21" s="6"/>
      <c r="K21" s="6"/>
      <c r="L21" s="6"/>
      <c r="M21" s="6"/>
      <c r="N21" s="6"/>
      <c r="O21" s="6"/>
      <c r="P21" s="6"/>
      <c r="Q21" s="6"/>
      <c r="R21">
        <v>3</v>
      </c>
      <c r="S21">
        <v>37.761839999999992</v>
      </c>
      <c r="T21">
        <v>37.770209999999999</v>
      </c>
      <c r="U21">
        <v>37.718459999999993</v>
      </c>
    </row>
    <row r="22" spans="2:23">
      <c r="B22" s="2"/>
      <c r="J22" s="6"/>
      <c r="K22" s="6"/>
      <c r="L22" s="6"/>
      <c r="M22" s="6"/>
      <c r="N22" s="6"/>
      <c r="O22" s="6"/>
      <c r="P22" s="6"/>
      <c r="Q22" s="6"/>
      <c r="R22">
        <v>4</v>
      </c>
      <c r="S22">
        <v>31.577310000000004</v>
      </c>
      <c r="T22">
        <v>31.7502</v>
      </c>
      <c r="U22">
        <v>30.623400000000004</v>
      </c>
    </row>
    <row r="23" spans="2:23">
      <c r="B23" s="2"/>
      <c r="J23" s="6"/>
      <c r="K23" s="6"/>
      <c r="L23" s="6"/>
      <c r="M23" s="6"/>
      <c r="N23" s="6"/>
      <c r="O23" s="6"/>
      <c r="P23" s="6"/>
      <c r="Q23" s="6"/>
    </row>
    <row r="24" spans="2:23">
      <c r="J24" s="6"/>
      <c r="K24" s="6"/>
      <c r="L24" s="6"/>
      <c r="M24" s="6"/>
      <c r="N24" s="6"/>
      <c r="O24" s="6"/>
      <c r="P24" s="6"/>
      <c r="Q24" s="6"/>
      <c r="S24" t="s">
        <v>33</v>
      </c>
      <c r="T24" t="s">
        <v>6</v>
      </c>
      <c r="U24" t="s">
        <v>7</v>
      </c>
    </row>
    <row r="25" spans="2:23">
      <c r="B25" s="2">
        <v>40</v>
      </c>
      <c r="C25">
        <v>600</v>
      </c>
      <c r="D25">
        <v>600</v>
      </c>
      <c r="F25">
        <f>AVERAGE(seed1!F25,seed2!F25,seed3!F25,seed4!F25,seed5!F25)</f>
        <v>10.623000000000001</v>
      </c>
      <c r="G25">
        <f>AVERAGE(seed1!G25,seed2!G25,seed3!G25,seed4!G25,seed5!G25)</f>
        <v>11.309675</v>
      </c>
      <c r="H25">
        <f>AVERAGE(seed1!H25,seed2!H25,seed3!H25,seed4!H25,seed5!H25)</f>
        <v>11.0245</v>
      </c>
      <c r="J25">
        <f>AVERAGE(seed1!J25,seed2!J25,seed3!J25,seed4!J25,seed5!J25)</f>
        <v>10.537725</v>
      </c>
      <c r="K25">
        <f>AVERAGE(seed1!K25,seed2!K25,seed3!K25,seed4!K25,seed5!K25)</f>
        <v>11.452275</v>
      </c>
      <c r="L25">
        <f>AVERAGE(seed1!L25,seed2!L25,seed3!L25,seed4!L25,seed5!L25)</f>
        <v>11.079200000000002</v>
      </c>
      <c r="M25" s="6"/>
      <c r="N25">
        <f>AVERAGE(seed1!N25,seed2!N25,seed3!N25,seed4!N25,seed5!N25)</f>
        <v>10.63175</v>
      </c>
      <c r="O25">
        <f>AVERAGE(seed1!O25,seed2!O25,seed3!O25,seed4!O25,seed5!O25)</f>
        <v>11.543975</v>
      </c>
      <c r="P25">
        <f>AVERAGE(seed1!P25,seed2!P25,seed3!P25,seed4!P25,seed5!P25)</f>
        <v>11.1722</v>
      </c>
      <c r="Q25" s="6"/>
      <c r="R25">
        <v>1</v>
      </c>
      <c r="S25">
        <f>H25*3.6</f>
        <v>39.688200000000002</v>
      </c>
      <c r="T25">
        <f>L25*3.6</f>
        <v>39.885120000000008</v>
      </c>
      <c r="U25" s="11">
        <f>P25*3.6</f>
        <v>40.219920000000002</v>
      </c>
    </row>
    <row r="26" spans="2:23">
      <c r="B26" s="2"/>
      <c r="C26">
        <v>600</v>
      </c>
      <c r="D26">
        <v>800</v>
      </c>
      <c r="F26">
        <f>AVERAGE(seed1!F26,seed2!F26,seed3!F26,seed4!F26,seed5!F26)</f>
        <v>10.47475</v>
      </c>
      <c r="G26">
        <f>AVERAGE(seed1!G26,seed2!G26,seed3!G26,seed4!G26,seed5!G26)</f>
        <v>11.197775</v>
      </c>
      <c r="H26">
        <f>AVERAGE(seed1!H26,seed2!H26,seed3!H26,seed4!H26,seed5!H26)</f>
        <v>10.897600000000001</v>
      </c>
      <c r="J26">
        <f>AVERAGE(seed1!J26,seed2!J26,seed3!J26,seed4!J26,seed5!J26)</f>
        <v>10.400774999999999</v>
      </c>
      <c r="K26">
        <f>AVERAGE(seed1!K26,seed2!K26,seed3!K26,seed4!K26,seed5!K26)</f>
        <v>11.145299999999999</v>
      </c>
      <c r="L26">
        <f>AVERAGE(seed1!L26,seed2!L26,seed3!L26,seed4!L26,seed5!L26)</f>
        <v>10.834399999999999</v>
      </c>
      <c r="M26" s="6"/>
      <c r="N26">
        <f>AVERAGE(seed1!N26,seed2!N26,seed3!N26,seed4!N26,seed5!N26)</f>
        <v>10.423875000000001</v>
      </c>
      <c r="O26">
        <f>AVERAGE(seed1!O26,seed2!O26,seed3!O26,seed4!O26,seed5!O26)</f>
        <v>11.196075</v>
      </c>
      <c r="P26">
        <f>AVERAGE(seed1!P26,seed2!P26,seed3!P26,seed4!P26,seed5!P26)</f>
        <v>10.873325000000001</v>
      </c>
      <c r="Q26" s="6"/>
      <c r="R26">
        <v>2</v>
      </c>
      <c r="S26" s="11">
        <f t="shared" ref="S26:S28" si="6">H26*3.6</f>
        <v>39.231360000000002</v>
      </c>
      <c r="T26">
        <f t="shared" ref="T26:T28" si="7">L26*3.6</f>
        <v>39.003839999999997</v>
      </c>
      <c r="U26">
        <f t="shared" ref="U26:U28" si="8">P26*3.6</f>
        <v>39.143970000000003</v>
      </c>
    </row>
    <row r="27" spans="2:23">
      <c r="B27" s="2"/>
      <c r="C27">
        <v>800</v>
      </c>
      <c r="D27">
        <v>800</v>
      </c>
      <c r="F27">
        <f>AVERAGE(seed1!F27,seed2!F27,seed3!F27,seed4!F27,seed5!F27)</f>
        <v>8.9686000000000003</v>
      </c>
      <c r="G27">
        <f>AVERAGE(seed1!G27,seed2!G27,seed3!G27,seed4!G27,seed5!G27)</f>
        <v>9.3398500000000002</v>
      </c>
      <c r="H27">
        <f>AVERAGE(seed1!H27,seed2!H27,seed3!H27,seed4!H27,seed5!H27)</f>
        <v>9.1831999999999994</v>
      </c>
      <c r="J27">
        <f>AVERAGE(seed1!J27,seed2!J27,seed3!J27,seed4!J27,seed5!J27)</f>
        <v>9.1387249999999991</v>
      </c>
      <c r="K27">
        <f>AVERAGE(seed1!K27,seed2!K27,seed3!K27,seed4!K27,seed5!K27)</f>
        <v>9.6498750000000015</v>
      </c>
      <c r="L27">
        <f>AVERAGE(seed1!L27,seed2!L27,seed3!L27,seed4!L27,seed5!L27)</f>
        <v>9.4338750000000005</v>
      </c>
      <c r="M27" s="6"/>
      <c r="N27">
        <f>AVERAGE(seed1!N27,seed2!N27,seed3!N27,seed4!N27,seed5!N27)</f>
        <v>9.7059999999999995</v>
      </c>
      <c r="O27">
        <f>AVERAGE(seed1!O27,seed2!O27,seed3!O27,seed4!O27,seed5!O27)</f>
        <v>10.060500000000001</v>
      </c>
      <c r="P27">
        <f>AVERAGE(seed1!P27,seed2!P27,seed3!P27,seed4!P27,seed5!P27)</f>
        <v>9.9158749999999998</v>
      </c>
      <c r="Q27" s="6"/>
      <c r="R27">
        <v>3</v>
      </c>
      <c r="S27">
        <f t="shared" si="6"/>
        <v>33.059519999999999</v>
      </c>
      <c r="T27">
        <f t="shared" si="7"/>
        <v>33.961950000000002</v>
      </c>
      <c r="U27" s="11">
        <f t="shared" si="8"/>
        <v>35.697150000000001</v>
      </c>
      <c r="W27">
        <f>U27/S27</f>
        <v>1.0797842799895461</v>
      </c>
    </row>
    <row r="28" spans="2:23">
      <c r="B28" s="2"/>
      <c r="C28">
        <v>1000</v>
      </c>
      <c r="D28">
        <v>800</v>
      </c>
      <c r="F28">
        <f>AVERAGE(seed1!F28,seed2!F28,seed3!F28,seed4!F28,seed5!F28)</f>
        <v>8.2313000000000009</v>
      </c>
      <c r="G28">
        <f>AVERAGE(seed1!G28,seed2!G28,seed3!G28,seed4!G28,seed5!G28)</f>
        <v>8.2721499999999999</v>
      </c>
      <c r="H28">
        <f>AVERAGE(seed1!H28,seed2!H28,seed3!H28,seed4!H28,seed5!H28)</f>
        <v>8.2569999999999997</v>
      </c>
      <c r="J28">
        <f>AVERAGE(seed1!J28,seed2!J28,seed3!J28,seed4!J28,seed5!J28)</f>
        <v>8.3765500000000017</v>
      </c>
      <c r="K28">
        <f>AVERAGE(seed1!K28,seed2!K28,seed3!K28,seed4!K28,seed5!K28)</f>
        <v>8.2333999999999996</v>
      </c>
      <c r="L28">
        <f>AVERAGE(seed1!L28,seed2!L28,seed3!L28,seed4!L28,seed5!L28)</f>
        <v>8.2889499999999998</v>
      </c>
      <c r="M28" s="6"/>
      <c r="N28">
        <f>AVERAGE(seed1!N28,seed2!N28,seed3!N28,seed4!N28,seed5!N28)</f>
        <v>8.2313000000000009</v>
      </c>
      <c r="O28">
        <f>AVERAGE(seed1!O28,seed2!O28,seed3!O28,seed4!O28,seed5!O28)</f>
        <v>8.2721499999999999</v>
      </c>
      <c r="P28">
        <f>AVERAGE(seed1!P28,seed2!P28,seed3!P28,seed4!P28,seed5!P28)</f>
        <v>8.2569999999999997</v>
      </c>
      <c r="Q28" s="6"/>
      <c r="R28">
        <v>4</v>
      </c>
      <c r="S28">
        <f t="shared" si="6"/>
        <v>29.725200000000001</v>
      </c>
      <c r="T28" s="11">
        <f t="shared" si="7"/>
        <v>29.840219999999999</v>
      </c>
      <c r="U28">
        <f t="shared" si="8"/>
        <v>29.725200000000001</v>
      </c>
    </row>
  </sheetData>
  <mergeCells count="5">
    <mergeCell ref="B5:B8"/>
    <mergeCell ref="B10:B13"/>
    <mergeCell ref="B15:B18"/>
    <mergeCell ref="B20:B23"/>
    <mergeCell ref="B25:B28"/>
  </mergeCells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3DCB-3FD8-5142-BC15-66CD57FBBA53}">
  <dimension ref="B2:P28"/>
  <sheetViews>
    <sheetView workbookViewId="0">
      <selection activeCell="C2" sqref="C2"/>
    </sheetView>
  </sheetViews>
  <sheetFormatPr baseColWidth="10" defaultRowHeight="20"/>
  <cols>
    <col min="5" max="5" width="2.42578125" customWidth="1"/>
    <col min="6" max="6" width="13.140625" customWidth="1"/>
    <col min="7" max="7" width="12.85546875" customWidth="1"/>
    <col min="9" max="9" width="2.42578125" customWidth="1"/>
    <col min="10" max="12" width="12.85546875" customWidth="1"/>
    <col min="13" max="13" width="3.42578125" customWidth="1"/>
    <col min="14" max="16" width="12.85546875" customWidth="1"/>
  </cols>
  <sheetData>
    <row r="2" spans="2:16">
      <c r="F2" t="s">
        <v>0</v>
      </c>
      <c r="J2" t="s">
        <v>6</v>
      </c>
      <c r="N2" t="s">
        <v>8</v>
      </c>
    </row>
    <row r="3" spans="2:16">
      <c r="B3" t="s">
        <v>4</v>
      </c>
      <c r="C3" t="s">
        <v>5</v>
      </c>
      <c r="F3" t="s">
        <v>1</v>
      </c>
      <c r="G3" t="s">
        <v>2</v>
      </c>
      <c r="H3" t="s">
        <v>3</v>
      </c>
      <c r="J3" t="s">
        <v>1</v>
      </c>
      <c r="K3" t="s">
        <v>2</v>
      </c>
      <c r="L3" t="s">
        <v>3</v>
      </c>
      <c r="N3" t="s">
        <v>1</v>
      </c>
      <c r="O3" t="s">
        <v>2</v>
      </c>
      <c r="P3" t="s">
        <v>3</v>
      </c>
    </row>
    <row r="5" spans="2:16">
      <c r="B5" s="2">
        <v>10</v>
      </c>
    </row>
    <row r="6" spans="2:16">
      <c r="B6" s="2"/>
    </row>
    <row r="7" spans="2:16">
      <c r="B7" s="2"/>
    </row>
    <row r="8" spans="2:16">
      <c r="B8" s="2"/>
    </row>
    <row r="10" spans="2:16">
      <c r="B10" s="2">
        <v>15</v>
      </c>
    </row>
    <row r="11" spans="2:16">
      <c r="B11" s="2"/>
    </row>
    <row r="12" spans="2:16">
      <c r="B12" s="2"/>
    </row>
    <row r="13" spans="2:16">
      <c r="B13" s="2"/>
    </row>
    <row r="15" spans="2:16">
      <c r="B15" s="2">
        <v>25</v>
      </c>
    </row>
    <row r="16" spans="2:16">
      <c r="B16" s="2"/>
    </row>
    <row r="17" spans="2:2">
      <c r="B17" s="2"/>
    </row>
    <row r="18" spans="2:2">
      <c r="B18" s="2"/>
    </row>
    <row r="20" spans="2:2">
      <c r="B20" s="2">
        <v>30</v>
      </c>
    </row>
    <row r="21" spans="2:2">
      <c r="B21" s="2"/>
    </row>
    <row r="22" spans="2:2">
      <c r="B22" s="2"/>
    </row>
    <row r="23" spans="2:2">
      <c r="B23" s="2"/>
    </row>
    <row r="25" spans="2:2">
      <c r="B25" s="2">
        <v>40</v>
      </c>
    </row>
    <row r="26" spans="2:2">
      <c r="B26" s="2"/>
    </row>
    <row r="27" spans="2:2">
      <c r="B27" s="2"/>
    </row>
    <row r="28" spans="2:2">
      <c r="B28" s="2"/>
    </row>
  </sheetData>
  <mergeCells count="5">
    <mergeCell ref="B5:B8"/>
    <mergeCell ref="B10:B13"/>
    <mergeCell ref="B15:B18"/>
    <mergeCell ref="B20:B23"/>
    <mergeCell ref="B25:B28"/>
  </mergeCells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5C4E-D727-EF40-B6E5-8558778F1DEE}">
  <dimension ref="B3:E24"/>
  <sheetViews>
    <sheetView zoomScale="150" workbookViewId="0">
      <selection activeCell="D5" sqref="D5"/>
    </sheetView>
  </sheetViews>
  <sheetFormatPr baseColWidth="10" defaultRowHeight="20"/>
  <sheetData>
    <row r="3" spans="2:5">
      <c r="C3" t="s">
        <v>15</v>
      </c>
      <c r="D3" t="s">
        <v>16</v>
      </c>
      <c r="E3" t="s">
        <v>17</v>
      </c>
    </row>
    <row r="4" spans="2:5">
      <c r="B4">
        <v>0</v>
      </c>
      <c r="C4">
        <f>(200-B4)/200</f>
        <v>1</v>
      </c>
      <c r="D4">
        <f>(200-B4)^2/40000</f>
        <v>1</v>
      </c>
      <c r="E4">
        <f>(40000-B4^2)/40000</f>
        <v>1</v>
      </c>
    </row>
    <row r="5" spans="2:5">
      <c r="B5">
        <v>10</v>
      </c>
      <c r="C5">
        <f t="shared" ref="C5:C24" si="0">(200-B5)/200</f>
        <v>0.95</v>
      </c>
      <c r="D5">
        <f t="shared" ref="D5:D24" si="1">(200-B5)^2/40000</f>
        <v>0.90249999999999997</v>
      </c>
      <c r="E5">
        <f t="shared" ref="E5:E24" si="2">(40000-B5^2)/40000</f>
        <v>0.99750000000000005</v>
      </c>
    </row>
    <row r="6" spans="2:5">
      <c r="B6">
        <v>20</v>
      </c>
      <c r="C6">
        <f t="shared" si="0"/>
        <v>0.9</v>
      </c>
      <c r="D6">
        <f t="shared" si="1"/>
        <v>0.81</v>
      </c>
      <c r="E6">
        <f t="shared" si="2"/>
        <v>0.99</v>
      </c>
    </row>
    <row r="7" spans="2:5">
      <c r="B7">
        <v>30</v>
      </c>
      <c r="C7">
        <f t="shared" si="0"/>
        <v>0.85</v>
      </c>
      <c r="D7">
        <f t="shared" si="1"/>
        <v>0.72250000000000003</v>
      </c>
      <c r="E7">
        <f t="shared" si="2"/>
        <v>0.97750000000000004</v>
      </c>
    </row>
    <row r="8" spans="2:5">
      <c r="B8">
        <v>40</v>
      </c>
      <c r="C8">
        <f t="shared" si="0"/>
        <v>0.8</v>
      </c>
      <c r="D8">
        <f t="shared" si="1"/>
        <v>0.64</v>
      </c>
      <c r="E8">
        <f t="shared" si="2"/>
        <v>0.96</v>
      </c>
    </row>
    <row r="9" spans="2:5">
      <c r="B9">
        <v>50</v>
      </c>
      <c r="C9">
        <f t="shared" si="0"/>
        <v>0.75</v>
      </c>
      <c r="D9">
        <f t="shared" si="1"/>
        <v>0.5625</v>
      </c>
      <c r="E9">
        <f t="shared" si="2"/>
        <v>0.9375</v>
      </c>
    </row>
    <row r="10" spans="2:5">
      <c r="B10">
        <v>60</v>
      </c>
      <c r="C10">
        <f t="shared" si="0"/>
        <v>0.7</v>
      </c>
      <c r="D10">
        <f t="shared" si="1"/>
        <v>0.49</v>
      </c>
      <c r="E10">
        <f t="shared" si="2"/>
        <v>0.91</v>
      </c>
    </row>
    <row r="11" spans="2:5">
      <c r="B11">
        <v>70</v>
      </c>
      <c r="C11">
        <f t="shared" si="0"/>
        <v>0.65</v>
      </c>
      <c r="D11">
        <f t="shared" si="1"/>
        <v>0.42249999999999999</v>
      </c>
      <c r="E11">
        <f t="shared" si="2"/>
        <v>0.87749999999999995</v>
      </c>
    </row>
    <row r="12" spans="2:5">
      <c r="B12">
        <v>80</v>
      </c>
      <c r="C12">
        <f t="shared" si="0"/>
        <v>0.6</v>
      </c>
      <c r="D12">
        <f t="shared" si="1"/>
        <v>0.36</v>
      </c>
      <c r="E12">
        <f t="shared" si="2"/>
        <v>0.84</v>
      </c>
    </row>
    <row r="13" spans="2:5">
      <c r="B13">
        <v>90</v>
      </c>
      <c r="C13">
        <f t="shared" si="0"/>
        <v>0.55000000000000004</v>
      </c>
      <c r="D13">
        <f t="shared" si="1"/>
        <v>0.30249999999999999</v>
      </c>
      <c r="E13">
        <f t="shared" si="2"/>
        <v>0.79749999999999999</v>
      </c>
    </row>
    <row r="14" spans="2:5">
      <c r="B14">
        <v>100</v>
      </c>
      <c r="C14">
        <f t="shared" si="0"/>
        <v>0.5</v>
      </c>
      <c r="D14">
        <f t="shared" si="1"/>
        <v>0.25</v>
      </c>
      <c r="E14">
        <f t="shared" si="2"/>
        <v>0.75</v>
      </c>
    </row>
    <row r="15" spans="2:5">
      <c r="B15">
        <v>110</v>
      </c>
      <c r="C15">
        <f t="shared" si="0"/>
        <v>0.45</v>
      </c>
      <c r="D15">
        <f t="shared" si="1"/>
        <v>0.20250000000000001</v>
      </c>
      <c r="E15">
        <f t="shared" si="2"/>
        <v>0.69750000000000001</v>
      </c>
    </row>
    <row r="16" spans="2:5">
      <c r="B16">
        <v>120</v>
      </c>
      <c r="C16">
        <f t="shared" si="0"/>
        <v>0.4</v>
      </c>
      <c r="D16">
        <f t="shared" si="1"/>
        <v>0.16</v>
      </c>
      <c r="E16">
        <f t="shared" si="2"/>
        <v>0.64</v>
      </c>
    </row>
    <row r="17" spans="2:5">
      <c r="B17">
        <v>130</v>
      </c>
      <c r="C17">
        <f t="shared" si="0"/>
        <v>0.35</v>
      </c>
      <c r="D17">
        <f t="shared" si="1"/>
        <v>0.1225</v>
      </c>
      <c r="E17">
        <f t="shared" si="2"/>
        <v>0.57750000000000001</v>
      </c>
    </row>
    <row r="18" spans="2:5">
      <c r="B18">
        <v>140</v>
      </c>
      <c r="C18">
        <f t="shared" si="0"/>
        <v>0.3</v>
      </c>
      <c r="D18">
        <f t="shared" si="1"/>
        <v>0.09</v>
      </c>
      <c r="E18">
        <f t="shared" si="2"/>
        <v>0.51</v>
      </c>
    </row>
    <row r="19" spans="2:5">
      <c r="B19">
        <v>150</v>
      </c>
      <c r="C19">
        <f t="shared" si="0"/>
        <v>0.25</v>
      </c>
      <c r="D19">
        <f t="shared" si="1"/>
        <v>6.25E-2</v>
      </c>
      <c r="E19">
        <f t="shared" si="2"/>
        <v>0.4375</v>
      </c>
    </row>
    <row r="20" spans="2:5">
      <c r="B20">
        <v>160</v>
      </c>
      <c r="C20">
        <f t="shared" si="0"/>
        <v>0.2</v>
      </c>
      <c r="D20">
        <f t="shared" si="1"/>
        <v>0.04</v>
      </c>
      <c r="E20">
        <f t="shared" si="2"/>
        <v>0.36</v>
      </c>
    </row>
    <row r="21" spans="2:5">
      <c r="B21">
        <v>170</v>
      </c>
      <c r="C21">
        <f t="shared" si="0"/>
        <v>0.15</v>
      </c>
      <c r="D21">
        <f t="shared" si="1"/>
        <v>2.2499999999999999E-2</v>
      </c>
      <c r="E21">
        <f t="shared" si="2"/>
        <v>0.27750000000000002</v>
      </c>
    </row>
    <row r="22" spans="2:5">
      <c r="B22">
        <v>180</v>
      </c>
      <c r="C22">
        <f t="shared" si="0"/>
        <v>0.1</v>
      </c>
      <c r="D22">
        <f t="shared" si="1"/>
        <v>0.01</v>
      </c>
      <c r="E22">
        <f t="shared" si="2"/>
        <v>0.19</v>
      </c>
    </row>
    <row r="23" spans="2:5">
      <c r="B23">
        <v>190</v>
      </c>
      <c r="C23">
        <f t="shared" si="0"/>
        <v>0.05</v>
      </c>
      <c r="D23">
        <f t="shared" si="1"/>
        <v>2.5000000000000001E-3</v>
      </c>
      <c r="E23">
        <f t="shared" si="2"/>
        <v>9.7500000000000003E-2</v>
      </c>
    </row>
    <row r="24" spans="2:5">
      <c r="B24">
        <v>200</v>
      </c>
      <c r="C24">
        <f t="shared" si="0"/>
        <v>0</v>
      </c>
      <c r="D24">
        <f t="shared" si="1"/>
        <v>0</v>
      </c>
      <c r="E24">
        <f t="shared" si="2"/>
        <v>0</v>
      </c>
    </row>
  </sheetData>
  <phoneticPr fontId="2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DD60-B04A-5947-AE32-6C365104942B}">
  <dimension ref="A2:AA78"/>
  <sheetViews>
    <sheetView tabSelected="1" topLeftCell="T1" workbookViewId="0">
      <selection activeCell="AC53" sqref="AC53"/>
    </sheetView>
  </sheetViews>
  <sheetFormatPr baseColWidth="10" defaultRowHeight="20"/>
  <sheetData>
    <row r="2" spans="1:27">
      <c r="B2" t="s">
        <v>27</v>
      </c>
    </row>
    <row r="4" spans="1:27">
      <c r="A4" t="s">
        <v>31</v>
      </c>
      <c r="C4">
        <v>-1</v>
      </c>
      <c r="D4">
        <v>-0.9</v>
      </c>
      <c r="E4">
        <v>-0.8</v>
      </c>
      <c r="F4">
        <v>-0.7</v>
      </c>
      <c r="G4">
        <v>-0.6</v>
      </c>
      <c r="H4">
        <v>-0.5</v>
      </c>
      <c r="I4">
        <v>-0.4</v>
      </c>
      <c r="J4">
        <v>-0.3</v>
      </c>
      <c r="K4">
        <v>-0.2</v>
      </c>
      <c r="L4">
        <v>-0.1</v>
      </c>
      <c r="M4">
        <v>0</v>
      </c>
      <c r="N4">
        <v>0.1</v>
      </c>
      <c r="O4">
        <v>0.2</v>
      </c>
      <c r="P4">
        <v>0.3</v>
      </c>
      <c r="Q4">
        <v>0.4</v>
      </c>
      <c r="R4">
        <v>0.5</v>
      </c>
      <c r="S4">
        <v>0.6</v>
      </c>
      <c r="T4">
        <v>0.7</v>
      </c>
      <c r="U4">
        <v>0.8</v>
      </c>
      <c r="V4">
        <v>0.9</v>
      </c>
      <c r="W4">
        <v>1</v>
      </c>
    </row>
    <row r="5" spans="1:27">
      <c r="B5" t="s">
        <v>28</v>
      </c>
      <c r="C5">
        <f>C10/$Y10</f>
        <v>2.3721176782401272E-2</v>
      </c>
      <c r="D5">
        <f t="shared" ref="D5:W5" si="0">D10/$Y10</f>
        <v>2.2528491916247017E-2</v>
      </c>
      <c r="E5">
        <f t="shared" si="0"/>
        <v>3.140736814206202E-2</v>
      </c>
      <c r="F5">
        <f t="shared" si="0"/>
        <v>3.7768354094884708E-2</v>
      </c>
      <c r="G5">
        <f t="shared" si="0"/>
        <v>3.9358600583090382E-2</v>
      </c>
      <c r="H5">
        <f t="shared" si="0"/>
        <v>4.2406573018817915E-2</v>
      </c>
      <c r="I5">
        <f t="shared" si="0"/>
        <v>4.783991518685396E-2</v>
      </c>
      <c r="J5">
        <f t="shared" si="0"/>
        <v>4.9032600053008218E-2</v>
      </c>
      <c r="K5">
        <f t="shared" si="0"/>
        <v>4.9430161675059633E-2</v>
      </c>
      <c r="L5">
        <f t="shared" si="0"/>
        <v>5.5393586005830907E-2</v>
      </c>
      <c r="M5">
        <f t="shared" si="0"/>
        <v>0.29485820302146831</v>
      </c>
      <c r="N5">
        <f t="shared" si="0"/>
        <v>5.8706599522926055E-2</v>
      </c>
      <c r="O5">
        <f t="shared" si="0"/>
        <v>4.6117148157964485E-2</v>
      </c>
      <c r="P5">
        <f t="shared" si="0"/>
        <v>2.9817121653856346E-2</v>
      </c>
      <c r="Q5">
        <f t="shared" si="0"/>
        <v>2.5841505433342168E-2</v>
      </c>
      <c r="R5">
        <f t="shared" si="0"/>
        <v>2.3588656241717465E-2</v>
      </c>
      <c r="S5">
        <f t="shared" si="0"/>
        <v>1.948051948051948E-2</v>
      </c>
      <c r="T5">
        <f t="shared" si="0"/>
        <v>1.9878081102570899E-2</v>
      </c>
      <c r="U5">
        <f t="shared" si="0"/>
        <v>3.5780545984627619E-2</v>
      </c>
      <c r="V5">
        <f t="shared" si="0"/>
        <v>2.8359395706334483E-2</v>
      </c>
      <c r="W5">
        <f t="shared" si="0"/>
        <v>1.8685396236416643E-2</v>
      </c>
      <c r="Y5">
        <f>SUM(C5:W5)</f>
        <v>1</v>
      </c>
    </row>
    <row r="6" spans="1:27">
      <c r="B6" t="s">
        <v>29</v>
      </c>
      <c r="C6">
        <f t="shared" ref="C6:W6" si="1">C11/$Y11</f>
        <v>2.5257127978127847E-2</v>
      </c>
      <c r="D6">
        <f t="shared" si="1"/>
        <v>1.7966410623616716E-2</v>
      </c>
      <c r="E6">
        <f t="shared" si="1"/>
        <v>2.838172113006119E-2</v>
      </c>
      <c r="F6">
        <f t="shared" si="1"/>
        <v>2.7860955604738967E-2</v>
      </c>
      <c r="G6">
        <f t="shared" si="1"/>
        <v>3.3459185001952871E-2</v>
      </c>
      <c r="H6">
        <f t="shared" si="1"/>
        <v>3.6974352297877877E-2</v>
      </c>
      <c r="I6">
        <f t="shared" si="1"/>
        <v>4.3093347220414011E-2</v>
      </c>
      <c r="J6">
        <f t="shared" si="1"/>
        <v>4.6087748991016794E-2</v>
      </c>
      <c r="K6">
        <f t="shared" si="1"/>
        <v>4.5566983465694572E-2</v>
      </c>
      <c r="L6">
        <f t="shared" si="1"/>
        <v>5.9627652649394611E-2</v>
      </c>
      <c r="M6">
        <f t="shared" si="1"/>
        <v>0.32248405155578702</v>
      </c>
      <c r="N6">
        <f t="shared" si="1"/>
        <v>6.9522197630516855E-2</v>
      </c>
      <c r="O6">
        <f t="shared" si="1"/>
        <v>5.1946361150891809E-2</v>
      </c>
      <c r="P6">
        <f t="shared" si="1"/>
        <v>3.5412055721911209E-2</v>
      </c>
      <c r="Q6">
        <f t="shared" si="1"/>
        <v>2.6298659028772296E-2</v>
      </c>
      <c r="R6">
        <f t="shared" si="1"/>
        <v>2.2913683114177841E-2</v>
      </c>
      <c r="S6">
        <f t="shared" si="1"/>
        <v>1.8487176148938939E-2</v>
      </c>
      <c r="T6">
        <f t="shared" si="1"/>
        <v>1.5492774378336155E-2</v>
      </c>
      <c r="U6">
        <f t="shared" si="1"/>
        <v>2.5387319359458402E-2</v>
      </c>
      <c r="V6">
        <f t="shared" si="1"/>
        <v>2.616846764744174E-2</v>
      </c>
      <c r="W6">
        <f t="shared" si="1"/>
        <v>2.1611769300872281E-2</v>
      </c>
      <c r="Y6">
        <f t="shared" ref="Y6:Y7" si="2">SUM(C6:W6)</f>
        <v>0.99999999999999989</v>
      </c>
    </row>
    <row r="7" spans="1:27">
      <c r="B7" t="s">
        <v>30</v>
      </c>
      <c r="C7">
        <f t="shared" ref="C7:W7" si="3">C12/$Y12</f>
        <v>1.0526315789473684E-2</v>
      </c>
      <c r="D7">
        <f t="shared" si="3"/>
        <v>1.8880534670008355E-2</v>
      </c>
      <c r="E7">
        <f t="shared" si="3"/>
        <v>2.4895572263993318E-2</v>
      </c>
      <c r="F7">
        <f t="shared" si="3"/>
        <v>2.5730994152046785E-2</v>
      </c>
      <c r="G7">
        <f t="shared" si="3"/>
        <v>3.1077694235588971E-2</v>
      </c>
      <c r="H7">
        <f t="shared" si="3"/>
        <v>3.0409356725146199E-2</v>
      </c>
      <c r="I7">
        <f t="shared" si="3"/>
        <v>3.2247284878863823E-2</v>
      </c>
      <c r="J7">
        <f t="shared" si="3"/>
        <v>3.8095238095238099E-2</v>
      </c>
      <c r="K7">
        <f t="shared" si="3"/>
        <v>3.2581453634085211E-2</v>
      </c>
      <c r="L7">
        <f t="shared" si="3"/>
        <v>4.0100250626566414E-2</v>
      </c>
      <c r="M7">
        <f t="shared" si="3"/>
        <v>0.512280701754386</v>
      </c>
      <c r="N7">
        <f t="shared" si="3"/>
        <v>3.4252297410192145E-2</v>
      </c>
      <c r="O7">
        <f t="shared" si="3"/>
        <v>2.9239766081871343E-2</v>
      </c>
      <c r="P7">
        <f t="shared" si="3"/>
        <v>2.0718462823725983E-2</v>
      </c>
      <c r="Q7">
        <f t="shared" si="3"/>
        <v>1.6708437761069339E-2</v>
      </c>
      <c r="R7">
        <f t="shared" si="3"/>
        <v>1.4035087719298246E-2</v>
      </c>
      <c r="S7">
        <f t="shared" si="3"/>
        <v>1.5371762740183793E-2</v>
      </c>
      <c r="T7">
        <f t="shared" si="3"/>
        <v>1.9381787802840434E-2</v>
      </c>
      <c r="U7">
        <f t="shared" si="3"/>
        <v>2.0551378446115289E-2</v>
      </c>
      <c r="V7">
        <f t="shared" si="3"/>
        <v>2.2556390977443608E-2</v>
      </c>
      <c r="W7">
        <f t="shared" si="3"/>
        <v>1.0359231411862992E-2</v>
      </c>
      <c r="Y7">
        <f t="shared" si="2"/>
        <v>1.0000000000000002</v>
      </c>
    </row>
    <row r="9" spans="1:27">
      <c r="B9" t="s">
        <v>32</v>
      </c>
      <c r="C9">
        <v>-1</v>
      </c>
      <c r="D9">
        <v>-0.9</v>
      </c>
      <c r="E9">
        <v>-0.8</v>
      </c>
      <c r="F9">
        <v>-0.7</v>
      </c>
      <c r="G9">
        <v>-0.6</v>
      </c>
      <c r="H9">
        <v>-0.5</v>
      </c>
      <c r="I9">
        <v>-0.4</v>
      </c>
      <c r="J9">
        <v>-0.3</v>
      </c>
      <c r="K9">
        <v>-0.2</v>
      </c>
      <c r="L9">
        <v>-0.1</v>
      </c>
      <c r="M9">
        <v>0</v>
      </c>
      <c r="N9">
        <v>0.1</v>
      </c>
      <c r="O9">
        <v>0.2</v>
      </c>
      <c r="P9">
        <v>0.3</v>
      </c>
      <c r="Q9">
        <v>0.4</v>
      </c>
      <c r="R9">
        <v>0.5</v>
      </c>
      <c r="S9">
        <v>0.6</v>
      </c>
      <c r="T9">
        <v>0.7</v>
      </c>
      <c r="U9">
        <v>0.8</v>
      </c>
      <c r="V9">
        <v>0.9</v>
      </c>
      <c r="W9">
        <v>1</v>
      </c>
    </row>
    <row r="10" spans="1:27">
      <c r="B10" t="s">
        <v>33</v>
      </c>
      <c r="C10" s="10">
        <v>179</v>
      </c>
      <c r="D10" s="10">
        <v>170</v>
      </c>
      <c r="E10" s="10">
        <v>237</v>
      </c>
      <c r="F10" s="10">
        <v>285</v>
      </c>
      <c r="G10" s="10">
        <v>297</v>
      </c>
      <c r="H10" s="10">
        <v>320</v>
      </c>
      <c r="I10" s="10">
        <v>361</v>
      </c>
      <c r="J10" s="10">
        <v>370</v>
      </c>
      <c r="K10" s="10">
        <v>373</v>
      </c>
      <c r="L10" s="10">
        <v>418</v>
      </c>
      <c r="M10" s="10">
        <v>2225</v>
      </c>
      <c r="N10" s="10">
        <v>443</v>
      </c>
      <c r="O10" s="10">
        <v>348</v>
      </c>
      <c r="P10" s="10">
        <v>225</v>
      </c>
      <c r="Q10" s="10">
        <v>195</v>
      </c>
      <c r="R10" s="10">
        <v>178</v>
      </c>
      <c r="S10" s="10">
        <v>147</v>
      </c>
      <c r="T10" s="10">
        <v>150</v>
      </c>
      <c r="U10" s="10">
        <v>270</v>
      </c>
      <c r="V10" s="10">
        <v>214</v>
      </c>
      <c r="W10" s="10">
        <v>141</v>
      </c>
      <c r="Y10">
        <f>SUM(C10:W10)</f>
        <v>7546</v>
      </c>
    </row>
    <row r="11" spans="1:27">
      <c r="B11" t="s">
        <v>6</v>
      </c>
      <c r="C11" s="10">
        <v>194</v>
      </c>
      <c r="D11" s="10">
        <v>138</v>
      </c>
      <c r="E11" s="10">
        <v>218</v>
      </c>
      <c r="F11" s="10">
        <v>214</v>
      </c>
      <c r="G11" s="10">
        <v>257</v>
      </c>
      <c r="H11" s="10">
        <v>284</v>
      </c>
      <c r="I11" s="10">
        <v>331</v>
      </c>
      <c r="J11" s="10">
        <v>354</v>
      </c>
      <c r="K11" s="10">
        <v>350</v>
      </c>
      <c r="L11" s="10">
        <v>458</v>
      </c>
      <c r="M11" s="10">
        <v>2477</v>
      </c>
      <c r="N11" s="10">
        <v>534</v>
      </c>
      <c r="O11" s="10">
        <v>399</v>
      </c>
      <c r="P11" s="10">
        <v>272</v>
      </c>
      <c r="Q11" s="10">
        <v>202</v>
      </c>
      <c r="R11" s="10">
        <v>176</v>
      </c>
      <c r="S11" s="10">
        <v>142</v>
      </c>
      <c r="T11" s="10">
        <v>119</v>
      </c>
      <c r="U11" s="10">
        <v>195</v>
      </c>
      <c r="V11" s="10">
        <v>201</v>
      </c>
      <c r="W11" s="10">
        <v>166</v>
      </c>
      <c r="Y11">
        <f t="shared" ref="Y11:Y12" si="4">SUM(C11:W11)</f>
        <v>7681</v>
      </c>
    </row>
    <row r="12" spans="1:27">
      <c r="B12" t="s">
        <v>7</v>
      </c>
      <c r="C12" s="10">
        <v>63</v>
      </c>
      <c r="D12" s="10">
        <v>113</v>
      </c>
      <c r="E12" s="10">
        <v>149</v>
      </c>
      <c r="F12" s="10">
        <v>154</v>
      </c>
      <c r="G12" s="10">
        <v>186</v>
      </c>
      <c r="H12" s="10">
        <v>182</v>
      </c>
      <c r="I12" s="10">
        <v>193</v>
      </c>
      <c r="J12" s="10">
        <v>228</v>
      </c>
      <c r="K12" s="10">
        <v>195</v>
      </c>
      <c r="L12" s="10">
        <v>240</v>
      </c>
      <c r="M12" s="10">
        <v>3066</v>
      </c>
      <c r="N12" s="10">
        <v>205</v>
      </c>
      <c r="O12" s="10">
        <v>175</v>
      </c>
      <c r="P12" s="10">
        <v>124</v>
      </c>
      <c r="Q12" s="10">
        <v>100</v>
      </c>
      <c r="R12" s="10">
        <v>84</v>
      </c>
      <c r="S12" s="10">
        <v>92</v>
      </c>
      <c r="T12" s="10">
        <v>116</v>
      </c>
      <c r="U12" s="10">
        <v>123</v>
      </c>
      <c r="V12" s="10">
        <v>135</v>
      </c>
      <c r="W12" s="10">
        <v>62</v>
      </c>
      <c r="Y12">
        <f t="shared" si="4"/>
        <v>5985</v>
      </c>
    </row>
    <row r="14" spans="1:27">
      <c r="B14" t="s">
        <v>37</v>
      </c>
      <c r="AA14" t="s">
        <v>35</v>
      </c>
    </row>
    <row r="15" spans="1:27">
      <c r="B15" t="s">
        <v>33</v>
      </c>
      <c r="C15">
        <f>C9*C10</f>
        <v>-179</v>
      </c>
      <c r="D15">
        <f t="shared" ref="D15:W15" si="5">D9*D10</f>
        <v>-153</v>
      </c>
      <c r="E15">
        <f t="shared" si="5"/>
        <v>-189.60000000000002</v>
      </c>
      <c r="F15">
        <f t="shared" si="5"/>
        <v>-199.5</v>
      </c>
      <c r="G15">
        <f t="shared" si="5"/>
        <v>-178.2</v>
      </c>
      <c r="H15">
        <f t="shared" si="5"/>
        <v>-160</v>
      </c>
      <c r="I15">
        <f t="shared" si="5"/>
        <v>-144.4</v>
      </c>
      <c r="J15">
        <f t="shared" si="5"/>
        <v>-111</v>
      </c>
      <c r="K15">
        <f t="shared" si="5"/>
        <v>-74.600000000000009</v>
      </c>
      <c r="L15">
        <f t="shared" si="5"/>
        <v>-41.800000000000004</v>
      </c>
      <c r="M15">
        <f t="shared" si="5"/>
        <v>0</v>
      </c>
      <c r="N15">
        <f t="shared" si="5"/>
        <v>44.300000000000004</v>
      </c>
      <c r="O15">
        <f t="shared" si="5"/>
        <v>69.600000000000009</v>
      </c>
      <c r="P15">
        <f t="shared" si="5"/>
        <v>67.5</v>
      </c>
      <c r="Q15">
        <f t="shared" si="5"/>
        <v>78</v>
      </c>
      <c r="R15">
        <f t="shared" si="5"/>
        <v>89</v>
      </c>
      <c r="S15">
        <f t="shared" si="5"/>
        <v>88.2</v>
      </c>
      <c r="T15">
        <f t="shared" si="5"/>
        <v>105</v>
      </c>
      <c r="U15">
        <f t="shared" si="5"/>
        <v>216</v>
      </c>
      <c r="V15">
        <f t="shared" si="5"/>
        <v>192.6</v>
      </c>
      <c r="W15">
        <f t="shared" si="5"/>
        <v>141</v>
      </c>
      <c r="Y15">
        <f>SUM(C15:W15)</f>
        <v>-339.9</v>
      </c>
      <c r="Z15">
        <v>0</v>
      </c>
      <c r="AA15">
        <f>Y15/Y10</f>
        <v>-4.5043731778425654E-2</v>
      </c>
    </row>
    <row r="16" spans="1:27">
      <c r="B16" t="s">
        <v>6</v>
      </c>
      <c r="C16">
        <f>C9*C11</f>
        <v>-194</v>
      </c>
      <c r="D16">
        <f t="shared" ref="D16:W16" si="6">D9*D11</f>
        <v>-124.2</v>
      </c>
      <c r="E16">
        <f t="shared" si="6"/>
        <v>-174.4</v>
      </c>
      <c r="F16">
        <f t="shared" si="6"/>
        <v>-149.79999999999998</v>
      </c>
      <c r="G16">
        <f t="shared" si="6"/>
        <v>-154.19999999999999</v>
      </c>
      <c r="H16">
        <f t="shared" si="6"/>
        <v>-142</v>
      </c>
      <c r="I16">
        <f t="shared" si="6"/>
        <v>-132.4</v>
      </c>
      <c r="J16">
        <f t="shared" si="6"/>
        <v>-106.2</v>
      </c>
      <c r="K16">
        <f t="shared" si="6"/>
        <v>-70</v>
      </c>
      <c r="L16">
        <f t="shared" si="6"/>
        <v>-45.800000000000004</v>
      </c>
      <c r="M16">
        <f t="shared" si="6"/>
        <v>0</v>
      </c>
      <c r="N16">
        <f t="shared" si="6"/>
        <v>53.400000000000006</v>
      </c>
      <c r="O16">
        <f t="shared" si="6"/>
        <v>79.800000000000011</v>
      </c>
      <c r="P16">
        <f t="shared" si="6"/>
        <v>81.599999999999994</v>
      </c>
      <c r="Q16">
        <f t="shared" si="6"/>
        <v>80.800000000000011</v>
      </c>
      <c r="R16">
        <f t="shared" si="6"/>
        <v>88</v>
      </c>
      <c r="S16">
        <f t="shared" si="6"/>
        <v>85.2</v>
      </c>
      <c r="T16">
        <f t="shared" si="6"/>
        <v>83.3</v>
      </c>
      <c r="U16">
        <f t="shared" si="6"/>
        <v>156</v>
      </c>
      <c r="V16">
        <f t="shared" si="6"/>
        <v>180.9</v>
      </c>
      <c r="W16">
        <f t="shared" si="6"/>
        <v>166</v>
      </c>
      <c r="Y16">
        <f t="shared" ref="Y16:Y17" si="7">SUM(C16:W16)</f>
        <v>-238.00000000000011</v>
      </c>
      <c r="Z16">
        <v>0</v>
      </c>
      <c r="AA16">
        <f t="shared" ref="AA16:AA17" si="8">Y16/Y11</f>
        <v>-3.0985548756672324E-2</v>
      </c>
    </row>
    <row r="17" spans="1:27">
      <c r="B17" t="s">
        <v>7</v>
      </c>
      <c r="C17">
        <f>C9*C12</f>
        <v>-63</v>
      </c>
      <c r="D17">
        <f t="shared" ref="D17:W17" si="9">D9*D12</f>
        <v>-101.7</v>
      </c>
      <c r="E17">
        <f t="shared" si="9"/>
        <v>-119.2</v>
      </c>
      <c r="F17">
        <f t="shared" si="9"/>
        <v>-107.8</v>
      </c>
      <c r="G17">
        <f t="shared" si="9"/>
        <v>-111.6</v>
      </c>
      <c r="H17">
        <f t="shared" si="9"/>
        <v>-91</v>
      </c>
      <c r="I17">
        <f t="shared" si="9"/>
        <v>-77.2</v>
      </c>
      <c r="J17">
        <f t="shared" si="9"/>
        <v>-68.399999999999991</v>
      </c>
      <c r="K17">
        <f t="shared" si="9"/>
        <v>-39</v>
      </c>
      <c r="L17">
        <f t="shared" si="9"/>
        <v>-24</v>
      </c>
      <c r="M17">
        <f t="shared" si="9"/>
        <v>0</v>
      </c>
      <c r="N17">
        <f t="shared" si="9"/>
        <v>20.5</v>
      </c>
      <c r="O17">
        <f t="shared" si="9"/>
        <v>35</v>
      </c>
      <c r="P17">
        <f t="shared" si="9"/>
        <v>37.199999999999996</v>
      </c>
      <c r="Q17">
        <f t="shared" si="9"/>
        <v>40</v>
      </c>
      <c r="R17">
        <f t="shared" si="9"/>
        <v>42</v>
      </c>
      <c r="S17">
        <f t="shared" si="9"/>
        <v>55.199999999999996</v>
      </c>
      <c r="T17">
        <f t="shared" si="9"/>
        <v>81.199999999999989</v>
      </c>
      <c r="U17">
        <f t="shared" si="9"/>
        <v>98.4</v>
      </c>
      <c r="V17">
        <f t="shared" si="9"/>
        <v>121.5</v>
      </c>
      <c r="W17">
        <f t="shared" si="9"/>
        <v>62</v>
      </c>
      <c r="Y17">
        <f t="shared" si="7"/>
        <v>-209.89999999999986</v>
      </c>
      <c r="Z17">
        <v>0</v>
      </c>
      <c r="AA17">
        <f t="shared" si="8"/>
        <v>-3.5071010860484524E-2</v>
      </c>
    </row>
    <row r="19" spans="1:27">
      <c r="B19" t="s">
        <v>36</v>
      </c>
      <c r="Z19" t="s">
        <v>34</v>
      </c>
      <c r="AA19" t="s">
        <v>38</v>
      </c>
    </row>
    <row r="20" spans="1:27">
      <c r="C20">
        <f>(C$9-$Z15)^2*C10</f>
        <v>179</v>
      </c>
      <c r="D20">
        <f t="shared" ref="D20:W22" si="10">(D$9-$Z15)^2*D10</f>
        <v>137.70000000000002</v>
      </c>
      <c r="E20">
        <f t="shared" si="10"/>
        <v>151.68000000000004</v>
      </c>
      <c r="F20">
        <f t="shared" si="10"/>
        <v>139.64999999999998</v>
      </c>
      <c r="G20">
        <f t="shared" si="10"/>
        <v>106.92</v>
      </c>
      <c r="H20">
        <f t="shared" si="10"/>
        <v>80</v>
      </c>
      <c r="I20">
        <f t="shared" si="10"/>
        <v>57.760000000000012</v>
      </c>
      <c r="J20">
        <f t="shared" si="10"/>
        <v>33.299999999999997</v>
      </c>
      <c r="K20">
        <f t="shared" si="10"/>
        <v>14.920000000000003</v>
      </c>
      <c r="L20">
        <f t="shared" si="10"/>
        <v>4.1800000000000006</v>
      </c>
      <c r="M20">
        <f t="shared" si="10"/>
        <v>0</v>
      </c>
      <c r="N20">
        <f t="shared" si="10"/>
        <v>4.4300000000000006</v>
      </c>
      <c r="O20">
        <f t="shared" si="10"/>
        <v>13.920000000000003</v>
      </c>
      <c r="P20">
        <f t="shared" si="10"/>
        <v>20.25</v>
      </c>
      <c r="Q20">
        <f t="shared" si="10"/>
        <v>31.200000000000006</v>
      </c>
      <c r="R20">
        <f t="shared" si="10"/>
        <v>44.5</v>
      </c>
      <c r="S20">
        <f t="shared" si="10"/>
        <v>52.919999999999995</v>
      </c>
      <c r="T20">
        <f t="shared" si="10"/>
        <v>73.499999999999986</v>
      </c>
      <c r="U20">
        <f t="shared" si="10"/>
        <v>172.80000000000004</v>
      </c>
      <c r="V20">
        <f t="shared" si="10"/>
        <v>173.34</v>
      </c>
      <c r="W20">
        <f t="shared" si="10"/>
        <v>141</v>
      </c>
      <c r="Z20">
        <f>SUM(C20:W20)/Y10</f>
        <v>0.21640206732043465</v>
      </c>
      <c r="AA20">
        <f>SQRT(Z20)</f>
        <v>0.46519035600540415</v>
      </c>
    </row>
    <row r="21" spans="1:27">
      <c r="C21">
        <f t="shared" ref="C21:R22" si="11">(C$9-$Z16)^2*C11</f>
        <v>194</v>
      </c>
      <c r="D21">
        <f t="shared" si="11"/>
        <v>111.78</v>
      </c>
      <c r="E21">
        <f t="shared" si="11"/>
        <v>139.52000000000004</v>
      </c>
      <c r="F21">
        <f t="shared" si="11"/>
        <v>104.85999999999999</v>
      </c>
      <c r="G21">
        <f t="shared" si="11"/>
        <v>92.52</v>
      </c>
      <c r="H21">
        <f t="shared" si="11"/>
        <v>71</v>
      </c>
      <c r="I21">
        <f t="shared" si="11"/>
        <v>52.960000000000008</v>
      </c>
      <c r="J21">
        <f t="shared" si="11"/>
        <v>31.86</v>
      </c>
      <c r="K21">
        <f t="shared" si="11"/>
        <v>14.000000000000004</v>
      </c>
      <c r="L21">
        <f t="shared" si="11"/>
        <v>4.580000000000001</v>
      </c>
      <c r="M21">
        <f t="shared" si="11"/>
        <v>0</v>
      </c>
      <c r="N21">
        <f t="shared" si="11"/>
        <v>5.3400000000000007</v>
      </c>
      <c r="O21">
        <f t="shared" si="11"/>
        <v>15.960000000000003</v>
      </c>
      <c r="P21">
        <f t="shared" si="11"/>
        <v>24.48</v>
      </c>
      <c r="Q21">
        <f t="shared" si="11"/>
        <v>32.320000000000007</v>
      </c>
      <c r="R21">
        <f t="shared" si="11"/>
        <v>44</v>
      </c>
      <c r="S21">
        <f t="shared" si="10"/>
        <v>51.12</v>
      </c>
      <c r="T21">
        <f t="shared" si="10"/>
        <v>58.309999999999995</v>
      </c>
      <c r="U21">
        <f t="shared" si="10"/>
        <v>124.80000000000003</v>
      </c>
      <c r="V21">
        <f t="shared" si="10"/>
        <v>162.81</v>
      </c>
      <c r="W21">
        <f t="shared" si="10"/>
        <v>166</v>
      </c>
      <c r="Z21">
        <f t="shared" ref="Z21:Z22" si="12">SUM(C21:W21)/Y11</f>
        <v>0.19557609686238772</v>
      </c>
      <c r="AA21">
        <f t="shared" ref="AA21:AA23" si="13">SQRT(Z21)</f>
        <v>0.44223986349309097</v>
      </c>
    </row>
    <row r="22" spans="1:27">
      <c r="C22">
        <f t="shared" si="11"/>
        <v>63</v>
      </c>
      <c r="D22">
        <f t="shared" si="10"/>
        <v>91.53</v>
      </c>
      <c r="E22">
        <f t="shared" si="10"/>
        <v>95.360000000000014</v>
      </c>
      <c r="F22">
        <f t="shared" si="10"/>
        <v>75.459999999999994</v>
      </c>
      <c r="G22">
        <f t="shared" si="10"/>
        <v>66.959999999999994</v>
      </c>
      <c r="H22">
        <f t="shared" si="10"/>
        <v>45.5</v>
      </c>
      <c r="I22">
        <f t="shared" si="10"/>
        <v>30.880000000000006</v>
      </c>
      <c r="J22">
        <f t="shared" si="10"/>
        <v>20.52</v>
      </c>
      <c r="K22">
        <f t="shared" si="10"/>
        <v>7.8000000000000016</v>
      </c>
      <c r="L22">
        <f t="shared" si="10"/>
        <v>2.4000000000000004</v>
      </c>
      <c r="M22">
        <f t="shared" si="10"/>
        <v>0</v>
      </c>
      <c r="N22">
        <f t="shared" si="10"/>
        <v>2.0500000000000003</v>
      </c>
      <c r="O22">
        <f t="shared" si="10"/>
        <v>7.0000000000000018</v>
      </c>
      <c r="P22">
        <f t="shared" si="10"/>
        <v>11.16</v>
      </c>
      <c r="Q22">
        <f t="shared" si="10"/>
        <v>16.000000000000004</v>
      </c>
      <c r="R22">
        <f t="shared" si="10"/>
        <v>21</v>
      </c>
      <c r="S22">
        <f t="shared" si="10"/>
        <v>33.119999999999997</v>
      </c>
      <c r="T22">
        <f t="shared" si="10"/>
        <v>56.839999999999989</v>
      </c>
      <c r="U22">
        <f t="shared" si="10"/>
        <v>78.720000000000013</v>
      </c>
      <c r="V22">
        <f t="shared" si="10"/>
        <v>109.35000000000001</v>
      </c>
      <c r="W22">
        <f t="shared" si="10"/>
        <v>62</v>
      </c>
      <c r="Z22">
        <f t="shared" si="12"/>
        <v>0.14981620718462826</v>
      </c>
      <c r="AA22">
        <f t="shared" si="13"/>
        <v>0.38706098638926173</v>
      </c>
    </row>
    <row r="24" spans="1:27">
      <c r="A24" t="s">
        <v>39</v>
      </c>
      <c r="C24">
        <v>-1</v>
      </c>
      <c r="D24">
        <v>-0.9</v>
      </c>
      <c r="E24">
        <v>-0.8</v>
      </c>
      <c r="F24">
        <v>-0.7</v>
      </c>
      <c r="G24">
        <v>-0.6</v>
      </c>
      <c r="H24">
        <v>-0.5</v>
      </c>
      <c r="I24">
        <v>-0.4</v>
      </c>
      <c r="J24">
        <v>-0.3</v>
      </c>
      <c r="K24">
        <v>-0.2</v>
      </c>
      <c r="L24">
        <v>-0.1</v>
      </c>
      <c r="M24">
        <v>0</v>
      </c>
      <c r="N24">
        <v>0.1</v>
      </c>
      <c r="O24">
        <v>0.2</v>
      </c>
      <c r="P24">
        <v>0.3</v>
      </c>
      <c r="Q24">
        <v>0.4</v>
      </c>
      <c r="R24">
        <v>0.5</v>
      </c>
      <c r="S24">
        <v>0.6</v>
      </c>
      <c r="T24">
        <v>0.7</v>
      </c>
      <c r="U24">
        <v>0.8</v>
      </c>
      <c r="V24">
        <v>0.9</v>
      </c>
      <c r="W24">
        <v>1</v>
      </c>
    </row>
    <row r="25" spans="1:27">
      <c r="B25" t="s">
        <v>28</v>
      </c>
      <c r="C25">
        <f>C30/$Y30</f>
        <v>1.629570747217806E-2</v>
      </c>
      <c r="D25">
        <f t="shared" ref="D25:W25" si="14">D30/$Y30</f>
        <v>8.744038155802861E-3</v>
      </c>
      <c r="E25">
        <f t="shared" si="14"/>
        <v>1.3116057233704292E-2</v>
      </c>
      <c r="F25">
        <f t="shared" si="14"/>
        <v>1.192368839427663E-2</v>
      </c>
      <c r="G25">
        <f t="shared" si="14"/>
        <v>1.8680445151033388E-2</v>
      </c>
      <c r="H25">
        <f t="shared" si="14"/>
        <v>1.6693163751987282E-2</v>
      </c>
      <c r="I25">
        <f t="shared" si="14"/>
        <v>2.8219395866454691E-2</v>
      </c>
      <c r="J25">
        <f t="shared" si="14"/>
        <v>2.4642289348171701E-2</v>
      </c>
      <c r="K25">
        <f t="shared" si="14"/>
        <v>1.5500794912559618E-2</v>
      </c>
      <c r="L25">
        <f t="shared" si="14"/>
        <v>1.5500794912559618E-2</v>
      </c>
      <c r="M25">
        <f t="shared" si="14"/>
        <v>0.78338632750397452</v>
      </c>
      <c r="N25">
        <f t="shared" si="14"/>
        <v>5.1669316375198724E-3</v>
      </c>
      <c r="O25">
        <f t="shared" si="14"/>
        <v>8.744038155802861E-3</v>
      </c>
      <c r="P25">
        <f t="shared" si="14"/>
        <v>7.1542130365659781E-3</v>
      </c>
      <c r="Q25">
        <f t="shared" si="14"/>
        <v>7.1542130365659781E-3</v>
      </c>
      <c r="R25">
        <f t="shared" si="14"/>
        <v>3.1796502384737681E-3</v>
      </c>
      <c r="S25">
        <f t="shared" si="14"/>
        <v>3.1796502384737681E-3</v>
      </c>
      <c r="T25">
        <f t="shared" si="14"/>
        <v>1.9872813990461048E-3</v>
      </c>
      <c r="U25">
        <f t="shared" si="14"/>
        <v>3.577106518282989E-3</v>
      </c>
      <c r="V25">
        <f t="shared" si="14"/>
        <v>3.1796502384737681E-3</v>
      </c>
      <c r="W25">
        <f t="shared" si="14"/>
        <v>3.9745627980922096E-3</v>
      </c>
      <c r="Y25">
        <f>SUM(C25:W25)</f>
        <v>0.99999999999999989</v>
      </c>
    </row>
    <row r="26" spans="1:27">
      <c r="B26" t="s">
        <v>29</v>
      </c>
      <c r="C26">
        <f t="shared" ref="C26:W26" si="15">C31/$Y31</f>
        <v>1.3328255902513329E-2</v>
      </c>
      <c r="D26">
        <f t="shared" si="15"/>
        <v>1.2566641279512566E-2</v>
      </c>
      <c r="E26">
        <f t="shared" si="15"/>
        <v>2.284843869002285E-2</v>
      </c>
      <c r="F26">
        <f t="shared" si="15"/>
        <v>2.7037319116527039E-2</v>
      </c>
      <c r="G26">
        <f t="shared" si="15"/>
        <v>3.3891850723533894E-2</v>
      </c>
      <c r="H26">
        <f t="shared" si="15"/>
        <v>3.3130236100533131E-2</v>
      </c>
      <c r="I26">
        <f t="shared" si="15"/>
        <v>3.1607006854531605E-2</v>
      </c>
      <c r="J26">
        <f t="shared" si="15"/>
        <v>3.8461538461538464E-2</v>
      </c>
      <c r="K26">
        <f t="shared" si="15"/>
        <v>2.2086824067022087E-2</v>
      </c>
      <c r="L26">
        <f t="shared" si="15"/>
        <v>2.6275704493526276E-2</v>
      </c>
      <c r="M26">
        <f t="shared" si="15"/>
        <v>0.67212490479817211</v>
      </c>
      <c r="N26">
        <f t="shared" si="15"/>
        <v>2.2086824067022087E-2</v>
      </c>
      <c r="O26">
        <f t="shared" si="15"/>
        <v>1.1424219345011425E-2</v>
      </c>
      <c r="P26">
        <f t="shared" si="15"/>
        <v>7.9969535415079975E-3</v>
      </c>
      <c r="Q26">
        <f t="shared" si="15"/>
        <v>4.9504950495049506E-3</v>
      </c>
      <c r="R26">
        <f t="shared" si="15"/>
        <v>2.284843869002285E-3</v>
      </c>
      <c r="S26">
        <f t="shared" si="15"/>
        <v>3.8080731150038081E-3</v>
      </c>
      <c r="T26">
        <f t="shared" si="15"/>
        <v>3.4272658035034271E-3</v>
      </c>
      <c r="U26">
        <f t="shared" si="15"/>
        <v>6.4737242955064736E-3</v>
      </c>
      <c r="V26">
        <f t="shared" si="15"/>
        <v>1.904036557501904E-3</v>
      </c>
      <c r="W26">
        <f t="shared" si="15"/>
        <v>2.284843869002285E-3</v>
      </c>
      <c r="Y26">
        <f t="shared" ref="Y26:Y27" si="16">SUM(C26:W26)</f>
        <v>1.0000000000000002</v>
      </c>
    </row>
    <row r="27" spans="1:27">
      <c r="B27" t="s">
        <v>30</v>
      </c>
      <c r="C27">
        <f t="shared" ref="C27:W27" si="17">C32/$Y32</f>
        <v>1.3481363996827915E-2</v>
      </c>
      <c r="D27">
        <f t="shared" si="17"/>
        <v>1.506740681998414E-2</v>
      </c>
      <c r="E27">
        <f t="shared" si="17"/>
        <v>2.0222045995241873E-2</v>
      </c>
      <c r="F27">
        <f t="shared" si="17"/>
        <v>1.506740681998414E-2</v>
      </c>
      <c r="G27">
        <f t="shared" si="17"/>
        <v>2.0618556701030927E-2</v>
      </c>
      <c r="H27">
        <f t="shared" si="17"/>
        <v>1.7842981760507533E-2</v>
      </c>
      <c r="I27">
        <f t="shared" si="17"/>
        <v>1.4274385408406027E-2</v>
      </c>
      <c r="J27">
        <f t="shared" si="17"/>
        <v>1.4670896114195083E-2</v>
      </c>
      <c r="K27">
        <f t="shared" si="17"/>
        <v>1.625693893735131E-2</v>
      </c>
      <c r="L27">
        <f t="shared" si="17"/>
        <v>1.4274385408406027E-2</v>
      </c>
      <c r="M27">
        <f t="shared" si="17"/>
        <v>0.78667724028548769</v>
      </c>
      <c r="N27">
        <f t="shared" si="17"/>
        <v>1.2688342585249802E-2</v>
      </c>
      <c r="O27">
        <f t="shared" si="17"/>
        <v>6.3441712926249009E-3</v>
      </c>
      <c r="P27">
        <f t="shared" si="17"/>
        <v>2.7755749405233942E-3</v>
      </c>
      <c r="Q27">
        <f t="shared" si="17"/>
        <v>3.1720856463124504E-3</v>
      </c>
      <c r="R27">
        <f t="shared" si="17"/>
        <v>5.5511498810467885E-3</v>
      </c>
      <c r="S27">
        <f t="shared" si="17"/>
        <v>5.1546391752577319E-3</v>
      </c>
      <c r="T27">
        <f t="shared" si="17"/>
        <v>4.3616177636796195E-3</v>
      </c>
      <c r="U27">
        <f t="shared" si="17"/>
        <v>7.5337034099920699E-3</v>
      </c>
      <c r="V27">
        <f t="shared" si="17"/>
        <v>2.3790642347343376E-3</v>
      </c>
      <c r="W27">
        <f t="shared" si="17"/>
        <v>1.5860428231562252E-3</v>
      </c>
      <c r="Y27">
        <f t="shared" si="16"/>
        <v>0.99999999999999978</v>
      </c>
    </row>
    <row r="29" spans="1:27">
      <c r="B29" t="s">
        <v>32</v>
      </c>
      <c r="C29">
        <v>-1</v>
      </c>
      <c r="D29">
        <v>-0.9</v>
      </c>
      <c r="E29">
        <v>-0.8</v>
      </c>
      <c r="F29">
        <v>-0.7</v>
      </c>
      <c r="G29">
        <v>-0.6</v>
      </c>
      <c r="H29">
        <v>-0.5</v>
      </c>
      <c r="I29">
        <v>-0.4</v>
      </c>
      <c r="J29">
        <v>-0.3</v>
      </c>
      <c r="K29">
        <v>-0.2</v>
      </c>
      <c r="L29">
        <v>-0.1</v>
      </c>
      <c r="M29">
        <v>0</v>
      </c>
      <c r="N29">
        <v>0.1</v>
      </c>
      <c r="O29">
        <v>0.2</v>
      </c>
      <c r="P29">
        <v>0.3</v>
      </c>
      <c r="Q29">
        <v>0.4</v>
      </c>
      <c r="R29">
        <v>0.5</v>
      </c>
      <c r="S29">
        <v>0.6</v>
      </c>
      <c r="T29">
        <v>0.7</v>
      </c>
      <c r="U29">
        <v>0.8</v>
      </c>
      <c r="V29">
        <v>0.9</v>
      </c>
      <c r="W29">
        <v>1</v>
      </c>
    </row>
    <row r="30" spans="1:27">
      <c r="B30" t="s">
        <v>33</v>
      </c>
      <c r="C30" s="10">
        <v>41</v>
      </c>
      <c r="D30" s="10">
        <v>22</v>
      </c>
      <c r="E30" s="10">
        <v>33</v>
      </c>
      <c r="F30" s="10">
        <v>30</v>
      </c>
      <c r="G30" s="10">
        <v>47</v>
      </c>
      <c r="H30" s="10">
        <v>42</v>
      </c>
      <c r="I30" s="10">
        <v>71</v>
      </c>
      <c r="J30" s="10">
        <v>62</v>
      </c>
      <c r="K30" s="10">
        <v>39</v>
      </c>
      <c r="L30" s="10">
        <v>39</v>
      </c>
      <c r="M30" s="10">
        <v>1971</v>
      </c>
      <c r="N30" s="10">
        <v>13</v>
      </c>
      <c r="O30" s="10">
        <v>22</v>
      </c>
      <c r="P30" s="10">
        <v>18</v>
      </c>
      <c r="Q30" s="10">
        <v>18</v>
      </c>
      <c r="R30" s="10">
        <v>8</v>
      </c>
      <c r="S30" s="10">
        <v>8</v>
      </c>
      <c r="T30" s="10">
        <v>5</v>
      </c>
      <c r="U30" s="10">
        <v>9</v>
      </c>
      <c r="V30" s="10">
        <v>8</v>
      </c>
      <c r="W30" s="10">
        <v>10</v>
      </c>
      <c r="Y30">
        <f>SUM(C30:W30)</f>
        <v>2516</v>
      </c>
    </row>
    <row r="31" spans="1:27">
      <c r="B31" t="s">
        <v>6</v>
      </c>
      <c r="C31" s="10">
        <v>35</v>
      </c>
      <c r="D31" s="10">
        <v>33</v>
      </c>
      <c r="E31" s="10">
        <v>60</v>
      </c>
      <c r="F31" s="10">
        <v>71</v>
      </c>
      <c r="G31" s="10">
        <v>89</v>
      </c>
      <c r="H31" s="10">
        <v>87</v>
      </c>
      <c r="I31" s="10">
        <v>83</v>
      </c>
      <c r="J31" s="10">
        <v>101</v>
      </c>
      <c r="K31" s="10">
        <v>58</v>
      </c>
      <c r="L31" s="10">
        <v>69</v>
      </c>
      <c r="M31" s="10">
        <v>1765</v>
      </c>
      <c r="N31" s="10">
        <v>58</v>
      </c>
      <c r="O31" s="10">
        <v>30</v>
      </c>
      <c r="P31" s="10">
        <v>21</v>
      </c>
      <c r="Q31" s="10">
        <v>13</v>
      </c>
      <c r="R31" s="10">
        <v>6</v>
      </c>
      <c r="S31" s="10">
        <v>10</v>
      </c>
      <c r="T31" s="10">
        <v>9</v>
      </c>
      <c r="U31" s="10">
        <v>17</v>
      </c>
      <c r="V31" s="10">
        <v>5</v>
      </c>
      <c r="W31" s="10">
        <v>6</v>
      </c>
      <c r="Y31">
        <f t="shared" ref="Y31:Y32" si="18">SUM(C31:W31)</f>
        <v>2626</v>
      </c>
    </row>
    <row r="32" spans="1:27">
      <c r="B32" t="s">
        <v>7</v>
      </c>
      <c r="C32" s="10">
        <v>34</v>
      </c>
      <c r="D32" s="10">
        <v>38</v>
      </c>
      <c r="E32" s="10">
        <v>51</v>
      </c>
      <c r="F32" s="10">
        <v>38</v>
      </c>
      <c r="G32" s="10">
        <v>52</v>
      </c>
      <c r="H32" s="10">
        <v>45</v>
      </c>
      <c r="I32" s="10">
        <v>36</v>
      </c>
      <c r="J32" s="10">
        <v>37</v>
      </c>
      <c r="K32" s="10">
        <v>41</v>
      </c>
      <c r="L32" s="10">
        <v>36</v>
      </c>
      <c r="M32" s="10">
        <v>1984</v>
      </c>
      <c r="N32" s="10">
        <v>32</v>
      </c>
      <c r="O32" s="10">
        <v>16</v>
      </c>
      <c r="P32" s="10">
        <v>7</v>
      </c>
      <c r="Q32" s="10">
        <v>8</v>
      </c>
      <c r="R32" s="10">
        <v>14</v>
      </c>
      <c r="S32" s="10">
        <v>13</v>
      </c>
      <c r="T32" s="10">
        <v>11</v>
      </c>
      <c r="U32" s="10">
        <v>19</v>
      </c>
      <c r="V32" s="10">
        <v>6</v>
      </c>
      <c r="W32" s="10">
        <v>4</v>
      </c>
      <c r="Y32">
        <f t="shared" si="18"/>
        <v>2522</v>
      </c>
    </row>
    <row r="34" spans="1:27">
      <c r="B34" t="s">
        <v>37</v>
      </c>
      <c r="AA34" t="s">
        <v>35</v>
      </c>
    </row>
    <row r="35" spans="1:27">
      <c r="B35" t="s">
        <v>33</v>
      </c>
      <c r="C35">
        <f>C29*C30</f>
        <v>-41</v>
      </c>
      <c r="D35">
        <f t="shared" ref="D35:W35" si="19">D29*D30</f>
        <v>-19.8</v>
      </c>
      <c r="E35">
        <f t="shared" si="19"/>
        <v>-26.400000000000002</v>
      </c>
      <c r="F35">
        <f t="shared" si="19"/>
        <v>-21</v>
      </c>
      <c r="G35">
        <f t="shared" si="19"/>
        <v>-28.2</v>
      </c>
      <c r="H35">
        <f t="shared" si="19"/>
        <v>-21</v>
      </c>
      <c r="I35">
        <f t="shared" si="19"/>
        <v>-28.400000000000002</v>
      </c>
      <c r="J35">
        <f t="shared" si="19"/>
        <v>-18.599999999999998</v>
      </c>
      <c r="K35">
        <f t="shared" si="19"/>
        <v>-7.8000000000000007</v>
      </c>
      <c r="L35">
        <f t="shared" si="19"/>
        <v>-3.9000000000000004</v>
      </c>
      <c r="M35">
        <f t="shared" si="19"/>
        <v>0</v>
      </c>
      <c r="N35">
        <f t="shared" si="19"/>
        <v>1.3</v>
      </c>
      <c r="O35">
        <f t="shared" si="19"/>
        <v>4.4000000000000004</v>
      </c>
      <c r="P35">
        <f t="shared" si="19"/>
        <v>5.3999999999999995</v>
      </c>
      <c r="Q35">
        <f t="shared" si="19"/>
        <v>7.2</v>
      </c>
      <c r="R35">
        <f t="shared" si="19"/>
        <v>4</v>
      </c>
      <c r="S35">
        <f t="shared" si="19"/>
        <v>4.8</v>
      </c>
      <c r="T35">
        <f t="shared" si="19"/>
        <v>3.5</v>
      </c>
      <c r="U35">
        <f t="shared" si="19"/>
        <v>7.2</v>
      </c>
      <c r="V35">
        <f t="shared" si="19"/>
        <v>7.2</v>
      </c>
      <c r="W35">
        <f t="shared" si="19"/>
        <v>10</v>
      </c>
      <c r="Y35">
        <f>SUM(C35:W35)</f>
        <v>-161.10000000000002</v>
      </c>
      <c r="Z35">
        <v>0</v>
      </c>
      <c r="AA35">
        <f>Y35/Y30</f>
        <v>-6.4030206677265514E-2</v>
      </c>
    </row>
    <row r="36" spans="1:27">
      <c r="B36" t="s">
        <v>6</v>
      </c>
      <c r="C36">
        <f>C29*C31</f>
        <v>-35</v>
      </c>
      <c r="D36">
        <f t="shared" ref="D36:W36" si="20">D29*D31</f>
        <v>-29.7</v>
      </c>
      <c r="E36">
        <f t="shared" si="20"/>
        <v>-48</v>
      </c>
      <c r="F36">
        <f t="shared" si="20"/>
        <v>-49.699999999999996</v>
      </c>
      <c r="G36">
        <f t="shared" si="20"/>
        <v>-53.4</v>
      </c>
      <c r="H36">
        <f t="shared" si="20"/>
        <v>-43.5</v>
      </c>
      <c r="I36">
        <f t="shared" si="20"/>
        <v>-33.200000000000003</v>
      </c>
      <c r="J36">
        <f t="shared" si="20"/>
        <v>-30.299999999999997</v>
      </c>
      <c r="K36">
        <f t="shared" si="20"/>
        <v>-11.600000000000001</v>
      </c>
      <c r="L36">
        <f t="shared" si="20"/>
        <v>-6.9</v>
      </c>
      <c r="M36">
        <f t="shared" si="20"/>
        <v>0</v>
      </c>
      <c r="N36">
        <f t="shared" si="20"/>
        <v>5.8000000000000007</v>
      </c>
      <c r="O36">
        <f t="shared" si="20"/>
        <v>6</v>
      </c>
      <c r="P36">
        <f t="shared" si="20"/>
        <v>6.3</v>
      </c>
      <c r="Q36">
        <f t="shared" si="20"/>
        <v>5.2</v>
      </c>
      <c r="R36">
        <f t="shared" si="20"/>
        <v>3</v>
      </c>
      <c r="S36">
        <f t="shared" si="20"/>
        <v>6</v>
      </c>
      <c r="T36">
        <f t="shared" si="20"/>
        <v>6.3</v>
      </c>
      <c r="U36">
        <f t="shared" si="20"/>
        <v>13.600000000000001</v>
      </c>
      <c r="V36">
        <f t="shared" si="20"/>
        <v>4.5</v>
      </c>
      <c r="W36">
        <f t="shared" si="20"/>
        <v>6</v>
      </c>
      <c r="Y36">
        <f t="shared" ref="Y36:Y37" si="21">SUM(C36:W36)</f>
        <v>-278.59999999999997</v>
      </c>
      <c r="Z36">
        <v>0</v>
      </c>
      <c r="AA36">
        <f t="shared" ref="Z36:AA37" si="22">Y36/Y31</f>
        <v>-0.10609291698400608</v>
      </c>
    </row>
    <row r="37" spans="1:27">
      <c r="B37" t="s">
        <v>7</v>
      </c>
      <c r="C37">
        <f>C29*C32</f>
        <v>-34</v>
      </c>
      <c r="D37">
        <f t="shared" ref="D37:W37" si="23">D29*D32</f>
        <v>-34.200000000000003</v>
      </c>
      <c r="E37">
        <f t="shared" si="23"/>
        <v>-40.800000000000004</v>
      </c>
      <c r="F37">
        <f t="shared" si="23"/>
        <v>-26.599999999999998</v>
      </c>
      <c r="G37">
        <f t="shared" si="23"/>
        <v>-31.2</v>
      </c>
      <c r="H37">
        <f t="shared" si="23"/>
        <v>-22.5</v>
      </c>
      <c r="I37">
        <f t="shared" si="23"/>
        <v>-14.4</v>
      </c>
      <c r="J37">
        <f t="shared" si="23"/>
        <v>-11.1</v>
      </c>
      <c r="K37">
        <f t="shared" si="23"/>
        <v>-8.2000000000000011</v>
      </c>
      <c r="L37">
        <f t="shared" si="23"/>
        <v>-3.6</v>
      </c>
      <c r="M37">
        <f t="shared" si="23"/>
        <v>0</v>
      </c>
      <c r="N37">
        <f t="shared" si="23"/>
        <v>3.2</v>
      </c>
      <c r="O37">
        <f t="shared" si="23"/>
        <v>3.2</v>
      </c>
      <c r="P37">
        <f t="shared" si="23"/>
        <v>2.1</v>
      </c>
      <c r="Q37">
        <f t="shared" si="23"/>
        <v>3.2</v>
      </c>
      <c r="R37">
        <f t="shared" si="23"/>
        <v>7</v>
      </c>
      <c r="S37">
        <f t="shared" si="23"/>
        <v>7.8</v>
      </c>
      <c r="T37">
        <f t="shared" si="23"/>
        <v>7.6999999999999993</v>
      </c>
      <c r="U37">
        <f t="shared" si="23"/>
        <v>15.200000000000001</v>
      </c>
      <c r="V37">
        <f t="shared" si="23"/>
        <v>5.4</v>
      </c>
      <c r="W37">
        <f t="shared" si="23"/>
        <v>4</v>
      </c>
      <c r="Y37">
        <f t="shared" si="21"/>
        <v>-167.8</v>
      </c>
      <c r="Z37">
        <v>0</v>
      </c>
      <c r="AA37">
        <f t="shared" si="22"/>
        <v>-6.6534496431403647E-2</v>
      </c>
    </row>
    <row r="39" spans="1:27">
      <c r="B39" t="s">
        <v>36</v>
      </c>
      <c r="Z39" t="s">
        <v>34</v>
      </c>
      <c r="AA39" t="s">
        <v>38</v>
      </c>
    </row>
    <row r="40" spans="1:27">
      <c r="C40">
        <f>(C$9-$Z35)^2*C30</f>
        <v>41</v>
      </c>
      <c r="D40">
        <f t="shared" ref="D40:W40" si="24">(D$9-$Z35)^2*D30</f>
        <v>17.82</v>
      </c>
      <c r="E40">
        <f t="shared" si="24"/>
        <v>21.120000000000005</v>
      </c>
      <c r="F40">
        <f t="shared" si="24"/>
        <v>14.699999999999998</v>
      </c>
      <c r="G40">
        <f t="shared" si="24"/>
        <v>16.919999999999998</v>
      </c>
      <c r="H40">
        <f t="shared" si="24"/>
        <v>10.5</v>
      </c>
      <c r="I40">
        <f t="shared" si="24"/>
        <v>11.360000000000003</v>
      </c>
      <c r="J40">
        <f t="shared" si="24"/>
        <v>5.58</v>
      </c>
      <c r="K40">
        <f t="shared" si="24"/>
        <v>1.5600000000000003</v>
      </c>
      <c r="L40">
        <f t="shared" si="24"/>
        <v>0.39000000000000007</v>
      </c>
      <c r="M40">
        <f t="shared" si="24"/>
        <v>0</v>
      </c>
      <c r="N40">
        <f t="shared" si="24"/>
        <v>0.13000000000000003</v>
      </c>
      <c r="O40">
        <f t="shared" si="24"/>
        <v>0.88000000000000012</v>
      </c>
      <c r="P40">
        <f t="shared" si="24"/>
        <v>1.6199999999999999</v>
      </c>
      <c r="Q40">
        <f t="shared" si="24"/>
        <v>2.8800000000000008</v>
      </c>
      <c r="R40">
        <f t="shared" si="24"/>
        <v>2</v>
      </c>
      <c r="S40">
        <f t="shared" si="24"/>
        <v>2.88</v>
      </c>
      <c r="T40">
        <f t="shared" si="24"/>
        <v>2.4499999999999997</v>
      </c>
      <c r="U40">
        <f t="shared" si="24"/>
        <v>5.7600000000000016</v>
      </c>
      <c r="V40">
        <f t="shared" si="24"/>
        <v>6.48</v>
      </c>
      <c r="W40">
        <f t="shared" si="24"/>
        <v>10</v>
      </c>
      <c r="Z40">
        <f>SUM(C40:W40)/Y30</f>
        <v>6.9964228934817158E-2</v>
      </c>
      <c r="AA40">
        <f>SQRT(Z40)</f>
        <v>0.264507521508968</v>
      </c>
    </row>
    <row r="41" spans="1:27">
      <c r="C41">
        <f t="shared" ref="C41:W41" si="25">(C$9-$Z36)^2*C31</f>
        <v>35</v>
      </c>
      <c r="D41">
        <f t="shared" si="25"/>
        <v>26.73</v>
      </c>
      <c r="E41">
        <f t="shared" si="25"/>
        <v>38.400000000000006</v>
      </c>
      <c r="F41">
        <f t="shared" si="25"/>
        <v>34.789999999999992</v>
      </c>
      <c r="G41">
        <f t="shared" si="25"/>
        <v>32.04</v>
      </c>
      <c r="H41">
        <f t="shared" si="25"/>
        <v>21.75</v>
      </c>
      <c r="I41">
        <f t="shared" si="25"/>
        <v>13.280000000000003</v>
      </c>
      <c r="J41">
        <f t="shared" si="25"/>
        <v>9.09</v>
      </c>
      <c r="K41">
        <f t="shared" si="25"/>
        <v>2.3200000000000003</v>
      </c>
      <c r="L41">
        <f t="shared" si="25"/>
        <v>0.69000000000000017</v>
      </c>
      <c r="M41">
        <f t="shared" si="25"/>
        <v>0</v>
      </c>
      <c r="N41">
        <f t="shared" si="25"/>
        <v>0.58000000000000007</v>
      </c>
      <c r="O41">
        <f t="shared" si="25"/>
        <v>1.2000000000000002</v>
      </c>
      <c r="P41">
        <f t="shared" si="25"/>
        <v>1.89</v>
      </c>
      <c r="Q41">
        <f t="shared" si="25"/>
        <v>2.0800000000000005</v>
      </c>
      <c r="R41">
        <f t="shared" si="25"/>
        <v>1.5</v>
      </c>
      <c r="S41">
        <f t="shared" si="25"/>
        <v>3.5999999999999996</v>
      </c>
      <c r="T41">
        <f t="shared" si="25"/>
        <v>4.4099999999999993</v>
      </c>
      <c r="U41">
        <f t="shared" si="25"/>
        <v>10.880000000000003</v>
      </c>
      <c r="V41">
        <f t="shared" si="25"/>
        <v>4.0500000000000007</v>
      </c>
      <c r="W41">
        <f t="shared" si="25"/>
        <v>6</v>
      </c>
      <c r="Z41">
        <f t="shared" ref="Z41:Z42" si="26">SUM(C41:W41)/Y31</f>
        <v>9.5308453922315309E-2</v>
      </c>
      <c r="AA41">
        <f t="shared" ref="AA41:AA42" si="27">SQRT(Z41)</f>
        <v>0.30872067297528893</v>
      </c>
    </row>
    <row r="42" spans="1:27">
      <c r="C42">
        <f t="shared" ref="C42:W42" si="28">(C$9-$Z37)^2*C32</f>
        <v>34</v>
      </c>
      <c r="D42">
        <f t="shared" si="28"/>
        <v>30.78</v>
      </c>
      <c r="E42">
        <f t="shared" si="28"/>
        <v>32.640000000000008</v>
      </c>
      <c r="F42">
        <f t="shared" si="28"/>
        <v>18.619999999999997</v>
      </c>
      <c r="G42">
        <f t="shared" si="28"/>
        <v>18.72</v>
      </c>
      <c r="H42">
        <f t="shared" si="28"/>
        <v>11.25</v>
      </c>
      <c r="I42">
        <f t="shared" si="28"/>
        <v>5.7600000000000016</v>
      </c>
      <c r="J42">
        <f t="shared" si="28"/>
        <v>3.33</v>
      </c>
      <c r="K42">
        <f t="shared" si="28"/>
        <v>1.6400000000000003</v>
      </c>
      <c r="L42">
        <f t="shared" si="28"/>
        <v>0.3600000000000001</v>
      </c>
      <c r="M42">
        <f t="shared" si="28"/>
        <v>0</v>
      </c>
      <c r="N42">
        <f t="shared" si="28"/>
        <v>0.32000000000000006</v>
      </c>
      <c r="O42">
        <f t="shared" si="28"/>
        <v>0.64000000000000012</v>
      </c>
      <c r="P42">
        <f t="shared" si="28"/>
        <v>0.63</v>
      </c>
      <c r="Q42">
        <f t="shared" si="28"/>
        <v>1.2800000000000002</v>
      </c>
      <c r="R42">
        <f t="shared" si="28"/>
        <v>3.5</v>
      </c>
      <c r="S42">
        <f t="shared" si="28"/>
        <v>4.68</v>
      </c>
      <c r="T42">
        <f t="shared" si="28"/>
        <v>5.39</v>
      </c>
      <c r="U42">
        <f t="shared" si="28"/>
        <v>12.160000000000002</v>
      </c>
      <c r="V42">
        <f t="shared" si="28"/>
        <v>4.8600000000000003</v>
      </c>
      <c r="W42">
        <f t="shared" si="28"/>
        <v>4</v>
      </c>
      <c r="Z42">
        <f t="shared" si="26"/>
        <v>7.7145122918318793E-2</v>
      </c>
      <c r="AA42">
        <f t="shared" si="27"/>
        <v>0.27775010876382894</v>
      </c>
    </row>
    <row r="45" spans="1:27">
      <c r="A45" t="s">
        <v>40</v>
      </c>
      <c r="C45">
        <v>-1</v>
      </c>
      <c r="D45">
        <v>-0.9</v>
      </c>
      <c r="E45">
        <v>-0.8</v>
      </c>
      <c r="F45">
        <v>-0.7</v>
      </c>
      <c r="G45">
        <v>-0.6</v>
      </c>
      <c r="H45">
        <v>-0.5</v>
      </c>
      <c r="I45">
        <v>-0.4</v>
      </c>
      <c r="J45">
        <v>-0.3</v>
      </c>
      <c r="K45">
        <v>-0.2</v>
      </c>
      <c r="L45">
        <v>-0.1</v>
      </c>
      <c r="M45">
        <v>0</v>
      </c>
      <c r="N45">
        <v>0.1</v>
      </c>
      <c r="O45">
        <v>0.2</v>
      </c>
      <c r="P45">
        <v>0.3</v>
      </c>
      <c r="Q45">
        <v>0.4</v>
      </c>
      <c r="R45">
        <v>0.5</v>
      </c>
      <c r="S45">
        <v>0.6</v>
      </c>
      <c r="T45">
        <v>0.7</v>
      </c>
      <c r="U45">
        <v>0.8</v>
      </c>
      <c r="V45">
        <v>0.9</v>
      </c>
      <c r="W45">
        <v>1</v>
      </c>
    </row>
    <row r="46" spans="1:27">
      <c r="B46" t="s">
        <v>28</v>
      </c>
      <c r="C46">
        <f>C51/$Y51</f>
        <v>1.220018258776662E-2</v>
      </c>
      <c r="D46">
        <f t="shared" ref="D46:W46" si="29">D51/$Y51</f>
        <v>1.0872271557805627E-2</v>
      </c>
      <c r="E46">
        <f t="shared" si="29"/>
        <v>1.4773010208316043E-2</v>
      </c>
      <c r="F46">
        <f t="shared" si="29"/>
        <v>1.4109054693335546E-2</v>
      </c>
      <c r="G46">
        <f t="shared" si="29"/>
        <v>1.8507759980081334E-2</v>
      </c>
      <c r="H46">
        <f t="shared" si="29"/>
        <v>1.9088721055689269E-2</v>
      </c>
      <c r="I46">
        <f t="shared" si="29"/>
        <v>2.4068387418042993E-2</v>
      </c>
      <c r="J46">
        <f t="shared" si="29"/>
        <v>2.5230309569258858E-2</v>
      </c>
      <c r="K46">
        <f t="shared" si="29"/>
        <v>2.0416632085650262E-2</v>
      </c>
      <c r="L46">
        <f t="shared" si="29"/>
        <v>2.6060253962984479E-2</v>
      </c>
      <c r="M46">
        <f t="shared" si="29"/>
        <v>0.68370819155116602</v>
      </c>
      <c r="N46">
        <f t="shared" si="29"/>
        <v>2.1993526433728941E-2</v>
      </c>
      <c r="O46">
        <f t="shared" si="29"/>
        <v>1.8590754419453896E-2</v>
      </c>
      <c r="P46">
        <f t="shared" si="29"/>
        <v>1.2781143663374553E-2</v>
      </c>
      <c r="Q46">
        <f t="shared" si="29"/>
        <v>1.1868204830276372E-2</v>
      </c>
      <c r="R46">
        <f t="shared" si="29"/>
        <v>9.3783716490995102E-3</v>
      </c>
      <c r="S46">
        <f t="shared" si="29"/>
        <v>1.0042327164080007E-2</v>
      </c>
      <c r="T46">
        <f t="shared" si="29"/>
        <v>1.1370238194041E-2</v>
      </c>
      <c r="U46">
        <f t="shared" si="29"/>
        <v>1.3777076935845298E-2</v>
      </c>
      <c r="V46">
        <f t="shared" si="29"/>
        <v>1.2698149224001991E-2</v>
      </c>
      <c r="W46">
        <f t="shared" si="29"/>
        <v>8.4654328160013274E-3</v>
      </c>
      <c r="Y46">
        <f>SUM(C46:W46)</f>
        <v>1.0000000000000002</v>
      </c>
    </row>
    <row r="47" spans="1:27">
      <c r="B47" t="s">
        <v>29</v>
      </c>
      <c r="C47">
        <f t="shared" ref="C47:W47" si="30">C52/$Y52</f>
        <v>9.1097308488612833E-3</v>
      </c>
      <c r="D47">
        <f t="shared" si="30"/>
        <v>1.2836438923395446E-2</v>
      </c>
      <c r="E47">
        <f t="shared" si="30"/>
        <v>1.8136645962732918E-2</v>
      </c>
      <c r="F47">
        <f t="shared" si="30"/>
        <v>2.1283643892339544E-2</v>
      </c>
      <c r="G47">
        <f t="shared" si="30"/>
        <v>2.5590062111801242E-2</v>
      </c>
      <c r="H47">
        <f t="shared" si="30"/>
        <v>2.3602484472049691E-2</v>
      </c>
      <c r="I47">
        <f t="shared" si="30"/>
        <v>2.5175983436853001E-2</v>
      </c>
      <c r="J47">
        <f t="shared" si="30"/>
        <v>2.7246376811594204E-2</v>
      </c>
      <c r="K47">
        <f t="shared" si="30"/>
        <v>1.979296066252588E-2</v>
      </c>
      <c r="L47">
        <f t="shared" si="30"/>
        <v>2.443064182194617E-2</v>
      </c>
      <c r="M47">
        <f t="shared" si="30"/>
        <v>0.65747412008281569</v>
      </c>
      <c r="N47">
        <f t="shared" si="30"/>
        <v>2.3602484472049691E-2</v>
      </c>
      <c r="O47">
        <f t="shared" si="30"/>
        <v>1.6149068322981366E-2</v>
      </c>
      <c r="P47">
        <f t="shared" si="30"/>
        <v>1.2919254658385093E-2</v>
      </c>
      <c r="Q47">
        <f t="shared" si="30"/>
        <v>1.1014492753623189E-2</v>
      </c>
      <c r="R47">
        <f t="shared" si="30"/>
        <v>9.7722567287784681E-3</v>
      </c>
      <c r="S47">
        <f t="shared" si="30"/>
        <v>1.2753623188405797E-2</v>
      </c>
      <c r="T47">
        <f t="shared" si="30"/>
        <v>1.25879917184265E-2</v>
      </c>
      <c r="U47">
        <f t="shared" si="30"/>
        <v>1.3333333333333334E-2</v>
      </c>
      <c r="V47">
        <f t="shared" si="30"/>
        <v>1.4492753623188406E-2</v>
      </c>
      <c r="W47">
        <f t="shared" si="30"/>
        <v>8.6956521739130436E-3</v>
      </c>
      <c r="Y47">
        <f t="shared" ref="Y47:Y48" si="31">SUM(C47:W47)</f>
        <v>0.99999999999999978</v>
      </c>
    </row>
    <row r="48" spans="1:27">
      <c r="B48" t="s">
        <v>30</v>
      </c>
      <c r="C48">
        <f t="shared" ref="C48:W48" si="32">C53/$Y53</f>
        <v>1.1232243145028081E-2</v>
      </c>
      <c r="D48">
        <f t="shared" si="32"/>
        <v>1.263627353815659E-2</v>
      </c>
      <c r="E48">
        <f t="shared" si="32"/>
        <v>1.6187644532540468E-2</v>
      </c>
      <c r="F48">
        <f t="shared" si="32"/>
        <v>1.5444334324413611E-2</v>
      </c>
      <c r="G48">
        <f t="shared" si="32"/>
        <v>1.8582755203171458E-2</v>
      </c>
      <c r="H48">
        <f t="shared" si="32"/>
        <v>1.8500165180046251E-2</v>
      </c>
      <c r="I48">
        <f t="shared" si="32"/>
        <v>2.1638586058804095E-2</v>
      </c>
      <c r="J48">
        <f t="shared" si="32"/>
        <v>2.1968946151304923E-2</v>
      </c>
      <c r="K48">
        <f t="shared" si="32"/>
        <v>2.0151965642550378E-2</v>
      </c>
      <c r="L48">
        <f t="shared" si="32"/>
        <v>2.4777006937561942E-2</v>
      </c>
      <c r="M48">
        <f t="shared" si="32"/>
        <v>0.68351503138420877</v>
      </c>
      <c r="N48">
        <f t="shared" si="32"/>
        <v>2.2547076313181369E-2</v>
      </c>
      <c r="O48">
        <f t="shared" si="32"/>
        <v>1.7839444995044598E-2</v>
      </c>
      <c r="P48">
        <f t="shared" si="32"/>
        <v>1.2305913445655764E-2</v>
      </c>
      <c r="Q48">
        <f t="shared" si="32"/>
        <v>1.2058143376280145E-2</v>
      </c>
      <c r="R48">
        <f t="shared" si="32"/>
        <v>1.0323752890650809E-2</v>
      </c>
      <c r="S48">
        <f t="shared" si="32"/>
        <v>9.9933927981499839E-3</v>
      </c>
      <c r="T48">
        <f t="shared" si="32"/>
        <v>1.14800132144037E-2</v>
      </c>
      <c r="U48">
        <f t="shared" si="32"/>
        <v>1.5774694416914436E-2</v>
      </c>
      <c r="V48">
        <f t="shared" si="32"/>
        <v>1.3875123885034688E-2</v>
      </c>
      <c r="W48">
        <f t="shared" si="32"/>
        <v>9.1674925668979185E-3</v>
      </c>
      <c r="Y48">
        <f t="shared" si="31"/>
        <v>1.0000000000000002</v>
      </c>
    </row>
    <row r="50" spans="2:27">
      <c r="B50" t="s">
        <v>32</v>
      </c>
      <c r="C50">
        <v>-1</v>
      </c>
      <c r="D50">
        <v>-0.9</v>
      </c>
      <c r="E50">
        <v>-0.8</v>
      </c>
      <c r="F50">
        <v>-0.7</v>
      </c>
      <c r="G50">
        <v>-0.6</v>
      </c>
      <c r="H50">
        <v>-0.5</v>
      </c>
      <c r="I50">
        <v>-0.4</v>
      </c>
      <c r="J50">
        <v>-0.3</v>
      </c>
      <c r="K50">
        <v>-0.2</v>
      </c>
      <c r="L50">
        <v>-0.1</v>
      </c>
      <c r="M50">
        <v>0</v>
      </c>
      <c r="N50">
        <v>0.1</v>
      </c>
      <c r="O50">
        <v>0.2</v>
      </c>
      <c r="P50">
        <v>0.3</v>
      </c>
      <c r="Q50">
        <v>0.4</v>
      </c>
      <c r="R50">
        <v>0.5</v>
      </c>
      <c r="S50">
        <v>0.6</v>
      </c>
      <c r="T50">
        <v>0.7</v>
      </c>
      <c r="U50">
        <v>0.8</v>
      </c>
      <c r="V50">
        <v>0.9</v>
      </c>
      <c r="W50">
        <v>1</v>
      </c>
    </row>
    <row r="51" spans="2:27">
      <c r="B51" t="s">
        <v>33</v>
      </c>
      <c r="C51" s="10">
        <f>C67+C70+C73+C76</f>
        <v>147</v>
      </c>
      <c r="D51" s="10">
        <f t="shared" ref="D51:W53" si="33">D67+D70+D73+D76</f>
        <v>131</v>
      </c>
      <c r="E51" s="10">
        <f t="shared" si="33"/>
        <v>178</v>
      </c>
      <c r="F51" s="10">
        <f t="shared" si="33"/>
        <v>170</v>
      </c>
      <c r="G51" s="10">
        <f t="shared" si="33"/>
        <v>223</v>
      </c>
      <c r="H51" s="10">
        <f t="shared" si="33"/>
        <v>230</v>
      </c>
      <c r="I51" s="10">
        <f t="shared" si="33"/>
        <v>290</v>
      </c>
      <c r="J51" s="10">
        <f t="shared" si="33"/>
        <v>304</v>
      </c>
      <c r="K51" s="10">
        <f t="shared" si="33"/>
        <v>246</v>
      </c>
      <c r="L51" s="10">
        <f t="shared" si="33"/>
        <v>314</v>
      </c>
      <c r="M51" s="10">
        <f t="shared" si="33"/>
        <v>8238</v>
      </c>
      <c r="N51" s="10">
        <f t="shared" si="33"/>
        <v>265</v>
      </c>
      <c r="O51" s="10">
        <f t="shared" si="33"/>
        <v>224</v>
      </c>
      <c r="P51" s="10">
        <f t="shared" si="33"/>
        <v>154</v>
      </c>
      <c r="Q51" s="10">
        <f t="shared" si="33"/>
        <v>143</v>
      </c>
      <c r="R51" s="10">
        <f t="shared" si="33"/>
        <v>113</v>
      </c>
      <c r="S51" s="10">
        <f t="shared" si="33"/>
        <v>121</v>
      </c>
      <c r="T51" s="10">
        <f t="shared" si="33"/>
        <v>137</v>
      </c>
      <c r="U51" s="10">
        <f t="shared" si="33"/>
        <v>166</v>
      </c>
      <c r="V51" s="10">
        <f t="shared" si="33"/>
        <v>153</v>
      </c>
      <c r="W51" s="10">
        <f t="shared" si="33"/>
        <v>102</v>
      </c>
      <c r="Y51">
        <f>SUM(C51:W51)</f>
        <v>12049</v>
      </c>
    </row>
    <row r="52" spans="2:27">
      <c r="B52" t="s">
        <v>6</v>
      </c>
      <c r="C52" s="10">
        <f t="shared" ref="C52:R53" si="34">C68+C71+C74+C77</f>
        <v>110</v>
      </c>
      <c r="D52" s="10">
        <f t="shared" si="34"/>
        <v>155</v>
      </c>
      <c r="E52" s="10">
        <f t="shared" si="34"/>
        <v>219</v>
      </c>
      <c r="F52" s="10">
        <f t="shared" si="34"/>
        <v>257</v>
      </c>
      <c r="G52" s="10">
        <f t="shared" si="34"/>
        <v>309</v>
      </c>
      <c r="H52" s="10">
        <f t="shared" si="34"/>
        <v>285</v>
      </c>
      <c r="I52" s="10">
        <f t="shared" si="34"/>
        <v>304</v>
      </c>
      <c r="J52" s="10">
        <f t="shared" si="34"/>
        <v>329</v>
      </c>
      <c r="K52" s="10">
        <f t="shared" si="34"/>
        <v>239</v>
      </c>
      <c r="L52" s="10">
        <f t="shared" si="34"/>
        <v>295</v>
      </c>
      <c r="M52" s="10">
        <f t="shared" si="34"/>
        <v>7939</v>
      </c>
      <c r="N52" s="10">
        <f t="shared" si="34"/>
        <v>285</v>
      </c>
      <c r="O52" s="10">
        <f t="shared" si="34"/>
        <v>195</v>
      </c>
      <c r="P52" s="10">
        <f t="shared" si="34"/>
        <v>156</v>
      </c>
      <c r="Q52" s="10">
        <f t="shared" si="34"/>
        <v>133</v>
      </c>
      <c r="R52" s="10">
        <f t="shared" si="34"/>
        <v>118</v>
      </c>
      <c r="S52" s="10">
        <f t="shared" si="33"/>
        <v>154</v>
      </c>
      <c r="T52" s="10">
        <f t="shared" si="33"/>
        <v>152</v>
      </c>
      <c r="U52" s="10">
        <f t="shared" si="33"/>
        <v>161</v>
      </c>
      <c r="V52" s="10">
        <f t="shared" si="33"/>
        <v>175</v>
      </c>
      <c r="W52" s="10">
        <f t="shared" si="33"/>
        <v>105</v>
      </c>
      <c r="Y52">
        <f t="shared" ref="Y52:Y53" si="35">SUM(C52:W52)</f>
        <v>12075</v>
      </c>
    </row>
    <row r="53" spans="2:27">
      <c r="B53" t="s">
        <v>7</v>
      </c>
      <c r="C53" s="10">
        <f t="shared" si="34"/>
        <v>136</v>
      </c>
      <c r="D53" s="10">
        <f t="shared" si="33"/>
        <v>153</v>
      </c>
      <c r="E53" s="10">
        <f t="shared" si="33"/>
        <v>196</v>
      </c>
      <c r="F53" s="10">
        <f t="shared" si="33"/>
        <v>187</v>
      </c>
      <c r="G53" s="10">
        <f t="shared" si="33"/>
        <v>225</v>
      </c>
      <c r="H53" s="10">
        <f t="shared" si="33"/>
        <v>224</v>
      </c>
      <c r="I53" s="10">
        <f t="shared" si="33"/>
        <v>262</v>
      </c>
      <c r="J53" s="10">
        <f t="shared" si="33"/>
        <v>266</v>
      </c>
      <c r="K53" s="10">
        <f t="shared" si="33"/>
        <v>244</v>
      </c>
      <c r="L53" s="10">
        <f t="shared" si="33"/>
        <v>300</v>
      </c>
      <c r="M53" s="10">
        <f t="shared" si="33"/>
        <v>8276</v>
      </c>
      <c r="N53" s="10">
        <f t="shared" si="33"/>
        <v>273</v>
      </c>
      <c r="O53" s="10">
        <f t="shared" si="33"/>
        <v>216</v>
      </c>
      <c r="P53" s="10">
        <f t="shared" si="33"/>
        <v>149</v>
      </c>
      <c r="Q53" s="10">
        <f t="shared" si="33"/>
        <v>146</v>
      </c>
      <c r="R53" s="10">
        <f t="shared" si="33"/>
        <v>125</v>
      </c>
      <c r="S53" s="10">
        <f t="shared" si="33"/>
        <v>121</v>
      </c>
      <c r="T53" s="10">
        <f t="shared" si="33"/>
        <v>139</v>
      </c>
      <c r="U53" s="10">
        <f t="shared" si="33"/>
        <v>191</v>
      </c>
      <c r="V53" s="10">
        <f t="shared" si="33"/>
        <v>168</v>
      </c>
      <c r="W53" s="10">
        <f t="shared" si="33"/>
        <v>111</v>
      </c>
      <c r="Y53">
        <f t="shared" si="35"/>
        <v>12108</v>
      </c>
    </row>
    <row r="55" spans="2:27">
      <c r="B55" t="s">
        <v>37</v>
      </c>
      <c r="AA55" t="s">
        <v>35</v>
      </c>
    </row>
    <row r="56" spans="2:27">
      <c r="B56" t="s">
        <v>33</v>
      </c>
      <c r="C56">
        <f>C50*C51</f>
        <v>-147</v>
      </c>
      <c r="D56">
        <f t="shared" ref="D56:W56" si="36">D50*D51</f>
        <v>-117.9</v>
      </c>
      <c r="E56">
        <f t="shared" si="36"/>
        <v>-142.4</v>
      </c>
      <c r="F56">
        <f t="shared" si="36"/>
        <v>-118.99999999999999</v>
      </c>
      <c r="G56">
        <f t="shared" si="36"/>
        <v>-133.79999999999998</v>
      </c>
      <c r="H56">
        <f t="shared" si="36"/>
        <v>-115</v>
      </c>
      <c r="I56">
        <f t="shared" si="36"/>
        <v>-116</v>
      </c>
      <c r="J56">
        <f t="shared" si="36"/>
        <v>-91.2</v>
      </c>
      <c r="K56">
        <f t="shared" si="36"/>
        <v>-49.2</v>
      </c>
      <c r="L56">
        <f t="shared" si="36"/>
        <v>-31.400000000000002</v>
      </c>
      <c r="M56">
        <f t="shared" si="36"/>
        <v>0</v>
      </c>
      <c r="N56">
        <f t="shared" si="36"/>
        <v>26.5</v>
      </c>
      <c r="O56">
        <f t="shared" si="36"/>
        <v>44.800000000000004</v>
      </c>
      <c r="P56">
        <f t="shared" si="36"/>
        <v>46.199999999999996</v>
      </c>
      <c r="Q56">
        <f t="shared" si="36"/>
        <v>57.2</v>
      </c>
      <c r="R56">
        <f t="shared" si="36"/>
        <v>56.5</v>
      </c>
      <c r="S56">
        <f t="shared" si="36"/>
        <v>72.599999999999994</v>
      </c>
      <c r="T56">
        <f t="shared" si="36"/>
        <v>95.899999999999991</v>
      </c>
      <c r="U56">
        <f t="shared" si="36"/>
        <v>132.80000000000001</v>
      </c>
      <c r="V56">
        <f t="shared" si="36"/>
        <v>137.70000000000002</v>
      </c>
      <c r="W56">
        <f t="shared" si="36"/>
        <v>102</v>
      </c>
      <c r="Y56">
        <f>SUM(C56:W56)</f>
        <v>-290.70000000000005</v>
      </c>
      <c r="Z56">
        <v>-2.4126483525603787E-2</v>
      </c>
      <c r="AA56">
        <f>Y56/Y51</f>
        <v>-2.4126483525603787E-2</v>
      </c>
    </row>
    <row r="57" spans="2:27">
      <c r="B57" t="s">
        <v>6</v>
      </c>
      <c r="C57">
        <f>C50*C52</f>
        <v>-110</v>
      </c>
      <c r="D57">
        <f t="shared" ref="D57:W57" si="37">D50*D52</f>
        <v>-139.5</v>
      </c>
      <c r="E57">
        <f t="shared" si="37"/>
        <v>-175.20000000000002</v>
      </c>
      <c r="F57">
        <f t="shared" si="37"/>
        <v>-179.89999999999998</v>
      </c>
      <c r="G57">
        <f t="shared" si="37"/>
        <v>-185.4</v>
      </c>
      <c r="H57">
        <f t="shared" si="37"/>
        <v>-142.5</v>
      </c>
      <c r="I57">
        <f t="shared" si="37"/>
        <v>-121.60000000000001</v>
      </c>
      <c r="J57">
        <f t="shared" si="37"/>
        <v>-98.7</v>
      </c>
      <c r="K57">
        <f t="shared" si="37"/>
        <v>-47.800000000000004</v>
      </c>
      <c r="L57">
        <f t="shared" si="37"/>
        <v>-29.5</v>
      </c>
      <c r="M57">
        <f t="shared" si="37"/>
        <v>0</v>
      </c>
      <c r="N57">
        <f t="shared" si="37"/>
        <v>28.5</v>
      </c>
      <c r="O57">
        <f t="shared" si="37"/>
        <v>39</v>
      </c>
      <c r="P57">
        <f t="shared" si="37"/>
        <v>46.8</v>
      </c>
      <c r="Q57">
        <f t="shared" si="37"/>
        <v>53.2</v>
      </c>
      <c r="R57">
        <f t="shared" si="37"/>
        <v>59</v>
      </c>
      <c r="S57">
        <f t="shared" si="37"/>
        <v>92.399999999999991</v>
      </c>
      <c r="T57">
        <f t="shared" si="37"/>
        <v>106.39999999999999</v>
      </c>
      <c r="U57">
        <f t="shared" si="37"/>
        <v>128.80000000000001</v>
      </c>
      <c r="V57">
        <f t="shared" si="37"/>
        <v>157.5</v>
      </c>
      <c r="W57">
        <f t="shared" si="37"/>
        <v>105</v>
      </c>
      <c r="Y57">
        <f t="shared" ref="Y57:Y58" si="38">SUM(C57:W57)</f>
        <v>-413.5</v>
      </c>
      <c r="Z57">
        <v>-3.4244306418219461E-2</v>
      </c>
      <c r="AA57">
        <f t="shared" ref="AA57:AB59" si="39">Y57/Y52</f>
        <v>-3.4244306418219461E-2</v>
      </c>
    </row>
    <row r="58" spans="2:27">
      <c r="B58" t="s">
        <v>7</v>
      </c>
      <c r="C58">
        <f>C50*C53</f>
        <v>-136</v>
      </c>
      <c r="D58">
        <f t="shared" ref="D58:W58" si="40">D50*D53</f>
        <v>-137.70000000000002</v>
      </c>
      <c r="E58">
        <f t="shared" si="40"/>
        <v>-156.80000000000001</v>
      </c>
      <c r="F58">
        <f t="shared" si="40"/>
        <v>-130.9</v>
      </c>
      <c r="G58">
        <f t="shared" si="40"/>
        <v>-135</v>
      </c>
      <c r="H58">
        <f t="shared" si="40"/>
        <v>-112</v>
      </c>
      <c r="I58">
        <f t="shared" si="40"/>
        <v>-104.80000000000001</v>
      </c>
      <c r="J58">
        <f t="shared" si="40"/>
        <v>-79.8</v>
      </c>
      <c r="K58">
        <f t="shared" si="40"/>
        <v>-48.800000000000004</v>
      </c>
      <c r="L58">
        <f t="shared" si="40"/>
        <v>-30</v>
      </c>
      <c r="M58">
        <f t="shared" si="40"/>
        <v>0</v>
      </c>
      <c r="N58">
        <f t="shared" si="40"/>
        <v>27.3</v>
      </c>
      <c r="O58">
        <f t="shared" si="40"/>
        <v>43.2</v>
      </c>
      <c r="P58">
        <f t="shared" si="40"/>
        <v>44.699999999999996</v>
      </c>
      <c r="Q58">
        <f t="shared" si="40"/>
        <v>58.400000000000006</v>
      </c>
      <c r="R58">
        <f t="shared" si="40"/>
        <v>62.5</v>
      </c>
      <c r="S58">
        <f t="shared" si="40"/>
        <v>72.599999999999994</v>
      </c>
      <c r="T58">
        <f t="shared" si="40"/>
        <v>97.3</v>
      </c>
      <c r="U58">
        <f t="shared" si="40"/>
        <v>152.80000000000001</v>
      </c>
      <c r="V58">
        <f t="shared" si="40"/>
        <v>151.20000000000002</v>
      </c>
      <c r="W58">
        <f t="shared" si="40"/>
        <v>111</v>
      </c>
      <c r="Y58">
        <f t="shared" si="38"/>
        <v>-250.79999999999995</v>
      </c>
      <c r="Z58">
        <v>-2.0713577799801781E-2</v>
      </c>
      <c r="AA58">
        <f t="shared" si="39"/>
        <v>-2.0713577799801781E-2</v>
      </c>
    </row>
    <row r="60" spans="2:27">
      <c r="B60" t="s">
        <v>36</v>
      </c>
      <c r="Z60" t="s">
        <v>34</v>
      </c>
      <c r="AA60" t="s">
        <v>38</v>
      </c>
    </row>
    <row r="61" spans="2:27">
      <c r="C61">
        <f>(C$9-$Z56)^2*C51</f>
        <v>139.99238066294726</v>
      </c>
      <c r="D61">
        <f t="shared" ref="D61:W61" si="41">(D$9-$Z56)^2*D51</f>
        <v>100.49722860882042</v>
      </c>
      <c r="E61">
        <f t="shared" si="41"/>
        <v>107.15238901480946</v>
      </c>
      <c r="F61">
        <f t="shared" si="41"/>
        <v>77.656851746149201</v>
      </c>
      <c r="G61">
        <f t="shared" si="41"/>
        <v>73.953558455778833</v>
      </c>
      <c r="H61">
        <f t="shared" si="41"/>
        <v>52.084788846792719</v>
      </c>
      <c r="I61">
        <f t="shared" si="41"/>
        <v>40.971461112180194</v>
      </c>
      <c r="J61">
        <f t="shared" si="41"/>
        <v>23.136283915952475</v>
      </c>
      <c r="K61">
        <f t="shared" si="41"/>
        <v>7.6091474740791512</v>
      </c>
      <c r="L61">
        <f t="shared" si="41"/>
        <v>1.807632217687809</v>
      </c>
      <c r="M61">
        <f t="shared" si="41"/>
        <v>4.7952344138299203</v>
      </c>
      <c r="N61">
        <f t="shared" si="41"/>
        <v>4.0829567367944772</v>
      </c>
      <c r="O61">
        <f t="shared" si="41"/>
        <v>11.252120458331817</v>
      </c>
      <c r="P61">
        <f t="shared" si="41"/>
        <v>16.178928507691719</v>
      </c>
      <c r="Q61">
        <f t="shared" si="41"/>
        <v>25.723308185974577</v>
      </c>
      <c r="R61">
        <f t="shared" si="41"/>
        <v>31.042068492819393</v>
      </c>
      <c r="S61">
        <f t="shared" si="41"/>
        <v>47.133597960002319</v>
      </c>
      <c r="T61">
        <f t="shared" si="41"/>
        <v>71.837205487612437</v>
      </c>
      <c r="U61">
        <f t="shared" si="41"/>
        <v>112.74462050081404</v>
      </c>
      <c r="V61">
        <f t="shared" si="41"/>
        <v>130.6634929056699</v>
      </c>
      <c r="W61">
        <f t="shared" si="41"/>
        <v>106.98117553436893</v>
      </c>
      <c r="Z61">
        <f>SUM(C61:W61)/Y51</f>
        <v>9.8539001679733326E-2</v>
      </c>
      <c r="AA61">
        <f>SQRT(Z61)</f>
        <v>0.31390922522240938</v>
      </c>
    </row>
    <row r="62" spans="2:27">
      <c r="C62">
        <f t="shared" ref="C62:W62" si="42">(C$9-$Z57)^2*C52</f>
        <v>102.59524656541886</v>
      </c>
      <c r="D62">
        <f t="shared" si="42"/>
        <v>116.17760275023683</v>
      </c>
      <c r="E62">
        <f t="shared" si="42"/>
        <v>128.41761031338814</v>
      </c>
      <c r="F62">
        <f t="shared" si="42"/>
        <v>113.91027538889531</v>
      </c>
      <c r="G62">
        <f t="shared" si="42"/>
        <v>98.904566989442259</v>
      </c>
      <c r="H62">
        <f t="shared" si="42"/>
        <v>61.824584339595951</v>
      </c>
      <c r="I62">
        <f t="shared" si="42"/>
        <v>40.668277125796763</v>
      </c>
      <c r="J62">
        <f t="shared" si="42"/>
        <v>23.235983172802829</v>
      </c>
      <c r="K62">
        <f t="shared" si="42"/>
        <v>6.566513039191733</v>
      </c>
      <c r="L62">
        <f t="shared" si="42"/>
        <v>1.2755243153341995</v>
      </c>
      <c r="M62">
        <f t="shared" si="42"/>
        <v>9.3098471526732922</v>
      </c>
      <c r="N62">
        <f t="shared" si="42"/>
        <v>5.1361371346270079</v>
      </c>
      <c r="O62">
        <f t="shared" si="42"/>
        <v>10.699727042423776</v>
      </c>
      <c r="P62">
        <f t="shared" si="42"/>
        <v>17.428203994187466</v>
      </c>
      <c r="Q62">
        <f t="shared" si="42"/>
        <v>25.079559648333188</v>
      </c>
      <c r="R62">
        <f t="shared" si="42"/>
        <v>33.679203514953542</v>
      </c>
      <c r="S62">
        <f t="shared" si="42"/>
        <v>61.94893939448496</v>
      </c>
      <c r="T62">
        <f t="shared" si="42"/>
        <v>81.945434629150952</v>
      </c>
      <c r="U62">
        <f t="shared" si="42"/>
        <v>112.05013360938578</v>
      </c>
      <c r="V62">
        <f t="shared" si="42"/>
        <v>152.7421742131005</v>
      </c>
      <c r="W62">
        <f t="shared" si="42"/>
        <v>112.31443496264289</v>
      </c>
      <c r="Z62">
        <f t="shared" ref="Z62:Z63" si="43">SUM(C62:W62)/Y52</f>
        <v>0.10897805211561626</v>
      </c>
      <c r="AA62">
        <f t="shared" ref="AA62:AA63" si="44">SQRT(Z62)</f>
        <v>0.33011823959850545</v>
      </c>
    </row>
    <row r="63" spans="2:27">
      <c r="C63">
        <f t="shared" ref="C63:W63" si="45">(C$9-$Z58)^2*C53</f>
        <v>130.42425795197042</v>
      </c>
      <c r="D63">
        <f t="shared" si="45"/>
        <v>118.29112567664066</v>
      </c>
      <c r="E63">
        <f t="shared" si="45"/>
        <v>119.02831625381479</v>
      </c>
      <c r="F63">
        <f t="shared" si="45"/>
        <v>86.287418113097075</v>
      </c>
      <c r="G63">
        <f t="shared" si="45"/>
        <v>75.503870762738913</v>
      </c>
      <c r="H63">
        <f t="shared" si="45"/>
        <v>51.456266289224537</v>
      </c>
      <c r="I63">
        <f t="shared" si="45"/>
        <v>37.69084579714189</v>
      </c>
      <c r="J63">
        <f t="shared" si="45"/>
        <v>20.748240896353042</v>
      </c>
      <c r="K63">
        <f t="shared" si="45"/>
        <v>7.8430435692248457</v>
      </c>
      <c r="L63">
        <f t="shared" si="45"/>
        <v>1.8859010235924258</v>
      </c>
      <c r="M63">
        <f t="shared" si="45"/>
        <v>3.5508368784016193</v>
      </c>
      <c r="N63">
        <f t="shared" si="45"/>
        <v>3.9780926272074617</v>
      </c>
      <c r="O63">
        <f t="shared" si="45"/>
        <v>10.522328419840859</v>
      </c>
      <c r="P63">
        <f t="shared" si="45"/>
        <v>15.325722648787274</v>
      </c>
      <c r="Q63">
        <f t="shared" si="45"/>
        <v>25.841987523586042</v>
      </c>
      <c r="R63">
        <f t="shared" si="45"/>
        <v>33.892828763133778</v>
      </c>
      <c r="S63">
        <f t="shared" si="45"/>
        <v>46.619526825468697</v>
      </c>
      <c r="T63">
        <f t="shared" si="45"/>
        <v>72.200500510273727</v>
      </c>
      <c r="U63">
        <f t="shared" si="45"/>
        <v>128.6520183659257</v>
      </c>
      <c r="V63">
        <f t="shared" si="45"/>
        <v>142.41586671394515</v>
      </c>
      <c r="W63">
        <f t="shared" si="45"/>
        <v>115.64603907744078</v>
      </c>
      <c r="Z63">
        <f t="shared" si="43"/>
        <v>0.10305624667061529</v>
      </c>
      <c r="AA63">
        <f t="shared" si="44"/>
        <v>0.32102374782968207</v>
      </c>
    </row>
    <row r="67" spans="1:23">
      <c r="A67">
        <v>1</v>
      </c>
      <c r="B67" t="s">
        <v>28</v>
      </c>
      <c r="C67" s="10">
        <v>19</v>
      </c>
      <c r="D67" s="10">
        <v>25</v>
      </c>
      <c r="E67" s="10">
        <v>39</v>
      </c>
      <c r="F67" s="10">
        <v>39</v>
      </c>
      <c r="G67" s="10">
        <v>44</v>
      </c>
      <c r="H67" s="10">
        <v>40</v>
      </c>
      <c r="I67" s="10">
        <v>53</v>
      </c>
      <c r="J67" s="10">
        <v>47</v>
      </c>
      <c r="K67" s="10">
        <v>39</v>
      </c>
      <c r="L67" s="10">
        <v>44</v>
      </c>
      <c r="M67" s="10">
        <v>2358</v>
      </c>
      <c r="N67" s="10">
        <v>56</v>
      </c>
      <c r="O67" s="10">
        <v>41</v>
      </c>
      <c r="P67" s="10">
        <v>31</v>
      </c>
      <c r="Q67" s="10">
        <v>25</v>
      </c>
      <c r="R67" s="10">
        <v>29</v>
      </c>
      <c r="S67" s="10">
        <v>36</v>
      </c>
      <c r="T67" s="10">
        <v>38</v>
      </c>
      <c r="U67" s="10">
        <v>44</v>
      </c>
      <c r="V67" s="10">
        <v>37</v>
      </c>
      <c r="W67" s="10">
        <v>25</v>
      </c>
    </row>
    <row r="68" spans="1:23">
      <c r="B68" t="s">
        <v>29</v>
      </c>
      <c r="C68" s="10">
        <v>24</v>
      </c>
      <c r="D68" s="10">
        <v>44</v>
      </c>
      <c r="E68" s="10">
        <v>52</v>
      </c>
      <c r="F68" s="10">
        <v>48</v>
      </c>
      <c r="G68" s="10">
        <v>54</v>
      </c>
      <c r="H68" s="10">
        <v>42</v>
      </c>
      <c r="I68" s="10">
        <v>57</v>
      </c>
      <c r="J68" s="10">
        <v>47</v>
      </c>
      <c r="K68" s="10">
        <v>39</v>
      </c>
      <c r="L68" s="10">
        <v>43</v>
      </c>
      <c r="M68" s="10">
        <v>2307</v>
      </c>
      <c r="N68" s="10">
        <v>63</v>
      </c>
      <c r="O68" s="10">
        <v>41</v>
      </c>
      <c r="P68" s="10">
        <v>37</v>
      </c>
      <c r="Q68" s="10">
        <v>31</v>
      </c>
      <c r="R68" s="10">
        <v>36</v>
      </c>
      <c r="S68" s="10">
        <v>38</v>
      </c>
      <c r="T68" s="10">
        <v>46</v>
      </c>
      <c r="U68" s="10">
        <v>48</v>
      </c>
      <c r="V68" s="10">
        <v>62</v>
      </c>
      <c r="W68" s="10">
        <v>34</v>
      </c>
    </row>
    <row r="69" spans="1:23">
      <c r="B69" t="s">
        <v>30</v>
      </c>
      <c r="C69" s="10">
        <v>19</v>
      </c>
      <c r="D69" s="10">
        <v>35</v>
      </c>
      <c r="E69" s="10">
        <v>49</v>
      </c>
      <c r="F69" s="10">
        <v>54</v>
      </c>
      <c r="G69" s="10">
        <v>51</v>
      </c>
      <c r="H69" s="10">
        <v>43</v>
      </c>
      <c r="I69" s="10">
        <v>74</v>
      </c>
      <c r="J69" s="10">
        <v>52</v>
      </c>
      <c r="K69" s="10">
        <v>47</v>
      </c>
      <c r="L69" s="10">
        <v>44</v>
      </c>
      <c r="M69" s="10">
        <v>2282</v>
      </c>
      <c r="N69" s="10">
        <v>45</v>
      </c>
      <c r="O69" s="10">
        <v>39</v>
      </c>
      <c r="P69" s="10">
        <v>37</v>
      </c>
      <c r="Q69" s="10">
        <v>38</v>
      </c>
      <c r="R69" s="10">
        <v>35</v>
      </c>
      <c r="S69" s="10">
        <v>31</v>
      </c>
      <c r="T69" s="10">
        <v>34</v>
      </c>
      <c r="U69" s="10">
        <v>59</v>
      </c>
      <c r="V69" s="10">
        <v>54</v>
      </c>
      <c r="W69" s="10">
        <v>40</v>
      </c>
    </row>
    <row r="70" spans="1:23">
      <c r="A70">
        <v>2</v>
      </c>
      <c r="B70" t="s">
        <v>28</v>
      </c>
      <c r="C70" s="10">
        <v>24</v>
      </c>
      <c r="D70" s="10">
        <v>29</v>
      </c>
      <c r="E70" s="10">
        <v>28</v>
      </c>
      <c r="F70" s="10">
        <v>35</v>
      </c>
      <c r="G70" s="10">
        <v>44</v>
      </c>
      <c r="H70" s="10">
        <v>54</v>
      </c>
      <c r="I70" s="10">
        <v>65</v>
      </c>
      <c r="J70" s="10">
        <v>74</v>
      </c>
      <c r="K70" s="10">
        <v>65</v>
      </c>
      <c r="L70" s="10">
        <v>74</v>
      </c>
      <c r="M70" s="10">
        <v>1899</v>
      </c>
      <c r="N70" s="10">
        <v>56</v>
      </c>
      <c r="O70" s="10">
        <v>46</v>
      </c>
      <c r="P70" s="10">
        <v>29</v>
      </c>
      <c r="Q70" s="10">
        <v>24</v>
      </c>
      <c r="R70" s="10">
        <v>15</v>
      </c>
      <c r="S70" s="10">
        <v>11</v>
      </c>
      <c r="T70" s="10">
        <v>17</v>
      </c>
      <c r="U70" s="10">
        <v>21</v>
      </c>
      <c r="V70" s="10">
        <v>29</v>
      </c>
      <c r="W70" s="10">
        <v>14</v>
      </c>
    </row>
    <row r="71" spans="1:23">
      <c r="B71" t="s">
        <v>29</v>
      </c>
      <c r="C71" s="10">
        <v>21</v>
      </c>
      <c r="D71" s="10">
        <v>35</v>
      </c>
      <c r="E71" s="10">
        <v>50</v>
      </c>
      <c r="F71" s="10">
        <v>53</v>
      </c>
      <c r="G71" s="10">
        <v>78</v>
      </c>
      <c r="H71" s="10">
        <v>76</v>
      </c>
      <c r="I71" s="10">
        <v>79</v>
      </c>
      <c r="J71" s="10">
        <v>99</v>
      </c>
      <c r="K71" s="10">
        <v>73</v>
      </c>
      <c r="L71" s="10">
        <v>95</v>
      </c>
      <c r="M71" s="10">
        <v>1719</v>
      </c>
      <c r="N71" s="10">
        <v>49</v>
      </c>
      <c r="O71" s="10">
        <v>27</v>
      </c>
      <c r="P71" s="10">
        <v>24</v>
      </c>
      <c r="Q71" s="10">
        <v>30</v>
      </c>
      <c r="R71" s="10">
        <v>22</v>
      </c>
      <c r="S71" s="10">
        <v>34</v>
      </c>
      <c r="T71" s="10">
        <v>30</v>
      </c>
      <c r="U71" s="10">
        <v>24</v>
      </c>
      <c r="V71" s="10">
        <v>38</v>
      </c>
      <c r="W71" s="10">
        <v>27</v>
      </c>
    </row>
    <row r="72" spans="1:23">
      <c r="B72" t="s">
        <v>30</v>
      </c>
      <c r="C72" s="10">
        <v>24</v>
      </c>
      <c r="D72" s="10">
        <v>29</v>
      </c>
      <c r="E72" s="10">
        <v>28</v>
      </c>
      <c r="F72" s="10">
        <v>35</v>
      </c>
      <c r="G72" s="10">
        <v>44</v>
      </c>
      <c r="H72" s="10">
        <v>54</v>
      </c>
      <c r="I72" s="10">
        <v>65</v>
      </c>
      <c r="J72" s="10">
        <v>74</v>
      </c>
      <c r="K72" s="10">
        <v>65</v>
      </c>
      <c r="L72" s="10">
        <v>74</v>
      </c>
      <c r="M72" s="10">
        <v>1899</v>
      </c>
      <c r="N72" s="10">
        <v>56</v>
      </c>
      <c r="O72" s="10">
        <v>46</v>
      </c>
      <c r="P72" s="10">
        <v>29</v>
      </c>
      <c r="Q72" s="10">
        <v>24</v>
      </c>
      <c r="R72" s="10">
        <v>15</v>
      </c>
      <c r="S72" s="10">
        <v>11</v>
      </c>
      <c r="T72" s="10">
        <v>17</v>
      </c>
      <c r="U72" s="10">
        <v>21</v>
      </c>
      <c r="V72" s="10">
        <v>29</v>
      </c>
      <c r="W72" s="10">
        <v>14</v>
      </c>
    </row>
    <row r="73" spans="1:23">
      <c r="A73">
        <v>3</v>
      </c>
      <c r="B73" t="s">
        <v>28</v>
      </c>
      <c r="C73" s="10">
        <v>41</v>
      </c>
      <c r="D73" s="10">
        <v>22</v>
      </c>
      <c r="E73" s="10">
        <v>33</v>
      </c>
      <c r="F73" s="10">
        <v>30</v>
      </c>
      <c r="G73" s="10">
        <v>47</v>
      </c>
      <c r="H73" s="10">
        <v>42</v>
      </c>
      <c r="I73" s="10">
        <v>71</v>
      </c>
      <c r="J73" s="10">
        <v>62</v>
      </c>
      <c r="K73" s="10">
        <v>39</v>
      </c>
      <c r="L73" s="10">
        <v>39</v>
      </c>
      <c r="M73" s="10">
        <v>1971</v>
      </c>
      <c r="N73" s="10">
        <v>13</v>
      </c>
      <c r="O73" s="10">
        <v>22</v>
      </c>
      <c r="P73" s="10">
        <v>18</v>
      </c>
      <c r="Q73" s="10">
        <v>18</v>
      </c>
      <c r="R73" s="10">
        <v>8</v>
      </c>
      <c r="S73" s="10">
        <v>8</v>
      </c>
      <c r="T73" s="10">
        <v>5</v>
      </c>
      <c r="U73" s="10">
        <v>9</v>
      </c>
      <c r="V73" s="10">
        <v>8</v>
      </c>
      <c r="W73" s="10">
        <v>10</v>
      </c>
    </row>
    <row r="74" spans="1:23">
      <c r="B74" t="s">
        <v>29</v>
      </c>
      <c r="C74" s="10">
        <v>35</v>
      </c>
      <c r="D74" s="10">
        <v>33</v>
      </c>
      <c r="E74" s="10">
        <v>60</v>
      </c>
      <c r="F74" s="10">
        <v>71</v>
      </c>
      <c r="G74" s="10">
        <v>89</v>
      </c>
      <c r="H74" s="10">
        <v>87</v>
      </c>
      <c r="I74" s="10">
        <v>83</v>
      </c>
      <c r="J74" s="10">
        <v>101</v>
      </c>
      <c r="K74" s="10">
        <v>58</v>
      </c>
      <c r="L74" s="10">
        <v>69</v>
      </c>
      <c r="M74" s="10">
        <v>1765</v>
      </c>
      <c r="N74" s="10">
        <v>58</v>
      </c>
      <c r="O74" s="10">
        <v>30</v>
      </c>
      <c r="P74" s="10">
        <v>21</v>
      </c>
      <c r="Q74" s="10">
        <v>13</v>
      </c>
      <c r="R74" s="10">
        <v>6</v>
      </c>
      <c r="S74" s="10">
        <v>10</v>
      </c>
      <c r="T74" s="10">
        <v>9</v>
      </c>
      <c r="U74" s="10">
        <v>17</v>
      </c>
      <c r="V74" s="10">
        <v>5</v>
      </c>
      <c r="W74" s="10">
        <v>6</v>
      </c>
    </row>
    <row r="75" spans="1:23">
      <c r="B75" t="s">
        <v>30</v>
      </c>
      <c r="C75" s="10">
        <v>34</v>
      </c>
      <c r="D75" s="10">
        <v>38</v>
      </c>
      <c r="E75" s="10">
        <v>51</v>
      </c>
      <c r="F75" s="10">
        <v>38</v>
      </c>
      <c r="G75" s="10">
        <v>52</v>
      </c>
      <c r="H75" s="10">
        <v>45</v>
      </c>
      <c r="I75" s="10">
        <v>36</v>
      </c>
      <c r="J75" s="10">
        <v>37</v>
      </c>
      <c r="K75" s="10">
        <v>41</v>
      </c>
      <c r="L75" s="10">
        <v>36</v>
      </c>
      <c r="M75" s="10">
        <v>1984</v>
      </c>
      <c r="N75" s="10">
        <v>32</v>
      </c>
      <c r="O75" s="10">
        <v>16</v>
      </c>
      <c r="P75" s="10">
        <v>7</v>
      </c>
      <c r="Q75" s="10">
        <v>8</v>
      </c>
      <c r="R75" s="10">
        <v>14</v>
      </c>
      <c r="S75" s="10">
        <v>13</v>
      </c>
      <c r="T75" s="10">
        <v>11</v>
      </c>
      <c r="U75" s="10">
        <v>19</v>
      </c>
      <c r="V75" s="10">
        <v>6</v>
      </c>
      <c r="W75" s="10">
        <v>4</v>
      </c>
    </row>
    <row r="76" spans="1:23">
      <c r="A76">
        <v>4</v>
      </c>
      <c r="B76" t="s">
        <v>28</v>
      </c>
      <c r="C76" s="10">
        <v>63</v>
      </c>
      <c r="D76" s="10">
        <v>55</v>
      </c>
      <c r="E76" s="10">
        <v>78</v>
      </c>
      <c r="F76" s="10">
        <v>66</v>
      </c>
      <c r="G76" s="10">
        <v>88</v>
      </c>
      <c r="H76" s="10">
        <v>94</v>
      </c>
      <c r="I76" s="10">
        <v>101</v>
      </c>
      <c r="J76" s="10">
        <v>121</v>
      </c>
      <c r="K76" s="10">
        <v>103</v>
      </c>
      <c r="L76" s="10">
        <v>157</v>
      </c>
      <c r="M76" s="10">
        <v>2010</v>
      </c>
      <c r="N76" s="10">
        <v>140</v>
      </c>
      <c r="O76" s="10">
        <v>115</v>
      </c>
      <c r="P76" s="10">
        <v>76</v>
      </c>
      <c r="Q76" s="10">
        <v>76</v>
      </c>
      <c r="R76" s="10">
        <v>61</v>
      </c>
      <c r="S76" s="10">
        <v>66</v>
      </c>
      <c r="T76" s="10">
        <v>77</v>
      </c>
      <c r="U76" s="10">
        <v>92</v>
      </c>
      <c r="V76" s="10">
        <v>79</v>
      </c>
      <c r="W76" s="10">
        <v>53</v>
      </c>
    </row>
    <row r="77" spans="1:23">
      <c r="B77" t="s">
        <v>29</v>
      </c>
      <c r="C77" s="10">
        <v>30</v>
      </c>
      <c r="D77" s="10">
        <v>43</v>
      </c>
      <c r="E77" s="10">
        <v>57</v>
      </c>
      <c r="F77" s="10">
        <v>85</v>
      </c>
      <c r="G77" s="10">
        <v>88</v>
      </c>
      <c r="H77" s="10">
        <v>80</v>
      </c>
      <c r="I77" s="10">
        <v>85</v>
      </c>
      <c r="J77" s="10">
        <v>82</v>
      </c>
      <c r="K77" s="10">
        <v>69</v>
      </c>
      <c r="L77" s="10">
        <v>88</v>
      </c>
      <c r="M77" s="10">
        <v>2148</v>
      </c>
      <c r="N77" s="10">
        <v>115</v>
      </c>
      <c r="O77" s="10">
        <v>97</v>
      </c>
      <c r="P77" s="10">
        <v>74</v>
      </c>
      <c r="Q77" s="10">
        <v>59</v>
      </c>
      <c r="R77" s="10">
        <v>54</v>
      </c>
      <c r="S77" s="10">
        <v>72</v>
      </c>
      <c r="T77" s="10">
        <v>67</v>
      </c>
      <c r="U77" s="10">
        <v>72</v>
      </c>
      <c r="V77" s="10">
        <v>70</v>
      </c>
      <c r="W77" s="10">
        <v>38</v>
      </c>
    </row>
    <row r="78" spans="1:23">
      <c r="B78" t="s">
        <v>30</v>
      </c>
      <c r="C78" s="10">
        <v>59</v>
      </c>
      <c r="D78" s="10">
        <v>51</v>
      </c>
      <c r="E78" s="10">
        <v>68</v>
      </c>
      <c r="F78" s="10">
        <v>60</v>
      </c>
      <c r="G78" s="10">
        <v>78</v>
      </c>
      <c r="H78" s="10">
        <v>82</v>
      </c>
      <c r="I78" s="10">
        <v>87</v>
      </c>
      <c r="J78" s="10">
        <v>103</v>
      </c>
      <c r="K78" s="10">
        <v>91</v>
      </c>
      <c r="L78" s="10">
        <v>146</v>
      </c>
      <c r="M78" s="10">
        <v>2111</v>
      </c>
      <c r="N78" s="10">
        <v>140</v>
      </c>
      <c r="O78" s="10">
        <v>115</v>
      </c>
      <c r="P78" s="10">
        <v>76</v>
      </c>
      <c r="Q78" s="10">
        <v>76</v>
      </c>
      <c r="R78" s="10">
        <v>61</v>
      </c>
      <c r="S78" s="10">
        <v>66</v>
      </c>
      <c r="T78" s="10">
        <v>77</v>
      </c>
      <c r="U78" s="10">
        <v>92</v>
      </c>
      <c r="V78" s="10">
        <v>79</v>
      </c>
      <c r="W78" s="10">
        <v>53</v>
      </c>
    </row>
  </sheetData>
  <phoneticPr fontId="2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7634-2230-2241-9F9D-21DA01B6E913}">
  <dimension ref="A4:AP22"/>
  <sheetViews>
    <sheetView topLeftCell="Y1" workbookViewId="0">
      <selection activeCell="AN19" sqref="AN19"/>
    </sheetView>
  </sheetViews>
  <sheetFormatPr baseColWidth="10" defaultRowHeight="20"/>
  <sheetData>
    <row r="4" spans="1:42">
      <c r="A4" t="s">
        <v>31</v>
      </c>
      <c r="C4">
        <v>-2</v>
      </c>
      <c r="D4">
        <v>-1.9</v>
      </c>
      <c r="E4">
        <v>-1.8</v>
      </c>
      <c r="F4">
        <v>-1.7</v>
      </c>
      <c r="G4">
        <v>-1.6</v>
      </c>
      <c r="H4">
        <v>-1.5</v>
      </c>
      <c r="I4">
        <v>-1.4</v>
      </c>
      <c r="J4">
        <v>-1.3</v>
      </c>
      <c r="K4">
        <v>-1.2</v>
      </c>
      <c r="L4">
        <v>-1.1000000000000001</v>
      </c>
      <c r="M4">
        <v>-1</v>
      </c>
      <c r="N4">
        <v>-0.9</v>
      </c>
      <c r="O4">
        <v>-0.8</v>
      </c>
      <c r="P4">
        <v>-0.7</v>
      </c>
      <c r="Q4">
        <v>-0.6</v>
      </c>
      <c r="R4">
        <v>-0.5</v>
      </c>
      <c r="S4">
        <v>-0.4</v>
      </c>
      <c r="T4">
        <v>-0.3</v>
      </c>
      <c r="U4">
        <v>-0.2</v>
      </c>
      <c r="V4">
        <v>-0.1</v>
      </c>
      <c r="W4">
        <v>0</v>
      </c>
      <c r="X4">
        <v>0.1</v>
      </c>
      <c r="Y4">
        <v>0.2</v>
      </c>
      <c r="Z4">
        <v>0.3</v>
      </c>
      <c r="AA4">
        <v>0.4</v>
      </c>
      <c r="AB4">
        <v>0.5</v>
      </c>
      <c r="AC4">
        <v>0.6</v>
      </c>
      <c r="AD4">
        <v>0.7</v>
      </c>
      <c r="AE4">
        <v>0.8</v>
      </c>
      <c r="AF4">
        <v>0.9</v>
      </c>
      <c r="AG4">
        <v>1</v>
      </c>
      <c r="AH4">
        <v>1.1000000000000001</v>
      </c>
      <c r="AI4">
        <v>1.2</v>
      </c>
      <c r="AJ4">
        <v>1.3</v>
      </c>
      <c r="AK4">
        <v>1.4</v>
      </c>
      <c r="AL4">
        <v>1.5</v>
      </c>
    </row>
    <row r="5" spans="1:42">
      <c r="B5" t="s">
        <v>28</v>
      </c>
      <c r="C5">
        <f>C10/$AN10</f>
        <v>2.0108586366378444E-4</v>
      </c>
      <c r="D5">
        <f>D10/$AN10</f>
        <v>9.0488638648702992E-4</v>
      </c>
      <c r="E5">
        <f>E10/$AN10</f>
        <v>8.0434345465513776E-4</v>
      </c>
      <c r="F5">
        <f>F10/$AN10</f>
        <v>3.0162879549567667E-3</v>
      </c>
      <c r="G5">
        <f>G10/$AN10</f>
        <v>5.3287753870902878E-3</v>
      </c>
      <c r="H5">
        <f>H10/$AN10</f>
        <v>4.5244319324351497E-3</v>
      </c>
      <c r="I5">
        <f>I10/$AN10</f>
        <v>5.5298612507540717E-3</v>
      </c>
      <c r="J5">
        <f>J10/$AN10</f>
        <v>8.4456062738789469E-3</v>
      </c>
      <c r="K5">
        <f>K10/$AN10</f>
        <v>1.4578725115624372E-2</v>
      </c>
      <c r="L5">
        <f>L10/$AN10</f>
        <v>2.362758898049467E-2</v>
      </c>
      <c r="M5">
        <f>M10/$AN10</f>
        <v>2.4431932435149809E-2</v>
      </c>
      <c r="N5">
        <f>N10/$AN10</f>
        <v>3.5089483209330384E-2</v>
      </c>
      <c r="O5">
        <f>O10/$AN10</f>
        <v>3.549165493665795E-2</v>
      </c>
      <c r="P5">
        <f>P10/$AN10</f>
        <v>3.6396541323144981E-2</v>
      </c>
      <c r="Q5">
        <f>Q10/$AN10</f>
        <v>3.9513372209933645E-2</v>
      </c>
      <c r="R5">
        <f>R10/$AN10</f>
        <v>4.2730746028554194E-2</v>
      </c>
      <c r="S5">
        <f>S10/$AN10</f>
        <v>4.9567665393122864E-2</v>
      </c>
      <c r="T5">
        <f>T10/$AN10</f>
        <v>5.0170922984114213E-2</v>
      </c>
      <c r="U5">
        <f>U10/$AN10</f>
        <v>5.7410014076010457E-2</v>
      </c>
      <c r="V5">
        <f>V10/$AN10</f>
        <v>6.1934446008445609E-2</v>
      </c>
      <c r="W5">
        <f>W10/$AN10</f>
        <v>0.16478986527247136</v>
      </c>
      <c r="X5">
        <f t="shared" ref="X5:AL5" si="0">X10/$AN10</f>
        <v>5.3589382666398552E-2</v>
      </c>
      <c r="Y5">
        <f t="shared" si="0"/>
        <v>4.1825859642067163E-2</v>
      </c>
      <c r="Z5">
        <f t="shared" si="0"/>
        <v>3.1168308867886588E-2</v>
      </c>
      <c r="AA5">
        <f t="shared" si="0"/>
        <v>3.1570480595214154E-2</v>
      </c>
      <c r="AB5">
        <f t="shared" si="0"/>
        <v>2.3828674844158456E-2</v>
      </c>
      <c r="AC5">
        <f t="shared" si="0"/>
        <v>2.71465915946109E-2</v>
      </c>
      <c r="AD5">
        <f t="shared" si="0"/>
        <v>2.2722702594007643E-2</v>
      </c>
      <c r="AE5">
        <f t="shared" si="0"/>
        <v>1.7595013070581138E-2</v>
      </c>
      <c r="AF5">
        <f t="shared" si="0"/>
        <v>1.5483611502111402E-2</v>
      </c>
      <c r="AG5">
        <f t="shared" si="0"/>
        <v>1.7595013070581138E-2</v>
      </c>
      <c r="AH5">
        <f t="shared" si="0"/>
        <v>1.1461894228835713E-2</v>
      </c>
      <c r="AI5">
        <f t="shared" si="0"/>
        <v>1.0255379046853006E-2</v>
      </c>
      <c r="AJ5">
        <f t="shared" si="0"/>
        <v>1.0557007842348682E-2</v>
      </c>
      <c r="AK5">
        <f t="shared" si="0"/>
        <v>1.3874924592801126E-2</v>
      </c>
      <c r="AL5">
        <f t="shared" si="0"/>
        <v>6.8369193645686707E-3</v>
      </c>
      <c r="AN5">
        <f>SUM(C5:AL5)</f>
        <v>0.99999999999999989</v>
      </c>
    </row>
    <row r="6" spans="1:42">
      <c r="B6" t="s">
        <v>29</v>
      </c>
      <c r="C6">
        <f>C11/$AN11</f>
        <v>2.0805159679600541E-4</v>
      </c>
      <c r="D6">
        <f>D11/$AN11</f>
        <v>3.3288255487360866E-3</v>
      </c>
      <c r="E6">
        <f>E11/$AN11</f>
        <v>2.1845417663580568E-3</v>
      </c>
      <c r="F6">
        <f>F11/$AN11</f>
        <v>6.4495995006761675E-3</v>
      </c>
      <c r="G6">
        <f>G11/$AN11</f>
        <v>6.2415479038801626E-3</v>
      </c>
      <c r="H6">
        <f>H11/$AN11</f>
        <v>6.1375221054821598E-3</v>
      </c>
      <c r="I6">
        <f>I11/$AN11</f>
        <v>7.6979090814522002E-3</v>
      </c>
      <c r="J6">
        <f>J11/$AN11</f>
        <v>1.1026734630188287E-2</v>
      </c>
      <c r="K6">
        <f>K11/$AN11</f>
        <v>1.0922708831790284E-2</v>
      </c>
      <c r="L6">
        <f>L11/$AN11</f>
        <v>1.997295329241652E-2</v>
      </c>
      <c r="M6">
        <f>M11/$AN11</f>
        <v>2.1429314469988556E-2</v>
      </c>
      <c r="N6">
        <f>N11/$AN11</f>
        <v>3.0167481535420784E-2</v>
      </c>
      <c r="O6">
        <f>O11/$AN11</f>
        <v>2.808696556746073E-2</v>
      </c>
      <c r="P6">
        <f>P11/$AN11</f>
        <v>2.9335275148236764E-2</v>
      </c>
      <c r="Q6">
        <f>Q11/$AN11</f>
        <v>3.6825132632892957E-2</v>
      </c>
      <c r="R6">
        <f>R11/$AN11</f>
        <v>3.6825132632892957E-2</v>
      </c>
      <c r="S6">
        <f>S11/$AN11</f>
        <v>5.0140434827837303E-2</v>
      </c>
      <c r="T6">
        <f>T11/$AN11</f>
        <v>4.9412254239051281E-2</v>
      </c>
      <c r="U6">
        <f>U11/$AN11</f>
        <v>5.6590034328513471E-2</v>
      </c>
      <c r="V6">
        <f>V11/$AN11</f>
        <v>6.522417559554769E-2</v>
      </c>
      <c r="W6">
        <f>W11/$AN11</f>
        <v>0.21793404764381566</v>
      </c>
      <c r="X6">
        <f>X11/$AN11</f>
        <v>5.190887340060335E-2</v>
      </c>
      <c r="Y6">
        <f>Y11/$AN11</f>
        <v>3.9113700197649016E-2</v>
      </c>
      <c r="Z6">
        <f>Z11/$AN11</f>
        <v>3.0167481535420784E-2</v>
      </c>
      <c r="AA6">
        <f>AA11/$AN11</f>
        <v>2.8711120357848747E-2</v>
      </c>
      <c r="AB6">
        <f>AB11/$AN11</f>
        <v>2.4342036825132633E-2</v>
      </c>
      <c r="AC6">
        <f>AC11/$AN11</f>
        <v>1.9868927494018515E-2</v>
      </c>
      <c r="AD6">
        <f>AD11/$AN11</f>
        <v>1.8308540518048477E-2</v>
      </c>
      <c r="AE6">
        <f>AE11/$AN11</f>
        <v>1.4355560178924373E-2</v>
      </c>
      <c r="AF6">
        <f>AF11/$AN11</f>
        <v>1.2483095807760325E-2</v>
      </c>
      <c r="AG6">
        <f>AG11/$AN11</f>
        <v>1.3627379590138355E-2</v>
      </c>
      <c r="AH6">
        <f>AH11/$AN11</f>
        <v>9.2582960574222415E-3</v>
      </c>
      <c r="AI6">
        <f>AI11/$AN11</f>
        <v>1.3003224799750338E-2</v>
      </c>
      <c r="AJ6">
        <f>AJ11/$AN11</f>
        <v>1.3003224799750338E-2</v>
      </c>
      <c r="AK6">
        <f>AK11/$AN11</f>
        <v>1.0714657234994278E-2</v>
      </c>
      <c r="AL6">
        <f>AL11/$AN11</f>
        <v>4.9932383231041299E-3</v>
      </c>
      <c r="AN6">
        <f t="shared" ref="AN6:AN7" si="1">SUM(C6:AL6)</f>
        <v>1</v>
      </c>
    </row>
    <row r="7" spans="1:42">
      <c r="B7" t="s">
        <v>30</v>
      </c>
      <c r="C7">
        <f>C12/$AN12</f>
        <v>1.1804981702278361E-4</v>
      </c>
      <c r="D7">
        <f>D12/$AN12</f>
        <v>1.1804981702278361E-4</v>
      </c>
      <c r="E7">
        <f>E12/$AN12</f>
        <v>1.0624483532050526E-3</v>
      </c>
      <c r="F7">
        <f>F12/$AN12</f>
        <v>3.7775941447290755E-3</v>
      </c>
      <c r="G7">
        <f>G12/$AN12</f>
        <v>4.2497934128202103E-3</v>
      </c>
      <c r="H7">
        <f>H12/$AN12</f>
        <v>6.0205406681619646E-3</v>
      </c>
      <c r="I7">
        <f>I12/$AN12</f>
        <v>6.2566403022075315E-3</v>
      </c>
      <c r="J7">
        <f>J12/$AN12</f>
        <v>9.3259355447999053E-3</v>
      </c>
      <c r="K7">
        <f>K12/$AN12</f>
        <v>9.4439853618226884E-3</v>
      </c>
      <c r="L7">
        <f>L12/$AN12</f>
        <v>1.7589422736394758E-2</v>
      </c>
      <c r="M7">
        <f>M12/$AN12</f>
        <v>1.9714319442804863E-2</v>
      </c>
      <c r="N7">
        <f>N12/$AN12</f>
        <v>2.5734860110966828E-2</v>
      </c>
      <c r="O7">
        <f>O12/$AN12</f>
        <v>3.0220753157832604E-2</v>
      </c>
      <c r="P7">
        <f>P12/$AN12</f>
        <v>3.2109550230197147E-2</v>
      </c>
      <c r="Q7">
        <f>Q12/$AN12</f>
        <v>3.4470546570652814E-2</v>
      </c>
      <c r="R7">
        <f>R12/$AN12</f>
        <v>3.5178845472789516E-2</v>
      </c>
      <c r="S7">
        <f>S12/$AN12</f>
        <v>4.2379884311179318E-2</v>
      </c>
      <c r="T7">
        <f>T12/$AN12</f>
        <v>4.7928225711250147E-2</v>
      </c>
      <c r="U7">
        <f>U12/$AN12</f>
        <v>5.5483414000708296E-2</v>
      </c>
      <c r="V7">
        <f>V12/$AN12</f>
        <v>6.7170345885963878E-2</v>
      </c>
      <c r="W7">
        <f>W12/$AN12</f>
        <v>0.24672411757761775</v>
      </c>
      <c r="X7">
        <f t="shared" ref="X7:AL7" si="2">X12/$AN12</f>
        <v>4.934482351552355E-2</v>
      </c>
      <c r="Y7">
        <f t="shared" si="2"/>
        <v>3.3053948766379411E-2</v>
      </c>
      <c r="Z7">
        <f t="shared" si="2"/>
        <v>2.7269507732263016E-2</v>
      </c>
      <c r="AA7">
        <f t="shared" si="2"/>
        <v>2.479046157478456E-2</v>
      </c>
      <c r="AB7">
        <f t="shared" si="2"/>
        <v>1.9714319442804863E-2</v>
      </c>
      <c r="AC7">
        <f t="shared" si="2"/>
        <v>1.7589422736394758E-2</v>
      </c>
      <c r="AD7">
        <f t="shared" si="2"/>
        <v>1.9596269625782078E-2</v>
      </c>
      <c r="AE7">
        <f t="shared" si="2"/>
        <v>1.7117223468303622E-2</v>
      </c>
      <c r="AF7">
        <f t="shared" si="2"/>
        <v>1.5228426395939087E-2</v>
      </c>
      <c r="AG7">
        <f t="shared" si="2"/>
        <v>1.5228426395939087E-2</v>
      </c>
      <c r="AH7">
        <f t="shared" si="2"/>
        <v>1.6290874749144139E-2</v>
      </c>
      <c r="AI7">
        <f t="shared" si="2"/>
        <v>1.5936725298075789E-2</v>
      </c>
      <c r="AJ7">
        <f t="shared" si="2"/>
        <v>1.6290874749144139E-2</v>
      </c>
      <c r="AK7">
        <f t="shared" si="2"/>
        <v>1.2513280604415063E-2</v>
      </c>
      <c r="AL7">
        <f t="shared" si="2"/>
        <v>4.958092314956912E-3</v>
      </c>
      <c r="AN7">
        <f t="shared" si="1"/>
        <v>1</v>
      </c>
    </row>
    <row r="9" spans="1:42">
      <c r="B9" t="s">
        <v>32</v>
      </c>
      <c r="C9">
        <v>-2</v>
      </c>
      <c r="D9">
        <v>-1.9</v>
      </c>
      <c r="E9">
        <v>-1.8</v>
      </c>
      <c r="F9">
        <v>-1.7</v>
      </c>
      <c r="G9">
        <v>-1.6</v>
      </c>
      <c r="H9">
        <v>-1.5</v>
      </c>
      <c r="I9">
        <v>-1.4</v>
      </c>
      <c r="J9">
        <v>-1.3</v>
      </c>
      <c r="K9">
        <v>-1.2</v>
      </c>
      <c r="L9">
        <v>-1.1000000000000001</v>
      </c>
      <c r="M9">
        <v>-1</v>
      </c>
      <c r="N9">
        <v>-0.9</v>
      </c>
      <c r="O9">
        <v>-0.8</v>
      </c>
      <c r="P9">
        <v>-0.7</v>
      </c>
      <c r="Q9">
        <v>-0.6</v>
      </c>
      <c r="R9">
        <v>-0.5</v>
      </c>
      <c r="S9">
        <v>-0.4</v>
      </c>
      <c r="T9">
        <v>-0.3</v>
      </c>
      <c r="U9">
        <v>-0.2</v>
      </c>
      <c r="V9">
        <v>-0.1</v>
      </c>
      <c r="W9">
        <v>0</v>
      </c>
      <c r="X9">
        <v>0.1</v>
      </c>
      <c r="Y9">
        <v>0.2</v>
      </c>
      <c r="Z9">
        <v>0.3</v>
      </c>
      <c r="AA9">
        <v>0.4</v>
      </c>
      <c r="AB9">
        <v>0.5</v>
      </c>
      <c r="AC9">
        <v>0.6</v>
      </c>
      <c r="AD9">
        <v>0.7</v>
      </c>
      <c r="AE9">
        <v>0.8</v>
      </c>
      <c r="AF9">
        <v>0.9</v>
      </c>
      <c r="AG9">
        <v>1</v>
      </c>
      <c r="AH9">
        <v>1.1000000000000001</v>
      </c>
      <c r="AI9">
        <v>1.2</v>
      </c>
      <c r="AJ9">
        <v>1.3</v>
      </c>
      <c r="AK9">
        <v>1.4</v>
      </c>
      <c r="AL9">
        <v>1.5</v>
      </c>
    </row>
    <row r="10" spans="1:42">
      <c r="B10" t="s">
        <v>33</v>
      </c>
      <c r="C10" s="10">
        <v>2</v>
      </c>
      <c r="D10" s="10">
        <v>9</v>
      </c>
      <c r="E10" s="10">
        <v>8</v>
      </c>
      <c r="F10" s="10">
        <v>30</v>
      </c>
      <c r="G10" s="10">
        <v>53</v>
      </c>
      <c r="H10" s="10">
        <v>45</v>
      </c>
      <c r="I10" s="10">
        <v>55</v>
      </c>
      <c r="J10" s="10">
        <v>84</v>
      </c>
      <c r="K10" s="10">
        <v>145</v>
      </c>
      <c r="L10" s="10">
        <v>235</v>
      </c>
      <c r="M10" s="10">
        <v>243</v>
      </c>
      <c r="N10" s="10">
        <v>349</v>
      </c>
      <c r="O10" s="10">
        <v>353</v>
      </c>
      <c r="P10" s="10">
        <v>362</v>
      </c>
      <c r="Q10" s="10">
        <v>393</v>
      </c>
      <c r="R10" s="10">
        <v>425</v>
      </c>
      <c r="S10" s="10">
        <v>493</v>
      </c>
      <c r="T10" s="10">
        <v>499</v>
      </c>
      <c r="U10" s="10">
        <v>571</v>
      </c>
      <c r="V10" s="10">
        <v>616</v>
      </c>
      <c r="W10" s="10">
        <v>1639</v>
      </c>
      <c r="X10" s="10">
        <v>533</v>
      </c>
      <c r="Y10" s="10">
        <v>416</v>
      </c>
      <c r="Z10" s="10">
        <v>310</v>
      </c>
      <c r="AA10" s="10">
        <v>314</v>
      </c>
      <c r="AB10" s="10">
        <v>237</v>
      </c>
      <c r="AC10" s="10">
        <v>270</v>
      </c>
      <c r="AD10" s="10">
        <v>226</v>
      </c>
      <c r="AE10" s="10">
        <v>175</v>
      </c>
      <c r="AF10" s="10">
        <v>154</v>
      </c>
      <c r="AG10" s="10">
        <v>175</v>
      </c>
      <c r="AH10" s="10">
        <v>114</v>
      </c>
      <c r="AI10" s="10">
        <v>102</v>
      </c>
      <c r="AJ10" s="10">
        <v>105</v>
      </c>
      <c r="AK10" s="10">
        <v>138</v>
      </c>
      <c r="AL10" s="10">
        <v>68</v>
      </c>
      <c r="AN10">
        <f>SUM(C10:AL10)</f>
        <v>9946</v>
      </c>
    </row>
    <row r="11" spans="1:42">
      <c r="B11" t="s">
        <v>6</v>
      </c>
      <c r="C11" s="10">
        <v>2</v>
      </c>
      <c r="D11" s="10">
        <v>32</v>
      </c>
      <c r="E11" s="10">
        <v>21</v>
      </c>
      <c r="F11" s="10">
        <v>62</v>
      </c>
      <c r="G11" s="10">
        <v>60</v>
      </c>
      <c r="H11" s="10">
        <v>59</v>
      </c>
      <c r="I11" s="10">
        <v>74</v>
      </c>
      <c r="J11" s="10">
        <v>106</v>
      </c>
      <c r="K11" s="10">
        <v>105</v>
      </c>
      <c r="L11" s="10">
        <v>192</v>
      </c>
      <c r="M11" s="10">
        <v>206</v>
      </c>
      <c r="N11" s="10">
        <v>290</v>
      </c>
      <c r="O11" s="10">
        <v>270</v>
      </c>
      <c r="P11" s="10">
        <v>282</v>
      </c>
      <c r="Q11" s="10">
        <v>354</v>
      </c>
      <c r="R11" s="10">
        <v>354</v>
      </c>
      <c r="S11" s="10">
        <v>482</v>
      </c>
      <c r="T11" s="10">
        <v>475</v>
      </c>
      <c r="U11" s="10">
        <v>544</v>
      </c>
      <c r="V11" s="10">
        <v>627</v>
      </c>
      <c r="W11" s="10">
        <v>2095</v>
      </c>
      <c r="X11" s="10">
        <v>499</v>
      </c>
      <c r="Y11" s="10">
        <v>376</v>
      </c>
      <c r="Z11" s="10">
        <v>290</v>
      </c>
      <c r="AA11" s="10">
        <v>276</v>
      </c>
      <c r="AB11" s="10">
        <v>234</v>
      </c>
      <c r="AC11" s="10">
        <v>191</v>
      </c>
      <c r="AD11" s="10">
        <v>176</v>
      </c>
      <c r="AE11" s="10">
        <v>138</v>
      </c>
      <c r="AF11" s="10">
        <v>120</v>
      </c>
      <c r="AG11" s="10">
        <v>131</v>
      </c>
      <c r="AH11" s="10">
        <v>89</v>
      </c>
      <c r="AI11" s="10">
        <v>125</v>
      </c>
      <c r="AJ11" s="10">
        <v>125</v>
      </c>
      <c r="AK11" s="10">
        <v>103</v>
      </c>
      <c r="AL11" s="10">
        <v>48</v>
      </c>
      <c r="AN11">
        <f>SUM(C11:AL11)</f>
        <v>9613</v>
      </c>
    </row>
    <row r="12" spans="1:42">
      <c r="B12" t="s">
        <v>7</v>
      </c>
      <c r="C12" s="10">
        <v>1</v>
      </c>
      <c r="D12" s="10">
        <v>1</v>
      </c>
      <c r="E12" s="10">
        <v>9</v>
      </c>
      <c r="F12" s="10">
        <v>32</v>
      </c>
      <c r="G12" s="10">
        <v>36</v>
      </c>
      <c r="H12" s="10">
        <v>51</v>
      </c>
      <c r="I12" s="10">
        <v>53</v>
      </c>
      <c r="J12" s="10">
        <v>79</v>
      </c>
      <c r="K12" s="10">
        <v>80</v>
      </c>
      <c r="L12" s="10">
        <v>149</v>
      </c>
      <c r="M12" s="10">
        <v>167</v>
      </c>
      <c r="N12" s="10">
        <v>218</v>
      </c>
      <c r="O12" s="10">
        <v>256</v>
      </c>
      <c r="P12" s="10">
        <v>272</v>
      </c>
      <c r="Q12" s="10">
        <v>292</v>
      </c>
      <c r="R12" s="10">
        <v>298</v>
      </c>
      <c r="S12" s="10">
        <v>359</v>
      </c>
      <c r="T12" s="10">
        <v>406</v>
      </c>
      <c r="U12" s="10">
        <v>470</v>
      </c>
      <c r="V12" s="10">
        <v>569</v>
      </c>
      <c r="W12" s="10">
        <v>2090</v>
      </c>
      <c r="X12" s="10">
        <v>418</v>
      </c>
      <c r="Y12" s="10">
        <v>280</v>
      </c>
      <c r="Z12" s="10">
        <v>231</v>
      </c>
      <c r="AA12" s="10">
        <v>210</v>
      </c>
      <c r="AB12" s="10">
        <v>167</v>
      </c>
      <c r="AC12" s="10">
        <v>149</v>
      </c>
      <c r="AD12" s="10">
        <v>166</v>
      </c>
      <c r="AE12" s="10">
        <v>145</v>
      </c>
      <c r="AF12" s="10">
        <v>129</v>
      </c>
      <c r="AG12" s="10">
        <v>129</v>
      </c>
      <c r="AH12" s="10">
        <v>138</v>
      </c>
      <c r="AI12" s="10">
        <v>135</v>
      </c>
      <c r="AJ12" s="10">
        <v>138</v>
      </c>
      <c r="AK12" s="10">
        <v>106</v>
      </c>
      <c r="AL12" s="10">
        <v>42</v>
      </c>
      <c r="AN12">
        <f t="shared" ref="AN12" si="3">SUM(C12:AL12)</f>
        <v>8471</v>
      </c>
    </row>
    <row r="14" spans="1:42">
      <c r="B14" t="s">
        <v>37</v>
      </c>
      <c r="AP14" t="s">
        <v>35</v>
      </c>
    </row>
    <row r="15" spans="1:42">
      <c r="B15" t="s">
        <v>33</v>
      </c>
      <c r="C15">
        <f>C9*C10</f>
        <v>-4</v>
      </c>
      <c r="D15">
        <f t="shared" ref="D15:W15" si="4">D9*D10</f>
        <v>-17.099999999999998</v>
      </c>
      <c r="E15">
        <f t="shared" si="4"/>
        <v>-14.4</v>
      </c>
      <c r="F15">
        <f t="shared" si="4"/>
        <v>-51</v>
      </c>
      <c r="G15">
        <f t="shared" si="4"/>
        <v>-84.800000000000011</v>
      </c>
      <c r="H15">
        <f t="shared" si="4"/>
        <v>-67.5</v>
      </c>
      <c r="I15">
        <f t="shared" si="4"/>
        <v>-77</v>
      </c>
      <c r="J15">
        <f t="shared" si="4"/>
        <v>-109.2</v>
      </c>
      <c r="K15">
        <f t="shared" si="4"/>
        <v>-174</v>
      </c>
      <c r="L15">
        <f t="shared" si="4"/>
        <v>-258.5</v>
      </c>
      <c r="M15">
        <f t="shared" si="4"/>
        <v>-243</v>
      </c>
      <c r="N15">
        <f t="shared" si="4"/>
        <v>-314.10000000000002</v>
      </c>
      <c r="O15">
        <f t="shared" si="4"/>
        <v>-282.40000000000003</v>
      </c>
      <c r="P15">
        <f t="shared" si="4"/>
        <v>-253.39999999999998</v>
      </c>
      <c r="Q15">
        <f t="shared" si="4"/>
        <v>-235.79999999999998</v>
      </c>
      <c r="R15">
        <f t="shared" si="4"/>
        <v>-212.5</v>
      </c>
      <c r="S15">
        <f t="shared" si="4"/>
        <v>-197.20000000000002</v>
      </c>
      <c r="T15">
        <f t="shared" si="4"/>
        <v>-149.69999999999999</v>
      </c>
      <c r="U15">
        <f t="shared" si="4"/>
        <v>-114.2</v>
      </c>
      <c r="V15">
        <f t="shared" si="4"/>
        <v>-61.6</v>
      </c>
      <c r="W15">
        <f t="shared" si="4"/>
        <v>0</v>
      </c>
      <c r="X15">
        <f t="shared" ref="X15:AL15" si="5">X9*X10</f>
        <v>53.300000000000004</v>
      </c>
      <c r="Y15">
        <f t="shared" si="5"/>
        <v>83.2</v>
      </c>
      <c r="Z15">
        <f t="shared" si="5"/>
        <v>93</v>
      </c>
      <c r="AA15">
        <f t="shared" si="5"/>
        <v>125.60000000000001</v>
      </c>
      <c r="AB15">
        <f t="shared" si="5"/>
        <v>118.5</v>
      </c>
      <c r="AC15">
        <f t="shared" si="5"/>
        <v>162</v>
      </c>
      <c r="AD15">
        <f t="shared" si="5"/>
        <v>158.19999999999999</v>
      </c>
      <c r="AE15">
        <f t="shared" si="5"/>
        <v>140</v>
      </c>
      <c r="AF15">
        <f t="shared" si="5"/>
        <v>138.6</v>
      </c>
      <c r="AG15">
        <f t="shared" si="5"/>
        <v>175</v>
      </c>
      <c r="AH15">
        <f t="shared" si="5"/>
        <v>125.4</v>
      </c>
      <c r="AI15">
        <f t="shared" si="5"/>
        <v>122.39999999999999</v>
      </c>
      <c r="AJ15">
        <f t="shared" si="5"/>
        <v>136.5</v>
      </c>
      <c r="AK15">
        <f t="shared" si="5"/>
        <v>193.2</v>
      </c>
      <c r="AL15">
        <f t="shared" si="5"/>
        <v>102</v>
      </c>
      <c r="AN15">
        <f>SUM(C15:AL15)</f>
        <v>-994.49999999999977</v>
      </c>
      <c r="AO15">
        <v>-9.9989945706816782E-2</v>
      </c>
      <c r="AP15">
        <f>AN15/AN10</f>
        <v>-9.9989945706816782E-2</v>
      </c>
    </row>
    <row r="16" spans="1:42">
      <c r="B16" t="s">
        <v>6</v>
      </c>
      <c r="C16">
        <f>C9*C11</f>
        <v>-4</v>
      </c>
      <c r="D16">
        <f>D9*D11</f>
        <v>-60.8</v>
      </c>
      <c r="E16">
        <f>E9*E11</f>
        <v>-37.800000000000004</v>
      </c>
      <c r="F16">
        <f>F9*F11</f>
        <v>-105.39999999999999</v>
      </c>
      <c r="G16">
        <f>G9*G11</f>
        <v>-96</v>
      </c>
      <c r="H16">
        <f>H9*H11</f>
        <v>-88.5</v>
      </c>
      <c r="I16">
        <f>I9*I11</f>
        <v>-103.6</v>
      </c>
      <c r="J16">
        <f>J9*J11</f>
        <v>-137.80000000000001</v>
      </c>
      <c r="K16">
        <f>K9*K11</f>
        <v>-126</v>
      </c>
      <c r="L16">
        <f>L9*L11</f>
        <v>-211.20000000000002</v>
      </c>
      <c r="M16">
        <f>M9*M11</f>
        <v>-206</v>
      </c>
      <c r="N16">
        <f>N9*N11</f>
        <v>-261</v>
      </c>
      <c r="O16">
        <f>O9*O11</f>
        <v>-216</v>
      </c>
      <c r="P16">
        <f>P9*P11</f>
        <v>-197.39999999999998</v>
      </c>
      <c r="Q16">
        <f>Q9*Q11</f>
        <v>-212.4</v>
      </c>
      <c r="R16">
        <f>R9*R11</f>
        <v>-177</v>
      </c>
      <c r="S16">
        <f>S9*S11</f>
        <v>-192.8</v>
      </c>
      <c r="T16">
        <f>T9*T11</f>
        <v>-142.5</v>
      </c>
      <c r="U16">
        <f>U9*U11</f>
        <v>-108.80000000000001</v>
      </c>
      <c r="V16">
        <f>V9*V11</f>
        <v>-62.7</v>
      </c>
      <c r="W16">
        <f>W9*W11</f>
        <v>0</v>
      </c>
      <c r="X16">
        <f>X9*X11</f>
        <v>49.900000000000006</v>
      </c>
      <c r="Y16">
        <f>Y9*Y11</f>
        <v>75.2</v>
      </c>
      <c r="Z16">
        <f>Z9*Z11</f>
        <v>87</v>
      </c>
      <c r="AA16">
        <f>AA9*AA11</f>
        <v>110.4</v>
      </c>
      <c r="AB16">
        <f>AB9*AB11</f>
        <v>117</v>
      </c>
      <c r="AC16">
        <f>AC9*AC11</f>
        <v>114.6</v>
      </c>
      <c r="AD16">
        <f>AD9*AD11</f>
        <v>123.19999999999999</v>
      </c>
      <c r="AE16">
        <f>AE9*AE11</f>
        <v>110.4</v>
      </c>
      <c r="AF16">
        <f>AF9*AF11</f>
        <v>108</v>
      </c>
      <c r="AG16">
        <f>AG9*AG11</f>
        <v>131</v>
      </c>
      <c r="AH16">
        <f>AH9*AH11</f>
        <v>97.9</v>
      </c>
      <c r="AI16">
        <f>AI9*AI11</f>
        <v>150</v>
      </c>
      <c r="AJ16">
        <f>AJ9*AJ11</f>
        <v>162.5</v>
      </c>
      <c r="AK16">
        <f>AK9*AK11</f>
        <v>144.19999999999999</v>
      </c>
      <c r="AL16">
        <f>AL9*AL11</f>
        <v>72</v>
      </c>
      <c r="AN16">
        <f t="shared" ref="AN16:AN17" si="6">SUM(C16:AL16)</f>
        <v>-1094.4000000000003</v>
      </c>
      <c r="AO16">
        <v>-0.11384583376677419</v>
      </c>
      <c r="AP16">
        <f t="shared" ref="AP16:AP17" si="7">AN16/AN11</f>
        <v>-0.11384583376677419</v>
      </c>
    </row>
    <row r="17" spans="2:42">
      <c r="B17" t="s">
        <v>7</v>
      </c>
      <c r="C17">
        <f>C9*C12</f>
        <v>-2</v>
      </c>
      <c r="D17">
        <f t="shared" ref="D17:W17" si="8">D9*D12</f>
        <v>-1.9</v>
      </c>
      <c r="E17">
        <f t="shared" si="8"/>
        <v>-16.2</v>
      </c>
      <c r="F17">
        <f t="shared" si="8"/>
        <v>-54.4</v>
      </c>
      <c r="G17">
        <f t="shared" si="8"/>
        <v>-57.6</v>
      </c>
      <c r="H17">
        <f t="shared" si="8"/>
        <v>-76.5</v>
      </c>
      <c r="I17">
        <f t="shared" si="8"/>
        <v>-74.199999999999989</v>
      </c>
      <c r="J17">
        <f t="shared" si="8"/>
        <v>-102.7</v>
      </c>
      <c r="K17">
        <f t="shared" si="8"/>
        <v>-96</v>
      </c>
      <c r="L17">
        <f t="shared" si="8"/>
        <v>-163.9</v>
      </c>
      <c r="M17">
        <f t="shared" si="8"/>
        <v>-167</v>
      </c>
      <c r="N17">
        <f t="shared" si="8"/>
        <v>-196.20000000000002</v>
      </c>
      <c r="O17">
        <f t="shared" si="8"/>
        <v>-204.8</v>
      </c>
      <c r="P17">
        <f t="shared" si="8"/>
        <v>-190.39999999999998</v>
      </c>
      <c r="Q17">
        <f t="shared" si="8"/>
        <v>-175.2</v>
      </c>
      <c r="R17">
        <f t="shared" si="8"/>
        <v>-149</v>
      </c>
      <c r="S17">
        <f t="shared" si="8"/>
        <v>-143.6</v>
      </c>
      <c r="T17">
        <f t="shared" si="8"/>
        <v>-121.8</v>
      </c>
      <c r="U17">
        <f t="shared" si="8"/>
        <v>-94</v>
      </c>
      <c r="V17">
        <f t="shared" si="8"/>
        <v>-56.900000000000006</v>
      </c>
      <c r="W17">
        <f t="shared" si="8"/>
        <v>0</v>
      </c>
      <c r="X17">
        <f t="shared" ref="X17:AL17" si="9">X9*X12</f>
        <v>41.800000000000004</v>
      </c>
      <c r="Y17">
        <f t="shared" si="9"/>
        <v>56</v>
      </c>
      <c r="Z17">
        <f t="shared" si="9"/>
        <v>69.3</v>
      </c>
      <c r="AA17">
        <f t="shared" si="9"/>
        <v>84</v>
      </c>
      <c r="AB17">
        <f t="shared" si="9"/>
        <v>83.5</v>
      </c>
      <c r="AC17">
        <f t="shared" si="9"/>
        <v>89.399999999999991</v>
      </c>
      <c r="AD17">
        <f t="shared" si="9"/>
        <v>116.19999999999999</v>
      </c>
      <c r="AE17">
        <f t="shared" si="9"/>
        <v>116</v>
      </c>
      <c r="AF17">
        <f t="shared" si="9"/>
        <v>116.10000000000001</v>
      </c>
      <c r="AG17">
        <f t="shared" si="9"/>
        <v>129</v>
      </c>
      <c r="AH17">
        <f t="shared" si="9"/>
        <v>151.80000000000001</v>
      </c>
      <c r="AI17">
        <f t="shared" si="9"/>
        <v>162</v>
      </c>
      <c r="AJ17">
        <f t="shared" si="9"/>
        <v>179.4</v>
      </c>
      <c r="AK17">
        <f t="shared" si="9"/>
        <v>148.39999999999998</v>
      </c>
      <c r="AL17">
        <f t="shared" si="9"/>
        <v>63</v>
      </c>
      <c r="AN17">
        <f t="shared" si="6"/>
        <v>-538.40000000000009</v>
      </c>
      <c r="AO17">
        <v>-6.3558021485066715E-2</v>
      </c>
      <c r="AP17">
        <f t="shared" si="7"/>
        <v>-6.3558021485066715E-2</v>
      </c>
    </row>
    <row r="19" spans="2:42">
      <c r="B19" t="s">
        <v>36</v>
      </c>
      <c r="AO19" t="s">
        <v>34</v>
      </c>
      <c r="AP19" t="s">
        <v>38</v>
      </c>
    </row>
    <row r="20" spans="2:42">
      <c r="C20">
        <f>(C$9-$AO15)^2*C10</f>
        <v>7.2200764128303705</v>
      </c>
      <c r="D20">
        <f>(D$9-$AO15)^2*D10</f>
        <v>29.160325760008934</v>
      </c>
      <c r="E20">
        <f>(E$9-$AO15)^2*E10</f>
        <v>23.120273477583297</v>
      </c>
      <c r="F20">
        <f>(F$9-$AO15)^2*F10</f>
        <v>76.800965215178252</v>
      </c>
      <c r="G20">
        <f>(G$9-$AO15)^2*G10</f>
        <v>119.25159863797387</v>
      </c>
      <c r="H20">
        <f>(H$9-$AO15)^2*H10</f>
        <v>88.201266845490096</v>
      </c>
      <c r="I20">
        <f>(I$9-$AO15)^2*I10</f>
        <v>92.951437769485082</v>
      </c>
      <c r="J20">
        <f>(J$9-$AO15)^2*J10</f>
        <v>120.96202695399721</v>
      </c>
      <c r="K20">
        <f>(K$9-$AO15)^2*K10</f>
        <v>175.4532073341833</v>
      </c>
      <c r="L20">
        <f>(L$9-$AO15)^2*L10</f>
        <v>235.00472554155206</v>
      </c>
      <c r="M20">
        <f>(M$9-$AO15)^2*M10</f>
        <v>196.83439777240295</v>
      </c>
      <c r="N20">
        <f>(N$9-$AO15)^2*N10</f>
        <v>223.36561435259355</v>
      </c>
      <c r="O20">
        <f>(O$9-$AO15)^2*O10</f>
        <v>172.97496886737554</v>
      </c>
      <c r="P20">
        <f>(P$9-$AO15)^2*P10</f>
        <v>130.32436762155294</v>
      </c>
      <c r="Q20">
        <f>(Q$9-$AO15)^2*Q10</f>
        <v>98.253951376948919</v>
      </c>
      <c r="R20">
        <f>(R$9-$AO15)^2*R10</f>
        <v>68.003418502645033</v>
      </c>
      <c r="S20">
        <f>(S$9-$AO15)^2*S10</f>
        <v>44.372974109760385</v>
      </c>
      <c r="T20">
        <f>(T$9-$AO15)^2*T10</f>
        <v>19.96200688736268</v>
      </c>
      <c r="U20">
        <f>(U$9-$AO15)^2*U10</f>
        <v>5.7111482580032362</v>
      </c>
      <c r="V20">
        <f>(V$9-$AO15)^2*V10</f>
        <v>6.2270707831151832E-8</v>
      </c>
      <c r="W20">
        <f>(W$9-$AO15)^2*W10</f>
        <v>16.386704368379103</v>
      </c>
      <c r="X20">
        <f t="shared" ref="X20:AL20" si="10">(X$9-$AO15)^2*X10</f>
        <v>21.317856478573674</v>
      </c>
      <c r="Y20">
        <f t="shared" si="10"/>
        <v>37.437490490474417</v>
      </c>
      <c r="Z20">
        <f t="shared" si="10"/>
        <v>49.597506566628091</v>
      </c>
      <c r="AA20">
        <f t="shared" si="10"/>
        <v>78.49684298368237</v>
      </c>
      <c r="AB20">
        <f t="shared" si="10"/>
        <v>85.317140582976734</v>
      </c>
      <c r="AC20">
        <f t="shared" si="10"/>
        <v>132.29619950447071</v>
      </c>
      <c r="AD20">
        <f t="shared" si="10"/>
        <v>144.636364390431</v>
      </c>
      <c r="AE20">
        <f t="shared" si="10"/>
        <v>141.74683291533782</v>
      </c>
      <c r="AF20">
        <f t="shared" si="10"/>
        <v>153.99690329326725</v>
      </c>
      <c r="AG20">
        <f t="shared" si="10"/>
        <v>211.74612911481501</v>
      </c>
      <c r="AH20">
        <f t="shared" si="10"/>
        <v>164.15724915690922</v>
      </c>
      <c r="AI20">
        <f t="shared" si="10"/>
        <v>172.37733361175884</v>
      </c>
      <c r="AJ20">
        <f t="shared" si="10"/>
        <v>205.79704404841846</v>
      </c>
      <c r="AK20">
        <f t="shared" si="10"/>
        <v>310.49583753657237</v>
      </c>
      <c r="AL20">
        <f t="shared" si="10"/>
        <v>174.07781219267736</v>
      </c>
      <c r="AO20">
        <f>SUM(C20:AL20)/AN10</f>
        <v>0.40496782616072502</v>
      </c>
      <c r="AP20">
        <f>SQRT(AO20)</f>
        <v>0.63637082441036297</v>
      </c>
    </row>
    <row r="21" spans="2:42">
      <c r="C21">
        <f>(C$9-$AO16)^2*C11</f>
        <v>7.11515507759791</v>
      </c>
      <c r="D21">
        <f>(D$9-$AO16)^2*D11</f>
        <v>102.0910945776739</v>
      </c>
      <c r="E21">
        <f>(E$9-$AO16)^2*E11</f>
        <v>59.705433318418955</v>
      </c>
      <c r="F21">
        <f>(F$9-$AO16)^2*F11</f>
        <v>155.98487242165922</v>
      </c>
      <c r="G21">
        <f>(G$9-$AO16)^2*G11</f>
        <v>132.5192523487425</v>
      </c>
      <c r="H21">
        <f>(H$9-$AO16)^2*H11</f>
        <v>113.36397898137803</v>
      </c>
      <c r="I21">
        <f>(I$9-$AO16)^2*I11</f>
        <v>122.41024790961221</v>
      </c>
      <c r="J21">
        <f>(J$9-$AO16)^2*J11</f>
        <v>149.13794084367854</v>
      </c>
      <c r="K21">
        <f>(K$9-$AO16)^2*K11</f>
        <v>123.87174164670833</v>
      </c>
      <c r="L21">
        <f>(L$9-$AO16)^2*L11</f>
        <v>186.72000759919661</v>
      </c>
      <c r="M21">
        <f>(M$9-$AO16)^2*M11</f>
        <v>161.76545650449575</v>
      </c>
      <c r="N21">
        <f>(N$9-$AO16)^2*N11</f>
        <v>179.23112819489896</v>
      </c>
      <c r="O21">
        <f>(O$9-$AO16)^2*O11</f>
        <v>127.11803575658762</v>
      </c>
      <c r="P21">
        <f>(P$9-$AO16)^2*P11</f>
        <v>96.888631259104216</v>
      </c>
      <c r="Q21">
        <f>(Q$9-$AO16)^2*Q11</f>
        <v>83.666439164456705</v>
      </c>
      <c r="R21">
        <f>(R$9-$AO16)^2*R11</f>
        <v>52.786724195144338</v>
      </c>
      <c r="S21">
        <f>(S$9-$AO16)^2*S11</f>
        <v>39.468187702968926</v>
      </c>
      <c r="T21">
        <f>(T$9-$AO16)^2*T11</f>
        <v>16.460352462844043</v>
      </c>
      <c r="U21">
        <f>(U$9-$AO16)^2*U11</f>
        <v>4.0378619554822155</v>
      </c>
      <c r="V21">
        <f>(V$9-$AO16)^2*V11</f>
        <v>0.12020035966110947</v>
      </c>
      <c r="W21">
        <f>(W$9-$AO16)^2*W11</f>
        <v>27.153030749378903</v>
      </c>
      <c r="X21">
        <f>(X$9-$AO16)^2*X11</f>
        <v>22.819290269084</v>
      </c>
      <c r="Y21">
        <f>(Y$9-$AO16)^2*Y11</f>
        <v>37.035701972158392</v>
      </c>
      <c r="Z21">
        <f>(Z$9-$AO16)^2*Z11</f>
        <v>49.66782849657379</v>
      </c>
      <c r="AA21">
        <f>(AA$9-$AO16)^2*AA11</f>
        <v>72.874361282734085</v>
      </c>
      <c r="AB21">
        <f>(AB$9-$AO16)^2*AB11</f>
        <v>88.172769586081316</v>
      </c>
      <c r="AC21">
        <f>(AC$9-$AO16)^2*AC11</f>
        <v>97.328992007760547</v>
      </c>
      <c r="AD21">
        <f>(AD$9-$AO16)^2*AD11</f>
        <v>116.57272724055829</v>
      </c>
      <c r="AE21">
        <f>(AE$9-$AO16)^2*AE11</f>
        <v>115.24576068921891</v>
      </c>
      <c r="AF21">
        <f>(AF$9-$AO16)^2*AF11</f>
        <v>123.34600495754945</v>
      </c>
      <c r="AG21">
        <f>(AG$9-$AO16)^2*AG11</f>
        <v>162.52548292334768</v>
      </c>
      <c r="AH21">
        <f>(AH$9-$AO16)^2*AH11</f>
        <v>131.13453202561305</v>
      </c>
      <c r="AI21">
        <f>(AI$9-$AO16)^2*AI11</f>
        <v>215.77385936328878</v>
      </c>
      <c r="AJ21">
        <f>(AJ$9-$AO16)^2*AJ11</f>
        <v>249.87000520745815</v>
      </c>
      <c r="AK21">
        <f>(AK$9-$AO16)^2*AK11</f>
        <v>236.04810846654104</v>
      </c>
      <c r="AL21">
        <f>(AL$9-$AO16)^2*AL11</f>
        <v>125.01592200798599</v>
      </c>
      <c r="AO21">
        <f t="shared" ref="AO21:AO22" si="11">SUM(C21:AL21)/AN11</f>
        <v>0.3937425485827154</v>
      </c>
      <c r="AP21">
        <f t="shared" ref="AP21:AP22" si="12">SQRT(AO21)</f>
        <v>0.62748908244105361</v>
      </c>
    </row>
    <row r="22" spans="2:42">
      <c r="C22">
        <f>(C$9-$AO17)^2*C12</f>
        <v>3.7498075361548295</v>
      </c>
      <c r="D22">
        <f>(D$9-$AO17)^2*D12</f>
        <v>3.3725191404518426</v>
      </c>
      <c r="E22">
        <f>(E$9-$AO17)^2*E12</f>
        <v>27.137076702739709</v>
      </c>
      <c r="F22">
        <f>(F$9-$AO17)^2*F12</f>
        <v>85.69415516946782</v>
      </c>
      <c r="G22">
        <f>(G$9-$AO17)^2*G12</f>
        <v>84.983542320343801</v>
      </c>
      <c r="H22">
        <f>(H$9-$AO17)^2*H12</f>
        <v>105.23164343963471</v>
      </c>
      <c r="I22">
        <f>(I$9-$AO17)^2*I12</f>
        <v>94.662089582656193</v>
      </c>
      <c r="J22">
        <f>(J$9-$AO17)^2*J12</f>
        <v>120.77431253247991</v>
      </c>
      <c r="K22">
        <f>(K$9-$AO17)^2*K12</f>
        <v>103.32002964247491</v>
      </c>
      <c r="L22">
        <f>(L$9-$AO17)^2*L12</f>
        <v>160.05758424936451</v>
      </c>
      <c r="M22">
        <f>(M$9-$AO17)^2*M12</f>
        <v>146.44623771386878</v>
      </c>
      <c r="N22">
        <f>(N$9-$AO17)^2*N12</f>
        <v>152.52046998599081</v>
      </c>
      <c r="O22">
        <f>(O$9-$AO17)^2*O12</f>
        <v>138.84077765606131</v>
      </c>
      <c r="P22">
        <f>(P$9-$AO17)^2*P12</f>
        <v>110.17588262835275</v>
      </c>
      <c r="Q22">
        <f>(Q$9-$AO17)^2*Q12</f>
        <v>84.028838923400698</v>
      </c>
      <c r="R22">
        <f>(R$9-$AO17)^2*R12</f>
        <v>56.763516981788783</v>
      </c>
      <c r="S22">
        <f>(S$9-$AO17)^2*S12</f>
        <v>40.636360561628379</v>
      </c>
      <c r="T22">
        <f>(T$9-$AO17)^2*T12</f>
        <v>22.6973525368468</v>
      </c>
      <c r="U22">
        <f>(U$9-$AO17)^2*U12</f>
        <v>8.7497143455026709</v>
      </c>
      <c r="V22">
        <f>(V$9-$AO17)^2*V12</f>
        <v>0.75564212710914702</v>
      </c>
      <c r="W22">
        <f>(W$9-$AO17)^2*W12</f>
        <v>8.4428101787510634</v>
      </c>
      <c r="X22">
        <f t="shared" ref="X22:AL22" si="13">(X$9-$AO17)^2*X12</f>
        <v>11.182012631901788</v>
      </c>
      <c r="Y22">
        <f t="shared" si="13"/>
        <v>19.449592592954414</v>
      </c>
      <c r="Z22">
        <f t="shared" si="13"/>
        <v>30.532294481797472</v>
      </c>
      <c r="AA22">
        <f t="shared" si="13"/>
        <v>45.126068249461419</v>
      </c>
      <c r="AB22">
        <f t="shared" si="13"/>
        <v>53.038806477887213</v>
      </c>
      <c r="AC22">
        <f t="shared" si="13"/>
        <v>65.606077933699254</v>
      </c>
      <c r="AD22">
        <f t="shared" si="13"/>
        <v>96.781461460915466</v>
      </c>
      <c r="AE22">
        <f t="shared" si="13"/>
        <v>108.13120618832444</v>
      </c>
      <c r="AF22">
        <f t="shared" si="13"/>
        <v>119.76928383909991</v>
      </c>
      <c r="AG22">
        <f t="shared" si="13"/>
        <v>145.91908079341459</v>
      </c>
      <c r="AH22">
        <f t="shared" si="13"/>
        <v>186.83368317198952</v>
      </c>
      <c r="AI22">
        <f t="shared" si="13"/>
        <v>215.53814794399955</v>
      </c>
      <c r="AJ22">
        <f t="shared" si="13"/>
        <v>256.58208595796521</v>
      </c>
      <c r="AK22">
        <f t="shared" si="13"/>
        <v>227.05222071884796</v>
      </c>
      <c r="AL22">
        <f t="shared" si="13"/>
        <v>102.67797483511242</v>
      </c>
      <c r="AO22">
        <f t="shared" si="11"/>
        <v>0.3828662922007367</v>
      </c>
      <c r="AP22">
        <f t="shared" si="12"/>
        <v>0.61876190267399034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seed1</vt:lpstr>
      <vt:lpstr>seed2</vt:lpstr>
      <vt:lpstr>seed3</vt:lpstr>
      <vt:lpstr>seed4</vt:lpstr>
      <vt:lpstr>seed5</vt:lpstr>
      <vt:lpstr>average</vt:lpstr>
      <vt:lpstr>Sheet1</vt:lpstr>
      <vt:lpstr>後続係数のグラフ</vt:lpstr>
      <vt:lpstr>加速度分布</vt:lpstr>
      <vt:lpstr>【参考】加速度分布_high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2025-02-08T11:14:12Z</dcterms:created>
  <dcterms:modified xsi:type="dcterms:W3CDTF">2025-02-13T06:27:18Z</dcterms:modified>
</cp:coreProperties>
</file>